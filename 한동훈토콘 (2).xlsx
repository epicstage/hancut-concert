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붙여넣기용" sheetId="1" r:id="rId4"/>
    <sheet state="visible" name="1. 신청자리스트" sheetId="2" r:id="rId5"/>
    <sheet state="visible" name="1.신청입금매칭표" sheetId="3" r:id="rId6"/>
    <sheet state="visible" name="환불유령" sheetId="4" r:id="rId7"/>
    <sheet state="visible" name="미입금" sheetId="5" r:id="rId8"/>
    <sheet state="visible" name="문의" sheetId="6" r:id="rId9"/>
    <sheet state="visible" name="취소환불신청자" sheetId="7" r:id="rId10"/>
    <sheet state="hidden" name="시스템입력용입금데이터" sheetId="8" r:id="rId11"/>
    <sheet state="visible" name="오픈이전 환불자 명단" sheetId="9" r:id="rId12"/>
  </sheets>
  <definedNames>
    <definedName hidden="1" localSheetId="1" name="_xlnm._FilterDatabase">'1. 신청자리스트'!$A$1:$N$1010</definedName>
    <definedName hidden="1" localSheetId="2" name="_xlnm._FilterDatabase">'1.신청입금매칭표'!$A$1:$S$393</definedName>
    <definedName hidden="1" localSheetId="3" name="_xlnm._FilterDatabase">'환불유령'!$A$1:$L$50</definedName>
    <definedName hidden="1" localSheetId="4" name="_xlnm._FilterDatabase">'미입금'!$A$1:$P$81</definedName>
    <definedName hidden="1" localSheetId="5" name="_xlnm._FilterDatabase">'문의'!$A$1:$I$848</definedName>
    <definedName hidden="1" localSheetId="6" name="_xlnm._FilterDatabase">'취소환불신청자'!$A$1:$Q$61</definedName>
    <definedName hidden="1" localSheetId="7" name="_xlnm._FilterDatabase">'시스템입력용입금데이터'!$A$1:$G$1229</definedName>
    <definedName hidden="1" localSheetId="8" name="_xlnm._FilterDatabase">'오픈이전 환불자 명단'!$A$1:$G$40</definedName>
  </definedNames>
  <calcPr/>
</workbook>
</file>

<file path=xl/sharedStrings.xml><?xml version="1.0" encoding="utf-8"?>
<sst xmlns="http://schemas.openxmlformats.org/spreadsheetml/2006/main" count="22517" uniqueCount="6818">
  <si>
    <t>강계순5423</t>
  </si>
  <si>
    <t>강권종2013</t>
  </si>
  <si>
    <t>강금옥4252</t>
  </si>
  <si>
    <t>강두연1222</t>
  </si>
  <si>
    <t>강민정0333</t>
  </si>
  <si>
    <t>최인숙2765</t>
  </si>
  <si>
    <t>강윤진3620</t>
  </si>
  <si>
    <t>강창숙5339</t>
  </si>
  <si>
    <t>강철민6334</t>
  </si>
  <si>
    <t>강평애6138</t>
  </si>
  <si>
    <t>강향숙1335</t>
  </si>
  <si>
    <t>강현수8943</t>
  </si>
  <si>
    <t>강혜선4230</t>
  </si>
  <si>
    <t>강회숙9464</t>
  </si>
  <si>
    <t>강효란2399</t>
  </si>
  <si>
    <t>강효승2597</t>
  </si>
  <si>
    <t>고경숙5566</t>
  </si>
  <si>
    <t>고은주7534</t>
  </si>
  <si>
    <t>곽소영5074</t>
  </si>
  <si>
    <t>곽순영4559</t>
  </si>
  <si>
    <t>구명숙1447</t>
  </si>
  <si>
    <t>구본순8367</t>
  </si>
  <si>
    <t>권나희1900</t>
  </si>
  <si>
    <t>권명순2453</t>
  </si>
  <si>
    <t>권민주2689</t>
  </si>
  <si>
    <t>권순모1100</t>
  </si>
  <si>
    <t>권승용3962</t>
  </si>
  <si>
    <t>권영숙6708</t>
  </si>
  <si>
    <t>권영숙9657</t>
  </si>
  <si>
    <t>권영진9389</t>
  </si>
  <si>
    <t>권점순3662</t>
  </si>
  <si>
    <t>권정기0733</t>
  </si>
  <si>
    <t>권현경9045</t>
  </si>
  <si>
    <t>권혜경4492</t>
  </si>
  <si>
    <t>권혜주7104</t>
  </si>
  <si>
    <t>권호정3047</t>
  </si>
  <si>
    <t>금동남4343</t>
  </si>
  <si>
    <t>기정연5480</t>
  </si>
  <si>
    <t>길선영6203</t>
  </si>
  <si>
    <t>김가연2997</t>
  </si>
  <si>
    <t>김경란6312</t>
  </si>
  <si>
    <t>김경숙3178</t>
  </si>
  <si>
    <t>김경숙9191</t>
  </si>
  <si>
    <t>김경은3829</t>
  </si>
  <si>
    <t>김경희1026</t>
  </si>
  <si>
    <t>김경희1065</t>
  </si>
  <si>
    <t>김고은7622</t>
  </si>
  <si>
    <t>김규리9577</t>
  </si>
  <si>
    <t>김금순1724</t>
  </si>
  <si>
    <t>김금자7785</t>
  </si>
  <si>
    <t>김길순0665</t>
  </si>
  <si>
    <t>김나현9816</t>
  </si>
  <si>
    <t>김두리0579</t>
  </si>
  <si>
    <t>김두리9190</t>
  </si>
  <si>
    <t>김명렬8380</t>
  </si>
  <si>
    <t>김명숙2251</t>
  </si>
  <si>
    <t>김명자8644</t>
  </si>
  <si>
    <t>김명희0926</t>
  </si>
  <si>
    <t>김문례3287</t>
  </si>
  <si>
    <t>김문자1018</t>
  </si>
  <si>
    <t>김미교2676</t>
  </si>
  <si>
    <t>김미라1482</t>
  </si>
  <si>
    <t>김미숙7983</t>
  </si>
  <si>
    <t>김미숙9582</t>
  </si>
  <si>
    <t>김미영3217</t>
  </si>
  <si>
    <t>김미주8262</t>
  </si>
  <si>
    <t>김미진7739</t>
  </si>
  <si>
    <t>김미현9441</t>
  </si>
  <si>
    <t>김민건7828</t>
  </si>
  <si>
    <t>김민선5236</t>
  </si>
  <si>
    <t>김민성8136</t>
  </si>
  <si>
    <t>김민숙2146</t>
  </si>
  <si>
    <t>김병선8095</t>
  </si>
  <si>
    <t>김보리8716</t>
  </si>
  <si>
    <t>김상미1898</t>
  </si>
  <si>
    <t>김선미1544</t>
  </si>
  <si>
    <t>김선미7286</t>
  </si>
  <si>
    <t>김선애5574</t>
  </si>
  <si>
    <t>김선영1978</t>
  </si>
  <si>
    <t>김설자3415</t>
  </si>
  <si>
    <t>김성금9060</t>
  </si>
  <si>
    <t>김성숙7894</t>
  </si>
  <si>
    <t>김성진5946</t>
  </si>
  <si>
    <t>김성태5730</t>
  </si>
  <si>
    <t>김세미7997</t>
  </si>
  <si>
    <t>김세연5736</t>
  </si>
  <si>
    <t>김수빈7846</t>
  </si>
  <si>
    <t>김수진0728</t>
  </si>
  <si>
    <t>김수진1210</t>
  </si>
  <si>
    <t>김숙녀5719</t>
  </si>
  <si>
    <t>김숙자9974</t>
  </si>
  <si>
    <t>김순애2928</t>
  </si>
  <si>
    <t>김순옥5175</t>
  </si>
  <si>
    <t>김순옥9903</t>
  </si>
  <si>
    <t>김순의8015</t>
  </si>
  <si>
    <t>김승현8788</t>
  </si>
  <si>
    <t>김승희7671</t>
  </si>
  <si>
    <t>김안나6030</t>
  </si>
  <si>
    <t>김애숙6527</t>
  </si>
  <si>
    <t>김양순4038</t>
  </si>
  <si>
    <t>김영규8804</t>
  </si>
  <si>
    <t>김영선0325</t>
  </si>
  <si>
    <t>김영숙3585</t>
  </si>
  <si>
    <t>김영숙3700</t>
  </si>
  <si>
    <t>김영숙4153</t>
  </si>
  <si>
    <t>김영애3552</t>
  </si>
  <si>
    <t>김영희3429</t>
  </si>
  <si>
    <t>김옥견1130</t>
  </si>
  <si>
    <t>김옥경8906</t>
  </si>
  <si>
    <t>김옥순7029</t>
  </si>
  <si>
    <t>김용분6303</t>
  </si>
  <si>
    <t>김용열5102</t>
  </si>
  <si>
    <t>김원모9663</t>
  </si>
  <si>
    <t>김유경2585</t>
  </si>
  <si>
    <t>김유정7290</t>
  </si>
  <si>
    <t>김윤아0369</t>
  </si>
  <si>
    <t>김윤정7615</t>
  </si>
  <si>
    <t>김은선1156</t>
  </si>
  <si>
    <t>김은숙6350</t>
  </si>
  <si>
    <t>김은진4541</t>
  </si>
  <si>
    <t>김은혜5867</t>
  </si>
  <si>
    <t>김인자1303</t>
  </si>
  <si>
    <t>김재순5218</t>
  </si>
  <si>
    <t>김재철2369</t>
  </si>
  <si>
    <t>김정선1004</t>
  </si>
  <si>
    <t>김정숙9582</t>
  </si>
  <si>
    <t>김정안8760</t>
  </si>
  <si>
    <t>김정임1446</t>
  </si>
  <si>
    <t>김종란4640</t>
  </si>
  <si>
    <t>김종악4041</t>
  </si>
  <si>
    <t>김지만2399</t>
  </si>
  <si>
    <t>김지은1842</t>
  </si>
  <si>
    <t>김지현6461</t>
  </si>
  <si>
    <t>김진아1538</t>
  </si>
  <si>
    <t>김춘희3166</t>
  </si>
  <si>
    <t>김춘희9452</t>
  </si>
  <si>
    <t>김태경6396</t>
  </si>
  <si>
    <t>김태영1380</t>
  </si>
  <si>
    <t>김태영6577</t>
  </si>
  <si>
    <t>김필여4542</t>
  </si>
  <si>
    <t>김해순0184</t>
  </si>
  <si>
    <t>김현기7200</t>
  </si>
  <si>
    <t>김현숙4599</t>
  </si>
  <si>
    <t>김현옥6540</t>
  </si>
  <si>
    <t>김현종2549</t>
  </si>
  <si>
    <t>김형희5673</t>
  </si>
  <si>
    <t>김혜경4170</t>
  </si>
  <si>
    <t>김혜경6097</t>
  </si>
  <si>
    <t>김혜란2033</t>
  </si>
  <si>
    <t>김혜성0988</t>
  </si>
  <si>
    <t>김혜숙3311</t>
  </si>
  <si>
    <t>김혜영5442</t>
  </si>
  <si>
    <t>김혜정7838</t>
  </si>
  <si>
    <t>김호정4210</t>
  </si>
  <si>
    <t>김훈선3200</t>
  </si>
  <si>
    <t>김희경5597</t>
  </si>
  <si>
    <t>김희숙4548</t>
  </si>
  <si>
    <t>김희정3084</t>
  </si>
  <si>
    <t>남기은3569</t>
  </si>
  <si>
    <t>남명희2373</t>
  </si>
  <si>
    <t>남미정0375</t>
  </si>
  <si>
    <t>남영애4875</t>
  </si>
  <si>
    <t>남유정5239</t>
  </si>
  <si>
    <t>노애경5674</t>
  </si>
  <si>
    <t>노지은2273</t>
  </si>
  <si>
    <t>노춘화3729</t>
  </si>
  <si>
    <t>류재관8774</t>
  </si>
  <si>
    <t>마정화5303</t>
  </si>
  <si>
    <t>맹주갑7627</t>
  </si>
  <si>
    <t>맹태만0296</t>
  </si>
  <si>
    <t>문경순5276</t>
  </si>
  <si>
    <t>문영희1684</t>
  </si>
  <si>
    <t>문유정4297</t>
  </si>
  <si>
    <t>문정희1120</t>
  </si>
  <si>
    <t>문채영0417</t>
  </si>
  <si>
    <t>민기정0759</t>
  </si>
  <si>
    <t>민병숙3213</t>
  </si>
  <si>
    <t>민병주7576</t>
  </si>
  <si>
    <t>민연화1227</t>
  </si>
  <si>
    <t>민영훈3412</t>
  </si>
  <si>
    <t>박경례2109</t>
  </si>
  <si>
    <t>박경순3275</t>
  </si>
  <si>
    <t>박경아3911</t>
  </si>
  <si>
    <t>박경옥9945</t>
  </si>
  <si>
    <t>박귀연4640</t>
  </si>
  <si>
    <t>박귀자8389</t>
  </si>
  <si>
    <t>박낙희8874</t>
  </si>
  <si>
    <t>박명화9635</t>
  </si>
  <si>
    <t>박미라2808</t>
  </si>
  <si>
    <t>박미숙9537</t>
  </si>
  <si>
    <t>박미영4479</t>
  </si>
  <si>
    <t>박미향1729</t>
  </si>
  <si>
    <t>박복숙5056</t>
  </si>
  <si>
    <t>박선영3233</t>
  </si>
  <si>
    <t>박선화5598</t>
  </si>
  <si>
    <t>박선희8166</t>
  </si>
  <si>
    <t>박성숙7805</t>
  </si>
  <si>
    <t>박성환2519</t>
  </si>
  <si>
    <t>박성희9237</t>
  </si>
  <si>
    <t>박순화0025</t>
  </si>
  <si>
    <t>박승진3300</t>
  </si>
  <si>
    <t>박승혜6217</t>
  </si>
  <si>
    <t>박신영3217</t>
  </si>
  <si>
    <t>박여자5557</t>
  </si>
  <si>
    <t>박연희3584</t>
  </si>
  <si>
    <t>박영미8775</t>
  </si>
  <si>
    <t>박영춘4542</t>
  </si>
  <si>
    <t>박옥희3265</t>
  </si>
  <si>
    <t>박용옥3343</t>
  </si>
  <si>
    <t>박은미2639</t>
  </si>
  <si>
    <t>박은숙4521</t>
  </si>
  <si>
    <t>박은총4891</t>
  </si>
  <si>
    <t>박은혜0302</t>
  </si>
  <si>
    <t>박인자7585</t>
  </si>
  <si>
    <t>박정민6603</t>
  </si>
  <si>
    <t>박정수1427</t>
  </si>
  <si>
    <t>박정순4583</t>
  </si>
  <si>
    <t>박종숙1623</t>
  </si>
  <si>
    <t>박춘옥8745</t>
  </si>
  <si>
    <t>박해경5485</t>
  </si>
  <si>
    <t>박현숙7845</t>
  </si>
  <si>
    <t>박현정8936</t>
  </si>
  <si>
    <t>박혜원0369</t>
  </si>
  <si>
    <t>박혜원8856</t>
  </si>
  <si>
    <t>박혜주1001</t>
  </si>
  <si>
    <t>박화숙4903</t>
  </si>
  <si>
    <t>박희영5696</t>
  </si>
  <si>
    <t>박희옥6649</t>
  </si>
  <si>
    <t>박희재6164</t>
  </si>
  <si>
    <t>방옥희0900</t>
  </si>
  <si>
    <t>배경희7482</t>
  </si>
  <si>
    <t>배말남2928</t>
  </si>
  <si>
    <t>배은숙3965</t>
  </si>
  <si>
    <t>배재국5980</t>
  </si>
  <si>
    <t>배주연1619</t>
  </si>
  <si>
    <t>백종숙5760</t>
  </si>
  <si>
    <t>백진이9609</t>
  </si>
  <si>
    <t>변수만4051</t>
  </si>
  <si>
    <t>서경숙9696</t>
  </si>
  <si>
    <t>서동미6212</t>
  </si>
  <si>
    <t>서병철2033</t>
  </si>
  <si>
    <t>서순정0603</t>
  </si>
  <si>
    <t>서영자2746</t>
  </si>
  <si>
    <t>서정숙9863</t>
  </si>
  <si>
    <t>서혜영8798</t>
  </si>
  <si>
    <t>서희완5213</t>
  </si>
  <si>
    <t>석명자2664</t>
  </si>
  <si>
    <t>석주회9467</t>
  </si>
  <si>
    <t>성은숙2525</t>
  </si>
  <si>
    <t>성평희0086</t>
  </si>
  <si>
    <t>손전수1647</t>
  </si>
  <si>
    <t>송경자5154</t>
  </si>
  <si>
    <t>송문희8369</t>
  </si>
  <si>
    <t>송미경7319</t>
  </si>
  <si>
    <t>송별님2714</t>
  </si>
  <si>
    <t>송영례3433</t>
  </si>
  <si>
    <t>송영미1378</t>
  </si>
  <si>
    <t>송영훈2030</t>
  </si>
  <si>
    <t>송영희2672</t>
  </si>
  <si>
    <t>송종희7507</t>
  </si>
  <si>
    <t>송차선0269</t>
  </si>
  <si>
    <t>송혜정3689</t>
  </si>
  <si>
    <t>송희규3131</t>
  </si>
  <si>
    <t>신동건9091</t>
  </si>
  <si>
    <t>신성숙5379</t>
  </si>
  <si>
    <t>신세라2129</t>
  </si>
  <si>
    <t>신연희0982</t>
  </si>
  <si>
    <t>신영혜1214</t>
  </si>
  <si>
    <t>신영혜1409</t>
  </si>
  <si>
    <t>신예성7505</t>
  </si>
  <si>
    <t>신정자9196</t>
  </si>
  <si>
    <t>신한음1429</t>
  </si>
  <si>
    <t>신혜연5510</t>
  </si>
  <si>
    <t>심영미6528</t>
  </si>
  <si>
    <t>심점숙2140</t>
  </si>
  <si>
    <t>심혜자0757</t>
  </si>
  <si>
    <t>안승덕2135</t>
  </si>
  <si>
    <t>안영규4166</t>
  </si>
  <si>
    <t>안영미4151</t>
  </si>
  <si>
    <t>안예리1045</t>
  </si>
  <si>
    <t>안유인1502</t>
  </si>
  <si>
    <t>안은숙7295</t>
  </si>
  <si>
    <t>안종희1296</t>
  </si>
  <si>
    <t>안지혜1843</t>
  </si>
  <si>
    <t>안혜경4924</t>
  </si>
  <si>
    <t>양란숙1153</t>
  </si>
  <si>
    <t>양미정1298</t>
  </si>
  <si>
    <t>양성기1062</t>
  </si>
  <si>
    <t>양세린6733</t>
  </si>
  <si>
    <t>양순영4839</t>
  </si>
  <si>
    <t>양승미4351</t>
  </si>
  <si>
    <t>양안나0387</t>
  </si>
  <si>
    <t>양영애8353</t>
  </si>
  <si>
    <t>양은숙1285</t>
  </si>
  <si>
    <t>양주혜0767</t>
  </si>
  <si>
    <t>양혜숙8550</t>
  </si>
  <si>
    <t>어복희3592</t>
  </si>
  <si>
    <t>여영선6205</t>
  </si>
  <si>
    <t>연복순0240</t>
  </si>
  <si>
    <t>오금자3666</t>
  </si>
  <si>
    <t>오대영0959</t>
  </si>
  <si>
    <t>오문식3978</t>
  </si>
  <si>
    <t>오세연2707</t>
  </si>
  <si>
    <t>오순희3487</t>
  </si>
  <si>
    <t>오웅근7107</t>
  </si>
  <si>
    <t>오현실5900</t>
  </si>
  <si>
    <t>우인애1461</t>
  </si>
  <si>
    <t>우진희6680</t>
  </si>
  <si>
    <t>우혜진9286</t>
  </si>
  <si>
    <t>원종명7426</t>
  </si>
  <si>
    <t>원종순1319</t>
  </si>
  <si>
    <t>유남희2008</t>
  </si>
  <si>
    <t>유서현8801</t>
  </si>
  <si>
    <t>유연선0455</t>
  </si>
  <si>
    <t>유연홍7391</t>
  </si>
  <si>
    <t>유정화5270</t>
  </si>
  <si>
    <t>유종수8369</t>
  </si>
  <si>
    <t>유종순8883</t>
  </si>
  <si>
    <t>윤민아2010</t>
  </si>
  <si>
    <t>윤성애5812</t>
  </si>
  <si>
    <t>윤세현3911</t>
  </si>
  <si>
    <t>윤소영5284</t>
  </si>
  <si>
    <t>윤영미7286</t>
  </si>
  <si>
    <t>윤영이9831</t>
  </si>
  <si>
    <t>윤점례0794</t>
  </si>
  <si>
    <t>윤정이1788</t>
  </si>
  <si>
    <t>윤정희3055</t>
  </si>
  <si>
    <t>윤종분9540</t>
  </si>
  <si>
    <t>이가임6231</t>
  </si>
  <si>
    <t>이경연6882</t>
  </si>
  <si>
    <t>이경임6801</t>
  </si>
  <si>
    <t>이경호6237</t>
  </si>
  <si>
    <t>이경훈7083</t>
  </si>
  <si>
    <t>이경희4650</t>
  </si>
  <si>
    <t>이경희7798</t>
  </si>
  <si>
    <t>이금호5130</t>
  </si>
  <si>
    <t>이난이6445</t>
  </si>
  <si>
    <t>이다희6608</t>
  </si>
  <si>
    <t>이명덕5605</t>
  </si>
  <si>
    <t>이명선5546</t>
  </si>
  <si>
    <t>이명순0428</t>
  </si>
  <si>
    <t>이명순7887</t>
  </si>
  <si>
    <t>이명욱2850</t>
  </si>
  <si>
    <t>이명진7817</t>
  </si>
  <si>
    <t>이미숙7934</t>
  </si>
  <si>
    <t>이미화9071</t>
  </si>
  <si>
    <t>이미희9889</t>
  </si>
  <si>
    <t>이민자0273</t>
  </si>
  <si>
    <t>이상미3210</t>
  </si>
  <si>
    <t>이서경9828</t>
  </si>
  <si>
    <t>이선교3089</t>
  </si>
  <si>
    <t>이선이8958</t>
  </si>
  <si>
    <t>이세현2377</t>
  </si>
  <si>
    <t>이소영1511</t>
  </si>
  <si>
    <t>이소영4673</t>
  </si>
  <si>
    <t>이수목8780</t>
  </si>
  <si>
    <t>이수미1161</t>
  </si>
  <si>
    <t>이순분3830</t>
  </si>
  <si>
    <t>이순자9088</t>
  </si>
  <si>
    <t>이승미6331</t>
  </si>
  <si>
    <t>이승유6551</t>
  </si>
  <si>
    <t>이영경1605</t>
  </si>
  <si>
    <t>이영선7809</t>
  </si>
  <si>
    <t>이영숙4234</t>
  </si>
  <si>
    <t>이영옥4880</t>
  </si>
  <si>
    <t>이영옥5208</t>
  </si>
  <si>
    <t>이영희2457</t>
  </si>
  <si>
    <t>이옥영2780</t>
  </si>
  <si>
    <t>이완세2160</t>
  </si>
  <si>
    <t>이용혜3999</t>
  </si>
  <si>
    <t>이운희7786</t>
  </si>
  <si>
    <t>이유미9053</t>
  </si>
  <si>
    <t>이윤자8105</t>
  </si>
  <si>
    <t>이윤희7849</t>
  </si>
  <si>
    <t>이은령7595</t>
  </si>
  <si>
    <t>이은정9200</t>
  </si>
  <si>
    <t>이은주1307</t>
  </si>
  <si>
    <t>이인경9828</t>
  </si>
  <si>
    <t>이인자3083</t>
  </si>
  <si>
    <t>이자은5331</t>
  </si>
  <si>
    <t>이재학8751</t>
  </si>
  <si>
    <t>이정란7572</t>
  </si>
  <si>
    <t>이정민0959</t>
  </si>
  <si>
    <t>이정숙4461</t>
  </si>
  <si>
    <t>이채연7955</t>
  </si>
  <si>
    <t>이현자4522</t>
  </si>
  <si>
    <t>이현정2153</t>
  </si>
  <si>
    <t>이혜경5362</t>
  </si>
  <si>
    <t>이혜옥7067</t>
  </si>
  <si>
    <t>이혜진0907</t>
  </si>
  <si>
    <t>임규식8199</t>
  </si>
  <si>
    <t>임묘순4960</t>
  </si>
  <si>
    <t>임미연7888</t>
  </si>
  <si>
    <t>임상빈0952</t>
  </si>
  <si>
    <t>임서하7719</t>
  </si>
  <si>
    <t>임애리2848</t>
  </si>
  <si>
    <t>임영숙5827</t>
  </si>
  <si>
    <t>임영숙5904</t>
  </si>
  <si>
    <t>임영희7090</t>
  </si>
  <si>
    <t>임영희9775</t>
  </si>
  <si>
    <t>임은정9171</t>
  </si>
  <si>
    <t>임인경0500</t>
  </si>
  <si>
    <t>임정민9831</t>
  </si>
  <si>
    <t>임주연2630</t>
  </si>
  <si>
    <t>임지영0271</t>
  </si>
  <si>
    <t>장문정9874</t>
  </si>
  <si>
    <t>장미성2942</t>
  </si>
  <si>
    <t>장숙희1359</t>
  </si>
  <si>
    <t>장아미3505</t>
  </si>
  <si>
    <t>장영미3768</t>
  </si>
  <si>
    <t>장예나7770</t>
  </si>
  <si>
    <t>장운창2225</t>
  </si>
  <si>
    <t>장유나9407</t>
  </si>
  <si>
    <t>장윤숙9852</t>
  </si>
  <si>
    <t>장재욱2348</t>
  </si>
  <si>
    <t>장현옥4565</t>
  </si>
  <si>
    <t>장혜숙7524</t>
  </si>
  <si>
    <t>전병년2138</t>
  </si>
  <si>
    <t>전보경7001</t>
  </si>
  <si>
    <t>전서연2869</t>
  </si>
  <si>
    <t>전선아9860</t>
  </si>
  <si>
    <t>전윤선8409</t>
  </si>
  <si>
    <t>전현숙7208</t>
  </si>
  <si>
    <t>전희숙1660</t>
  </si>
  <si>
    <t>정경미8747</t>
  </si>
  <si>
    <t>정경숙8024</t>
  </si>
  <si>
    <t>정경환5773</t>
  </si>
  <si>
    <t>정규란2975</t>
  </si>
  <si>
    <t>정근주8486</t>
  </si>
  <si>
    <t>정금주7818</t>
  </si>
  <si>
    <t>정길순3176</t>
  </si>
  <si>
    <t>정남숙3653</t>
  </si>
  <si>
    <t>정명진1115</t>
  </si>
  <si>
    <t>정미숙1833</t>
  </si>
  <si>
    <t>정미희4220</t>
  </si>
  <si>
    <t>정봉희4687</t>
  </si>
  <si>
    <t>정상우1889</t>
  </si>
  <si>
    <t>정성화3705</t>
  </si>
  <si>
    <t>정소영3619</t>
  </si>
  <si>
    <t>정수영3432</t>
  </si>
  <si>
    <t>정승은2575</t>
  </si>
  <si>
    <t>정영림7246</t>
  </si>
  <si>
    <t>정영숙7265</t>
  </si>
  <si>
    <t>정옥수5389</t>
  </si>
  <si>
    <t>정우석4800</t>
  </si>
  <si>
    <t>정정수4275</t>
  </si>
  <si>
    <t>정종권2732</t>
  </si>
  <si>
    <t>정종월6336</t>
  </si>
  <si>
    <t>정중규9519</t>
  </si>
  <si>
    <t>정지니4662</t>
  </si>
  <si>
    <t>정해숙2942</t>
  </si>
  <si>
    <t>정혜경6199</t>
  </si>
  <si>
    <t>정혜숙1569</t>
  </si>
  <si>
    <t>정혜숙3083</t>
  </si>
  <si>
    <t>정화진4683</t>
  </si>
  <si>
    <t>조경순0888</t>
  </si>
  <si>
    <t>조경옥0487</t>
  </si>
  <si>
    <t>조경자5101</t>
  </si>
  <si>
    <t>조미경4639</t>
  </si>
  <si>
    <t>조미자3495</t>
  </si>
  <si>
    <t>조분자4107</t>
  </si>
  <si>
    <t>조서영8791</t>
  </si>
  <si>
    <t>조세연6045</t>
  </si>
  <si>
    <t>조소희8823</t>
  </si>
  <si>
    <t>조수경5581</t>
  </si>
  <si>
    <t>조영미1088</t>
  </si>
  <si>
    <t>조영희5700</t>
  </si>
  <si>
    <t>조월중6422</t>
  </si>
  <si>
    <t>조유진7299</t>
  </si>
  <si>
    <t>조윤경0052</t>
  </si>
  <si>
    <t>조은경7963</t>
  </si>
  <si>
    <t>조재희5066</t>
  </si>
  <si>
    <t>조정주2200</t>
  </si>
  <si>
    <t>조정희2248</t>
  </si>
  <si>
    <t>조철래8040</t>
  </si>
  <si>
    <t>조혜란7266</t>
  </si>
  <si>
    <t>조혜원1088</t>
  </si>
  <si>
    <t>조희숙2118</t>
  </si>
  <si>
    <t>조희진3990</t>
  </si>
  <si>
    <t>주순복3132</t>
  </si>
  <si>
    <t>주청주8084</t>
  </si>
  <si>
    <t>지은아3799</t>
  </si>
  <si>
    <t>진양희3381</t>
  </si>
  <si>
    <t>차서현3720</t>
  </si>
  <si>
    <t>차성희6260</t>
  </si>
  <si>
    <t>채연옥5539</t>
  </si>
  <si>
    <t>천순선7121</t>
  </si>
  <si>
    <t>최말경3739</t>
  </si>
  <si>
    <t>최문희5117</t>
  </si>
  <si>
    <t>최미자5066</t>
  </si>
  <si>
    <t>최병숙5193</t>
  </si>
  <si>
    <t>최서원0704</t>
  </si>
  <si>
    <t>최선앵8318</t>
  </si>
  <si>
    <t>최순옥5724</t>
  </si>
  <si>
    <t>최순화6740</t>
  </si>
  <si>
    <t>최영미9447</t>
  </si>
  <si>
    <t>최영옥7941</t>
  </si>
  <si>
    <t>최유숙5214</t>
  </si>
  <si>
    <t>최윤미8775</t>
  </si>
  <si>
    <t>최은영5082</t>
  </si>
  <si>
    <t>최은정3459</t>
  </si>
  <si>
    <t>최인형0221</t>
  </si>
  <si>
    <t>최정미3558</t>
  </si>
  <si>
    <t>최정임4125</t>
  </si>
  <si>
    <t>최종문3276</t>
  </si>
  <si>
    <t>최진화3473</t>
  </si>
  <si>
    <t>최향미6770</t>
  </si>
  <si>
    <t>최현정2817</t>
  </si>
  <si>
    <t>최효원1176</t>
  </si>
  <si>
    <t>최희성8926</t>
  </si>
  <si>
    <t>최희월7136</t>
  </si>
  <si>
    <t>추민지8663</t>
  </si>
  <si>
    <t>탁춘련6524</t>
  </si>
  <si>
    <t>하귀자6554</t>
  </si>
  <si>
    <t>하능식3186</t>
  </si>
  <si>
    <t>한근석2884</t>
  </si>
  <si>
    <t>한명희6290</t>
  </si>
  <si>
    <t>한미연9358</t>
  </si>
  <si>
    <t>한미희7196</t>
  </si>
  <si>
    <t>한상덕4484</t>
  </si>
  <si>
    <t>한아름7911</t>
  </si>
  <si>
    <t>한애리순1436</t>
  </si>
  <si>
    <t>한연심8802</t>
  </si>
  <si>
    <t>한원희2139</t>
  </si>
  <si>
    <t>한전훈1864</t>
  </si>
  <si>
    <t>한혜정6206</t>
  </si>
  <si>
    <t>한효주4437</t>
  </si>
  <si>
    <t>함종헌2351</t>
  </si>
  <si>
    <t>허경희1370</t>
  </si>
  <si>
    <t>허명숙8799</t>
  </si>
  <si>
    <t>허수순4412</t>
  </si>
  <si>
    <t>허영미7843</t>
  </si>
  <si>
    <t>허은숙4230</t>
  </si>
  <si>
    <t>허정수6443</t>
  </si>
  <si>
    <t>현순애1148</t>
  </si>
  <si>
    <t>홍미경3119</t>
  </si>
  <si>
    <t>홍미자0185</t>
  </si>
  <si>
    <t>홍성기5148</t>
  </si>
  <si>
    <t>홍순도9242</t>
  </si>
  <si>
    <t>홍순주5114</t>
  </si>
  <si>
    <t>홍유식7413</t>
  </si>
  <si>
    <t>홍인영4033</t>
  </si>
  <si>
    <t>홍지희1227</t>
  </si>
  <si>
    <t>홍현녀0197</t>
  </si>
  <si>
    <t>황경미5635</t>
  </si>
  <si>
    <t>황경자0928</t>
  </si>
  <si>
    <t>황규동6218</t>
  </si>
  <si>
    <t>황명숙7657</t>
  </si>
  <si>
    <t>황문숙9910</t>
  </si>
  <si>
    <t>황수빈4562</t>
  </si>
  <si>
    <t>황영숙7320</t>
  </si>
  <si>
    <t>황은영0255</t>
  </si>
  <si>
    <t>황은주4622</t>
  </si>
  <si>
    <t>황은화0793</t>
  </si>
  <si>
    <t>황정임1814</t>
  </si>
  <si>
    <t>LEE TAYLOR NAYON0616</t>
  </si>
  <si>
    <t>가재연6413</t>
  </si>
  <si>
    <t>강기정0940</t>
  </si>
  <si>
    <t>강미식9365</t>
  </si>
  <si>
    <t>강성미3448</t>
  </si>
  <si>
    <t>강의정3696</t>
  </si>
  <si>
    <t>강정아4860</t>
  </si>
  <si>
    <t>강정옥7889</t>
  </si>
  <si>
    <t>강태준8305</t>
  </si>
  <si>
    <t>강현정2457</t>
  </si>
  <si>
    <t>고미영3605</t>
  </si>
  <si>
    <t>고민경6970</t>
  </si>
  <si>
    <t>고순화5385</t>
  </si>
  <si>
    <t>고은혜7179</t>
  </si>
  <si>
    <t>고인숙9527</t>
  </si>
  <si>
    <t>국지현9973</t>
  </si>
  <si>
    <t>권미혜1965</t>
  </si>
  <si>
    <t>권혜규9679</t>
  </si>
  <si>
    <t>금동규2218</t>
  </si>
  <si>
    <t>길미정7345</t>
  </si>
  <si>
    <t>김가연9115</t>
  </si>
  <si>
    <t>김갑례6061</t>
  </si>
  <si>
    <t>김경순7883</t>
  </si>
  <si>
    <t>김경아9318</t>
  </si>
  <si>
    <t>김경애2304</t>
  </si>
  <si>
    <t>김경자5077</t>
  </si>
  <si>
    <t>김귀자2193</t>
  </si>
  <si>
    <t>김금랑0593</t>
  </si>
  <si>
    <t>김나경0321</t>
  </si>
  <si>
    <t>김나영5712</t>
  </si>
  <si>
    <t>김남희6223</t>
  </si>
  <si>
    <t>김내영3036</t>
  </si>
  <si>
    <t>김령지0860</t>
  </si>
  <si>
    <t>김명현9291</t>
  </si>
  <si>
    <t>김문공8775</t>
  </si>
  <si>
    <t>김미0409</t>
  </si>
  <si>
    <t>김미라6878</t>
  </si>
  <si>
    <t>김미라8670</t>
  </si>
  <si>
    <t>김미승8337</t>
  </si>
  <si>
    <t>김미옥0561</t>
  </si>
  <si>
    <t>김미정9788</t>
  </si>
  <si>
    <t>김미희6092</t>
  </si>
  <si>
    <t>김미희8992</t>
  </si>
  <si>
    <t>김민지8124</t>
  </si>
  <si>
    <t>김민지8930</t>
  </si>
  <si>
    <t>김민희1894</t>
  </si>
  <si>
    <t>김보경7295</t>
  </si>
  <si>
    <t>김상호8891</t>
  </si>
  <si>
    <t>김서호1185</t>
  </si>
  <si>
    <t>김서희1624</t>
  </si>
  <si>
    <t>김선예4936</t>
  </si>
  <si>
    <t>김선현3359</t>
  </si>
  <si>
    <t>김성연5233</t>
  </si>
  <si>
    <t>김성윤0615</t>
  </si>
  <si>
    <t>김성혜5493</t>
  </si>
  <si>
    <t>김소영6122</t>
  </si>
  <si>
    <t>김소옥7139</t>
  </si>
  <si>
    <t>김수옥1841</t>
  </si>
  <si>
    <t>김수지0562</t>
  </si>
  <si>
    <t>김숙현3119</t>
  </si>
  <si>
    <t>김순화9361</t>
  </si>
  <si>
    <t>김승여9242</t>
  </si>
  <si>
    <t>김시렬7855</t>
  </si>
  <si>
    <t>김신혜5451</t>
  </si>
  <si>
    <t>김연서0701</t>
  </si>
  <si>
    <t>김연심9623</t>
  </si>
  <si>
    <t>김영1842</t>
  </si>
  <si>
    <t>김영련1199</t>
  </si>
  <si>
    <t>김영순8200</t>
  </si>
  <si>
    <t>김영식4798</t>
  </si>
  <si>
    <t>김영자5428</t>
  </si>
  <si>
    <t>김영희1067</t>
  </si>
  <si>
    <t>김영희8895</t>
  </si>
  <si>
    <t>김옥숙3205</t>
  </si>
  <si>
    <t>김외숙8691</t>
  </si>
  <si>
    <t>김우선3226</t>
  </si>
  <si>
    <t>김은비2235</t>
  </si>
  <si>
    <t>김은정1753</t>
  </si>
  <si>
    <t>김은주2133</t>
  </si>
  <si>
    <t>김인순3575</t>
  </si>
  <si>
    <t>김일9644</t>
  </si>
  <si>
    <t>김정미1814</t>
  </si>
  <si>
    <t>김정숙0365</t>
  </si>
  <si>
    <t>김정숙9159</t>
  </si>
  <si>
    <t>김정희9101</t>
  </si>
  <si>
    <t>김제니3130</t>
  </si>
  <si>
    <t>김종환4246</t>
  </si>
  <si>
    <t>김준환4094</t>
  </si>
  <si>
    <t>김지수7210</t>
  </si>
  <si>
    <t>김지원0505</t>
  </si>
  <si>
    <t>김지원9765</t>
  </si>
  <si>
    <t>김진자7591</t>
  </si>
  <si>
    <t>김태선9749</t>
  </si>
  <si>
    <t>김택곤2903</t>
  </si>
  <si>
    <t>김하나3221</t>
  </si>
  <si>
    <t>김헌주7935</t>
  </si>
  <si>
    <t>김현식7015</t>
  </si>
  <si>
    <t>김현애7393</t>
  </si>
  <si>
    <t>김현옥2797</t>
  </si>
  <si>
    <t>김혜영1626</t>
  </si>
  <si>
    <t>김호숙7100</t>
  </si>
  <si>
    <t>나순복1188</t>
  </si>
  <si>
    <t>나은영5145</t>
  </si>
  <si>
    <t>나현기0612</t>
  </si>
  <si>
    <t>남궁호5360</t>
  </si>
  <si>
    <t>남숙희7542</t>
  </si>
  <si>
    <t>남창건4208</t>
  </si>
  <si>
    <t>노영란3801</t>
  </si>
  <si>
    <t>노주원1954</t>
  </si>
  <si>
    <t>노춘자8460</t>
  </si>
  <si>
    <t>노형남8021</t>
  </si>
  <si>
    <t>라광수1795</t>
  </si>
  <si>
    <t>류선균8235</t>
  </si>
  <si>
    <t>류은양8855</t>
  </si>
  <si>
    <t>류혜림3450</t>
  </si>
  <si>
    <t>문고업7506</t>
  </si>
  <si>
    <t>문대영8427</t>
  </si>
  <si>
    <t>문은경2864</t>
  </si>
  <si>
    <t>문정아4901</t>
  </si>
  <si>
    <t>민도선5057</t>
  </si>
  <si>
    <t>민희식6876</t>
  </si>
  <si>
    <t>박경숙2965</t>
  </si>
  <si>
    <t>박명희6737</t>
  </si>
  <si>
    <t>박미선6783</t>
  </si>
  <si>
    <t>박미자6026</t>
  </si>
  <si>
    <t>박보라5168</t>
  </si>
  <si>
    <t>박복숙2435</t>
  </si>
  <si>
    <t>박상엽2363</t>
  </si>
  <si>
    <t>박상용2640</t>
  </si>
  <si>
    <t>박선아8872</t>
  </si>
  <si>
    <t>박세영0598</t>
  </si>
  <si>
    <t>박소현0427</t>
  </si>
  <si>
    <t>박수진6294</t>
  </si>
  <si>
    <t>박수진9876</t>
  </si>
  <si>
    <t>박순정6766</t>
  </si>
  <si>
    <t>박영숙6432</t>
  </si>
  <si>
    <t>박영주1228</t>
  </si>
  <si>
    <t>박영철6331</t>
  </si>
  <si>
    <t>박영희1041</t>
  </si>
  <si>
    <t>박옥자4409</t>
  </si>
  <si>
    <t>박용녀4220</t>
  </si>
  <si>
    <t>박용준9993</t>
  </si>
  <si>
    <t>박유순8098</t>
  </si>
  <si>
    <t>박은주2133</t>
  </si>
  <si>
    <t>박재희8104</t>
  </si>
  <si>
    <t>박정남7595</t>
  </si>
  <si>
    <t>박정단1280</t>
  </si>
  <si>
    <t>박정희1004</t>
  </si>
  <si>
    <t>박종구2737</t>
  </si>
  <si>
    <t>박진숙5310</t>
  </si>
  <si>
    <t>박진영9758</t>
  </si>
  <si>
    <t>박찬영8428</t>
  </si>
  <si>
    <t>박찬욱8670</t>
  </si>
  <si>
    <t>박찬호5700</t>
  </si>
  <si>
    <t>박창희1977</t>
  </si>
  <si>
    <t>박태선8474</t>
  </si>
  <si>
    <t>박형신7622</t>
  </si>
  <si>
    <t>박혜민8754</t>
  </si>
  <si>
    <t>반인기0145</t>
  </si>
  <si>
    <t>방연화6211</t>
  </si>
  <si>
    <t>방종숙9319</t>
  </si>
  <si>
    <t>배경희5660</t>
  </si>
  <si>
    <t>배미경4989</t>
  </si>
  <si>
    <t>배미숙3949</t>
  </si>
  <si>
    <t>배성숙5773</t>
  </si>
  <si>
    <t>배연옥3234</t>
  </si>
  <si>
    <t>배용복8288</t>
  </si>
  <si>
    <t>배희수0715</t>
  </si>
  <si>
    <t>백광숙0209</t>
  </si>
  <si>
    <t>백소희1879</t>
  </si>
  <si>
    <t>백영미1149</t>
  </si>
  <si>
    <t>백은주8636</t>
  </si>
  <si>
    <t>백지혜7400</t>
  </si>
  <si>
    <t>백창남8750</t>
  </si>
  <si>
    <t>변혜진9852</t>
  </si>
  <si>
    <t>서동희8780</t>
  </si>
  <si>
    <t>서영란5434</t>
  </si>
  <si>
    <t>서윤정4973</t>
  </si>
  <si>
    <t>서춘숙5957</t>
  </si>
  <si>
    <t>서춘원2649</t>
  </si>
  <si>
    <t>석소희7212</t>
  </si>
  <si>
    <t>석진순8304</t>
  </si>
  <si>
    <t>설애영7970</t>
  </si>
  <si>
    <t>성명숙1208</t>
  </si>
  <si>
    <t>성인숙2018</t>
  </si>
  <si>
    <t>손근현5715</t>
  </si>
  <si>
    <t>손승민6469</t>
  </si>
  <si>
    <t>손정자3113</t>
  </si>
  <si>
    <t>손종옥8803</t>
  </si>
  <si>
    <t>송영희5681</t>
  </si>
  <si>
    <t>송영희9453</t>
  </si>
  <si>
    <t>송은경2889</t>
  </si>
  <si>
    <t>송인옥0520</t>
  </si>
  <si>
    <t>송효석2739</t>
  </si>
  <si>
    <t>신경옥8265</t>
  </si>
  <si>
    <t>신동예2865</t>
  </si>
  <si>
    <t>신병천7420</t>
  </si>
  <si>
    <t>신성규6024</t>
  </si>
  <si>
    <t>신수진0428</t>
  </si>
  <si>
    <t>신승한3318</t>
  </si>
  <si>
    <t>신영동2172</t>
  </si>
  <si>
    <t>신인호2015</t>
  </si>
  <si>
    <t>신정아5354</t>
  </si>
  <si>
    <t>신한숙2729</t>
  </si>
  <si>
    <t>신혜균9193</t>
  </si>
  <si>
    <t>신희자8624</t>
  </si>
  <si>
    <t>신희철5511</t>
  </si>
  <si>
    <t>심우철0295</t>
  </si>
  <si>
    <t>안경자9297</t>
  </si>
  <si>
    <t>안영란7968</t>
  </si>
  <si>
    <t>안예림5908</t>
  </si>
  <si>
    <t>안은숙5404</t>
  </si>
  <si>
    <t>양경6832</t>
  </si>
  <si>
    <t>양우정6832</t>
  </si>
  <si>
    <t>양정아7899</t>
  </si>
  <si>
    <t>양종원6361</t>
  </si>
  <si>
    <t>양한수1640</t>
  </si>
  <si>
    <t>오세정0923</t>
  </si>
  <si>
    <t>오영삼5032</t>
  </si>
  <si>
    <t>오정림4977</t>
  </si>
  <si>
    <t>오지선1444</t>
  </si>
  <si>
    <t>오현주0661</t>
  </si>
  <si>
    <t>오효근6604</t>
  </si>
  <si>
    <t>원지희6017</t>
  </si>
  <si>
    <t>유미숙0143</t>
  </si>
  <si>
    <t>유병용3101</t>
  </si>
  <si>
    <t>유순옥7104</t>
  </si>
  <si>
    <t>유영희0675</t>
  </si>
  <si>
    <t>유혜경0368</t>
  </si>
  <si>
    <t>윤경숙1230</t>
  </si>
  <si>
    <t>윤관식1085</t>
  </si>
  <si>
    <t>윤달미8111</t>
  </si>
  <si>
    <t>윤도현1477</t>
  </si>
  <si>
    <t>윤민종3456</t>
  </si>
  <si>
    <t>윤성수6663</t>
  </si>
  <si>
    <t>윤순교7843</t>
  </si>
  <si>
    <t>윤여진2814</t>
  </si>
  <si>
    <t>윤은숙1890</t>
  </si>
  <si>
    <t>윤인숙8262</t>
  </si>
  <si>
    <t>윤정숙3328</t>
  </si>
  <si>
    <t>윤혜연0395</t>
  </si>
  <si>
    <t>윤혜준6324</t>
  </si>
  <si>
    <t>이갑숙6767</t>
  </si>
  <si>
    <t>이경옥5342</t>
  </si>
  <si>
    <t>이경자4474</t>
  </si>
  <si>
    <t>이경희3632</t>
  </si>
  <si>
    <t>이광진7955</t>
  </si>
  <si>
    <t>이규삼2932</t>
  </si>
  <si>
    <t>이기훈3645</t>
  </si>
  <si>
    <t>이길선4200</t>
  </si>
  <si>
    <t>이남애0991</t>
  </si>
  <si>
    <t>이다현0161</t>
  </si>
  <si>
    <t>이명희7767</t>
  </si>
  <si>
    <t>이명희8150</t>
  </si>
  <si>
    <t>이미경6750</t>
  </si>
  <si>
    <t>이미영1346</t>
  </si>
  <si>
    <t>이미영9456</t>
  </si>
  <si>
    <t>이미자8888</t>
  </si>
  <si>
    <t>이미화6748</t>
  </si>
  <si>
    <t>이병열6707</t>
  </si>
  <si>
    <t>이상즙8275</t>
  </si>
  <si>
    <t>이선경7545</t>
  </si>
  <si>
    <t>이선화6780</t>
  </si>
  <si>
    <t>이세라7027</t>
  </si>
  <si>
    <t>이소원6425</t>
  </si>
  <si>
    <t>이소희8603</t>
  </si>
  <si>
    <t>이수미3267</t>
  </si>
  <si>
    <t>이수영1132</t>
  </si>
  <si>
    <t>이숙희4254</t>
  </si>
  <si>
    <t>이순원0115</t>
  </si>
  <si>
    <t>이아힘2310</t>
  </si>
  <si>
    <t>이애경1676</t>
  </si>
  <si>
    <t>이양규3461</t>
  </si>
  <si>
    <t>이영례5595</t>
  </si>
  <si>
    <t>이영애7026</t>
  </si>
  <si>
    <t>이영애8424</t>
  </si>
  <si>
    <t>이영표2470</t>
  </si>
  <si>
    <t>이영희9086</t>
  </si>
  <si>
    <t>이유성3152</t>
  </si>
  <si>
    <t>이유주0037</t>
  </si>
  <si>
    <t>이은경0706</t>
  </si>
  <si>
    <t>이은숙2600</t>
  </si>
  <si>
    <t>이은옥2155</t>
  </si>
  <si>
    <t>정숙4686</t>
  </si>
  <si>
    <t>이을선4338</t>
  </si>
  <si>
    <t>이재숙8764</t>
  </si>
  <si>
    <t>이재월2592</t>
  </si>
  <si>
    <t>이정길8004</t>
  </si>
  <si>
    <t>이정은7820</t>
  </si>
  <si>
    <t>이주연1785</t>
  </si>
  <si>
    <t>이지아3589</t>
  </si>
  <si>
    <t>이지영2400</t>
  </si>
  <si>
    <t>이지윤3738</t>
  </si>
  <si>
    <t>이진숙9539</t>
  </si>
  <si>
    <t>이창연6298</t>
  </si>
  <si>
    <t>이춘희6530</t>
  </si>
  <si>
    <t>이한숙5133</t>
  </si>
  <si>
    <t>이항식3029</t>
  </si>
  <si>
    <t>이현숙7067</t>
  </si>
  <si>
    <t>이현순4922</t>
  </si>
  <si>
    <t>이현아3560</t>
  </si>
  <si>
    <t>이혜경6721</t>
  </si>
  <si>
    <t>이혜승7794</t>
  </si>
  <si>
    <t>이혜원5193</t>
  </si>
  <si>
    <t>이혜은1016</t>
  </si>
  <si>
    <t>이화란3516</t>
  </si>
  <si>
    <t>이화주2928</t>
  </si>
  <si>
    <t>임경란0986</t>
  </si>
  <si>
    <t>임경선1610</t>
  </si>
  <si>
    <t>임경식6374</t>
  </si>
  <si>
    <t>임기영2028</t>
  </si>
  <si>
    <t>임성빈3959</t>
  </si>
  <si>
    <t>임영길6196</t>
  </si>
  <si>
    <t>임은정8171</t>
  </si>
  <si>
    <t>임정임8556</t>
  </si>
  <si>
    <t>임조경3686</t>
  </si>
  <si>
    <t>임지우8944</t>
  </si>
  <si>
    <t>임희경8879</t>
  </si>
  <si>
    <t>장경선6419</t>
  </si>
  <si>
    <t>장미영0348</t>
  </si>
  <si>
    <t>장선애1384</t>
  </si>
  <si>
    <t>장승희5967</t>
  </si>
  <si>
    <t>장신영7244</t>
  </si>
  <si>
    <t>장재성2905</t>
  </si>
  <si>
    <t>장진영1978</t>
  </si>
  <si>
    <t>장현정7953</t>
  </si>
  <si>
    <t>장혜원5388</t>
  </si>
  <si>
    <t>전영옥4627</t>
  </si>
  <si>
    <t>전종현6702</t>
  </si>
  <si>
    <t>전춘옥7480</t>
  </si>
  <si>
    <t>정경임3482</t>
  </si>
  <si>
    <t>정경희3473</t>
  </si>
  <si>
    <t>정경희4585</t>
  </si>
  <si>
    <t>정명지3360</t>
  </si>
  <si>
    <t>정봉애3970</t>
  </si>
  <si>
    <t>정소연1531</t>
  </si>
  <si>
    <t>정소희6572</t>
  </si>
  <si>
    <t>정옥화5039</t>
  </si>
  <si>
    <t>정윤숙1008</t>
  </si>
  <si>
    <t>정은정8075</t>
  </si>
  <si>
    <t>정재열3530</t>
  </si>
  <si>
    <t>정재영8040</t>
  </si>
  <si>
    <t>정해숙6169</t>
  </si>
  <si>
    <t>정현종0075</t>
  </si>
  <si>
    <t>정혜월9988</t>
  </si>
  <si>
    <t>정효순7999</t>
  </si>
  <si>
    <t>조명아7117</t>
  </si>
  <si>
    <t>조민자3003</t>
  </si>
  <si>
    <t>조선미9809</t>
  </si>
  <si>
    <t>조성권5083</t>
  </si>
  <si>
    <t>조성훈0398</t>
  </si>
  <si>
    <t>조소현3740</t>
  </si>
  <si>
    <t>조용훈6725</t>
  </si>
  <si>
    <t>조원석8398</t>
  </si>
  <si>
    <t>조윤경5497</t>
  </si>
  <si>
    <t>조찬영2959</t>
  </si>
  <si>
    <t>조혜경1638</t>
  </si>
  <si>
    <t>좌경희7216</t>
  </si>
  <si>
    <t>주현경0225</t>
  </si>
  <si>
    <t>지은자5295</t>
  </si>
  <si>
    <t>지채현1977</t>
  </si>
  <si>
    <t>지혜영2260</t>
  </si>
  <si>
    <t>진라희3114</t>
  </si>
  <si>
    <t>진승엽3879</t>
  </si>
  <si>
    <t>차경남8101</t>
  </si>
  <si>
    <t>차인남0435</t>
  </si>
  <si>
    <t>차주명5434</t>
  </si>
  <si>
    <t>차현주1480</t>
  </si>
  <si>
    <t>채경숙4334</t>
  </si>
  <si>
    <t>채미향2262</t>
  </si>
  <si>
    <t>천현우1029</t>
  </si>
  <si>
    <t>최경5267</t>
  </si>
  <si>
    <t>최귀선5585</t>
  </si>
  <si>
    <t>최문순2810</t>
  </si>
  <si>
    <t>최미라4309</t>
  </si>
  <si>
    <t>최민주1857</t>
  </si>
  <si>
    <t>최선경1465</t>
  </si>
  <si>
    <t>최숙희8576</t>
  </si>
  <si>
    <t>최양숙2549</t>
  </si>
  <si>
    <t>최영미3696</t>
  </si>
  <si>
    <t>최영미4024</t>
  </si>
  <si>
    <t>최영훈6247</t>
  </si>
  <si>
    <t>최영희3592</t>
  </si>
  <si>
    <t>최원정1337</t>
  </si>
  <si>
    <t>최원현5775</t>
  </si>
  <si>
    <t>최유정6894</t>
  </si>
  <si>
    <t>최윤정0124</t>
  </si>
  <si>
    <t>최윤정2558</t>
  </si>
  <si>
    <t>최윤희0580</t>
  </si>
  <si>
    <t>최은경7905</t>
  </si>
  <si>
    <t>최은혜2348</t>
  </si>
  <si>
    <t>최은환5692</t>
  </si>
  <si>
    <t>최인성2300</t>
  </si>
  <si>
    <t>최정분4604</t>
  </si>
  <si>
    <t>최정자1976</t>
  </si>
  <si>
    <t>최준희0031</t>
  </si>
  <si>
    <t>표금복6551</t>
  </si>
  <si>
    <t>하문혜1770</t>
  </si>
  <si>
    <t>하서빈4292</t>
  </si>
  <si>
    <t>한국희2751</t>
  </si>
  <si>
    <t>한명실7644</t>
  </si>
  <si>
    <t>한상언6103</t>
  </si>
  <si>
    <t>한순덕9470</t>
  </si>
  <si>
    <t>한순애5381</t>
  </si>
  <si>
    <t>한은경9703</t>
  </si>
  <si>
    <t>한은숙7899</t>
  </si>
  <si>
    <t>한준호6685</t>
  </si>
  <si>
    <t>함은순7927</t>
  </si>
  <si>
    <t>함정순5693</t>
  </si>
  <si>
    <t>허은영8222</t>
  </si>
  <si>
    <t>현해시5421</t>
  </si>
  <si>
    <t>홍미정3758</t>
  </si>
  <si>
    <t>홍정의6543</t>
  </si>
  <si>
    <t>홍효정9412</t>
  </si>
  <si>
    <t>황광숙0607</t>
  </si>
  <si>
    <t>황기자1154</t>
  </si>
  <si>
    <t>황기호9859</t>
  </si>
  <si>
    <t>황민선1453</t>
  </si>
  <si>
    <t>황성수7631</t>
  </si>
  <si>
    <t>황성화0236</t>
  </si>
  <si>
    <t>황재숙8331</t>
  </si>
  <si>
    <t>황정은5567</t>
  </si>
  <si>
    <t>황정임5441</t>
  </si>
  <si>
    <t>황종경5803</t>
  </si>
  <si>
    <t>황희숙4316</t>
  </si>
  <si>
    <t>희연8883</t>
  </si>
  <si>
    <t>KIM DENNIS HO7251</t>
  </si>
  <si>
    <t>ID</t>
  </si>
  <si>
    <t>신청일시</t>
  </si>
  <si>
    <t>이름</t>
  </si>
  <si>
    <t>전화번호</t>
  </si>
  <si>
    <t>생년월일(앞자리)</t>
  </si>
  <si>
    <t>티켓수</t>
  </si>
  <si>
    <t>동반자 이름</t>
  </si>
  <si>
    <t>동반자 전화번호</t>
  </si>
  <si>
    <t>동반자 생년월일</t>
  </si>
  <si>
    <t>임시인덱스</t>
  </si>
  <si>
    <t>중복입금여부</t>
  </si>
  <si>
    <t>필요입금액</t>
  </si>
  <si>
    <t>실제입금액</t>
  </si>
  <si>
    <t>환급액</t>
  </si>
  <si>
    <t>2025. 12. 07. 09:06:03</t>
  </si>
  <si>
    <t>김영련</t>
  </si>
  <si>
    <t>010-3661-1199</t>
  </si>
  <si>
    <t>주영혜</t>
  </si>
  <si>
    <t>010-6235-8260</t>
  </si>
  <si>
    <t>2025. 12. 07. 09:07:52</t>
  </si>
  <si>
    <t>최원현</t>
  </si>
  <si>
    <t>010-3000-5775</t>
  </si>
  <si>
    <t>정시유</t>
  </si>
  <si>
    <t>010-3000-5125</t>
  </si>
  <si>
    <t>실입금합계</t>
  </si>
  <si>
    <t>2025. 12. 07. 09:07:26</t>
  </si>
  <si>
    <t>이유주</t>
  </si>
  <si>
    <t>010-7138-0037</t>
  </si>
  <si>
    <t>손정애</t>
  </si>
  <si>
    <t>010-5591-1926</t>
  </si>
  <si>
    <t>2025. 12. 07. 09:06:49</t>
  </si>
  <si>
    <t>함정순</t>
  </si>
  <si>
    <t>010-8885-5693</t>
  </si>
  <si>
    <t>문현주</t>
  </si>
  <si>
    <t>010-6316-5693</t>
  </si>
  <si>
    <t>실입금-환급</t>
  </si>
  <si>
    <t>2025. 12. 07. 09:02:10</t>
  </si>
  <si>
    <t>임기영</t>
  </si>
  <si>
    <t>010-9605-2028</t>
  </si>
  <si>
    <t>-</t>
  </si>
  <si>
    <t>2025. 12. 07. 09:07:57</t>
  </si>
  <si>
    <t>민도선</t>
  </si>
  <si>
    <t>010-2806-5057</t>
  </si>
  <si>
    <t>이경민</t>
  </si>
  <si>
    <t>010-5360-3758</t>
  </si>
  <si>
    <t>2025. 12. 07. 09:07:06</t>
  </si>
  <si>
    <t>최숙희</t>
  </si>
  <si>
    <t>010-4801-8576</t>
  </si>
  <si>
    <t>신미자</t>
  </si>
  <si>
    <t>010-3604-1619</t>
  </si>
  <si>
    <t>2025. 12. 07. 09:06:52</t>
  </si>
  <si>
    <t>정옥화</t>
  </si>
  <si>
    <t>010-5300-5039</t>
  </si>
  <si>
    <t>류제성</t>
  </si>
  <si>
    <t>010-3672-6717</t>
  </si>
  <si>
    <t>2025. 12. 07. 09:06:59</t>
  </si>
  <si>
    <t>지은자</t>
  </si>
  <si>
    <t>010-4937-5295</t>
  </si>
  <si>
    <t>김해영</t>
  </si>
  <si>
    <t>010-6556-2831</t>
  </si>
  <si>
    <t>2025. 12. 07. 09:07:05</t>
  </si>
  <si>
    <t>안은숙</t>
  </si>
  <si>
    <t>010-2804-5404</t>
  </si>
  <si>
    <t>김종대</t>
  </si>
  <si>
    <t>010-8231-1890</t>
  </si>
  <si>
    <t>2025. 12. 07. 09:08:00</t>
  </si>
  <si>
    <t>백은주</t>
  </si>
  <si>
    <t>010-3324-8636</t>
  </si>
  <si>
    <t>김태순</t>
  </si>
  <si>
    <t>010-3238-5025</t>
  </si>
  <si>
    <t>2025. 12. 07. 09:06:51</t>
  </si>
  <si>
    <t>석진순</t>
  </si>
  <si>
    <t>010-4646-8304</t>
  </si>
  <si>
    <t>김필환</t>
  </si>
  <si>
    <t>010-3622-0097</t>
  </si>
  <si>
    <t>2025. 12. 07. 09:07:36</t>
  </si>
  <si>
    <t>김지수</t>
  </si>
  <si>
    <t>010-5008-7210</t>
  </si>
  <si>
    <t>허연희</t>
  </si>
  <si>
    <t>010-2606-7464</t>
  </si>
  <si>
    <t>2025. 12. 07. 09:07:59</t>
  </si>
  <si>
    <t>김일</t>
  </si>
  <si>
    <t>010-4350-9644</t>
  </si>
  <si>
    <t>한명희</t>
  </si>
  <si>
    <t>010-5632-8863</t>
  </si>
  <si>
    <t>차현주</t>
  </si>
  <si>
    <t>010-4512-1480</t>
  </si>
  <si>
    <t>하예진</t>
  </si>
  <si>
    <t>010-5795-1480</t>
  </si>
  <si>
    <t>2025. 12. 07. 09:08:12</t>
  </si>
  <si>
    <t>윤경숙</t>
  </si>
  <si>
    <t>010-7119-1230</t>
  </si>
  <si>
    <t>최정묵</t>
  </si>
  <si>
    <t>010-7337-2727</t>
  </si>
  <si>
    <t>2025. 12. 07. 09:08:01</t>
  </si>
  <si>
    <t>이혜승</t>
  </si>
  <si>
    <t>010-4184-7794</t>
  </si>
  <si>
    <t>최인자</t>
  </si>
  <si>
    <t>010-4174-4809</t>
  </si>
  <si>
    <t>2025. 12. 07. 09:06:37</t>
  </si>
  <si>
    <t>김소옥</t>
  </si>
  <si>
    <t>010-3844-7139</t>
  </si>
  <si>
    <t>최옥숙</t>
  </si>
  <si>
    <t>010-3642-8978</t>
  </si>
  <si>
    <t>2025. 12. 07. 09:06:53</t>
  </si>
  <si>
    <t>안예림</t>
  </si>
  <si>
    <t>010-6473-5908</t>
  </si>
  <si>
    <t>최수정</t>
  </si>
  <si>
    <t>010-5483-9423</t>
  </si>
  <si>
    <t>박용준</t>
  </si>
  <si>
    <t>010-8479-9993</t>
  </si>
  <si>
    <t>최계희</t>
  </si>
  <si>
    <t>010-2244-3967</t>
  </si>
  <si>
    <t>2025. 12. 07. 09:07:07</t>
  </si>
  <si>
    <t>남궁호</t>
  </si>
  <si>
    <t>010-9325-5360</t>
  </si>
  <si>
    <t>차효숙</t>
  </si>
  <si>
    <t>010-3661-4678</t>
  </si>
  <si>
    <t>2025. 12. 07. 09:07:28</t>
  </si>
  <si>
    <t>이현아</t>
  </si>
  <si>
    <t>010-9976-3560</t>
  </si>
  <si>
    <t>주진수</t>
  </si>
  <si>
    <t>010-9735-3560</t>
  </si>
  <si>
    <t>신혜균</t>
  </si>
  <si>
    <t>010-7310-9193</t>
  </si>
  <si>
    <t>조항윤</t>
  </si>
  <si>
    <t>010-6733-1900</t>
  </si>
  <si>
    <t>2025. 12. 07. 09:06:13</t>
  </si>
  <si>
    <t>정윤숙</t>
  </si>
  <si>
    <t>010-2502-1008</t>
  </si>
  <si>
    <t>조진숙</t>
  </si>
  <si>
    <t>010-8744-2036</t>
  </si>
  <si>
    <t>2025. 12. 07. 09:07:50</t>
  </si>
  <si>
    <t>강정옥</t>
  </si>
  <si>
    <t>010-3021-7889</t>
  </si>
  <si>
    <t>조수정</t>
  </si>
  <si>
    <t>010-9446-7630</t>
  </si>
  <si>
    <t>2025. 12. 07. 09:07:48</t>
  </si>
  <si>
    <t>최은환</t>
  </si>
  <si>
    <t>010-5364-5692</t>
  </si>
  <si>
    <t>장현숙</t>
  </si>
  <si>
    <t>010-9020-7191</t>
  </si>
  <si>
    <t>2025. 12. 07. 09:07:44</t>
  </si>
  <si>
    <t>지채현</t>
  </si>
  <si>
    <t>010-8108-1977</t>
  </si>
  <si>
    <t>임승분</t>
  </si>
  <si>
    <t>010-3892-3790</t>
  </si>
  <si>
    <t>임경선</t>
  </si>
  <si>
    <t>010-2612-1610</t>
  </si>
  <si>
    <t>임수연</t>
  </si>
  <si>
    <t>010-9497-4250</t>
  </si>
  <si>
    <t>이기훈</t>
  </si>
  <si>
    <t>010-5484-3645</t>
  </si>
  <si>
    <t>이희전</t>
  </si>
  <si>
    <t>010-8995-3640</t>
  </si>
  <si>
    <t>2025. 12. 07. 09:08:02</t>
  </si>
  <si>
    <t>박정단</t>
  </si>
  <si>
    <t>010-5219-1280</t>
  </si>
  <si>
    <t>이중호</t>
  </si>
  <si>
    <t>010-4076-0615</t>
  </si>
  <si>
    <t>2025. 12. 07. 09:07:24</t>
  </si>
  <si>
    <t>서춘숙</t>
  </si>
  <si>
    <t>010-8756-5957</t>
  </si>
  <si>
    <t>이영선</t>
  </si>
  <si>
    <t>010-3044-1209</t>
  </si>
  <si>
    <t>2025. 12. 07. 09:06:35</t>
  </si>
  <si>
    <t>정재영</t>
  </si>
  <si>
    <t>010-2027-8040</t>
  </si>
  <si>
    <t>윤민희</t>
  </si>
  <si>
    <t>010-4098-5940</t>
  </si>
  <si>
    <t>김경아</t>
  </si>
  <si>
    <t>010-9170-9318</t>
  </si>
  <si>
    <t>유정율</t>
  </si>
  <si>
    <t>010-2561-7736</t>
  </si>
  <si>
    <t>신인호</t>
  </si>
  <si>
    <t>010-5203-2015</t>
  </si>
  <si>
    <t>신은주</t>
  </si>
  <si>
    <t>010-3400-9696</t>
  </si>
  <si>
    <t>2025. 12. 07. 09:06:31</t>
  </si>
  <si>
    <t>이다현</t>
  </si>
  <si>
    <t>010-6407-0161</t>
  </si>
  <si>
    <t>서정을</t>
  </si>
  <si>
    <t>010-3748-1786</t>
  </si>
  <si>
    <t>2025. 12. 07. 09:08:06</t>
  </si>
  <si>
    <t>서윤정</t>
  </si>
  <si>
    <t>010-8914-4973</t>
  </si>
  <si>
    <t>서우주</t>
  </si>
  <si>
    <t>010-4023-4973</t>
  </si>
  <si>
    <t>2025. 12. 07. 09:07:14</t>
  </si>
  <si>
    <t>이미영</t>
  </si>
  <si>
    <t>010-7279-1346</t>
  </si>
  <si>
    <t>백승수</t>
  </si>
  <si>
    <t>010-8822-7676</t>
  </si>
  <si>
    <t>임정임</t>
  </si>
  <si>
    <t>010-3139-8556</t>
  </si>
  <si>
    <t>배우식</t>
  </si>
  <si>
    <t>010-2377-2555</t>
  </si>
  <si>
    <t>이정길</t>
  </si>
  <si>
    <t>010-9955-8004</t>
  </si>
  <si>
    <t>박필란</t>
  </si>
  <si>
    <t>010-6216-5404</t>
  </si>
  <si>
    <t>김현애</t>
  </si>
  <si>
    <t>010-3184-7393</t>
  </si>
  <si>
    <t>박주연</t>
  </si>
  <si>
    <t>010-3718-1608</t>
  </si>
  <si>
    <t>이은경</t>
  </si>
  <si>
    <t>010-7766-0706</t>
  </si>
  <si>
    <t>박임영</t>
  </si>
  <si>
    <t>010-3702-3251</t>
  </si>
  <si>
    <t>백영미</t>
  </si>
  <si>
    <t>010-4145-1149</t>
  </si>
  <si>
    <t>박관준</t>
  </si>
  <si>
    <t>010-2370-1146</t>
  </si>
  <si>
    <t>2025. 12. 07. 09:06:57</t>
  </si>
  <si>
    <t>이영표</t>
  </si>
  <si>
    <t>010-9087-2470</t>
  </si>
  <si>
    <t>남궁미</t>
  </si>
  <si>
    <t>010-9275-6185</t>
  </si>
  <si>
    <t>윤성수</t>
  </si>
  <si>
    <t>010-8914-6663</t>
  </si>
  <si>
    <t>김홍례</t>
  </si>
  <si>
    <t>010-2776-6241</t>
  </si>
  <si>
    <t>2025. 12. 07. 09:06:02</t>
  </si>
  <si>
    <t>이화란</t>
  </si>
  <si>
    <t>010-4011-3516</t>
  </si>
  <si>
    <t>김진솔</t>
  </si>
  <si>
    <t>010-6610-7849</t>
  </si>
  <si>
    <t>2025. 12. 07. 09:08:13</t>
  </si>
  <si>
    <t>이길선</t>
  </si>
  <si>
    <t>010-9311-4200</t>
  </si>
  <si>
    <t>김종열</t>
  </si>
  <si>
    <t>010-3592-9954</t>
  </si>
  <si>
    <t>2025. 12. 07. 09:07:29</t>
  </si>
  <si>
    <t>채미향</t>
  </si>
  <si>
    <t>010-2887-2262</t>
  </si>
  <si>
    <t>김정아</t>
  </si>
  <si>
    <t>010-6707-5230</t>
  </si>
  <si>
    <t>2025. 12. 07. 09:07:21</t>
  </si>
  <si>
    <t>희연</t>
  </si>
  <si>
    <t>010-9423-8883</t>
  </si>
  <si>
    <t>김연진</t>
  </si>
  <si>
    <t>010-5046-6262</t>
  </si>
  <si>
    <t>김신혜</t>
  </si>
  <si>
    <t>010-3571-5451</t>
  </si>
  <si>
    <t>김순희</t>
  </si>
  <si>
    <t>010-3757-5451</t>
  </si>
  <si>
    <t>길미정</t>
  </si>
  <si>
    <t>010-2032-7345</t>
  </si>
  <si>
    <t>김선경</t>
  </si>
  <si>
    <t>010-5553-9395</t>
  </si>
  <si>
    <t>2025. 12. 07. 09:07:43</t>
  </si>
  <si>
    <t>이주연</t>
  </si>
  <si>
    <t>010-3568-1785</t>
  </si>
  <si>
    <t>김경숙</t>
  </si>
  <si>
    <t>010-6367-7766</t>
  </si>
  <si>
    <t>한명실</t>
  </si>
  <si>
    <t>010-9026-7644</t>
  </si>
  <si>
    <t>고정심</t>
  </si>
  <si>
    <t>010-4614-5452</t>
  </si>
  <si>
    <t>최영미</t>
  </si>
  <si>
    <t>010-2758-4024</t>
  </si>
  <si>
    <t>강주형</t>
  </si>
  <si>
    <t>010-5329-4024</t>
  </si>
  <si>
    <t>2025. 12. 07. 09:07:31</t>
  </si>
  <si>
    <t>KIM DENNIS HO</t>
  </si>
  <si>
    <t>010-3239-7251</t>
  </si>
  <si>
    <t>강주은</t>
  </si>
  <si>
    <t>010-8394-4024</t>
  </si>
  <si>
    <t>2025. 12. 07. 09:06:06</t>
  </si>
  <si>
    <t>국지현</t>
  </si>
  <si>
    <t>010-9680-9973</t>
  </si>
  <si>
    <t>강정아</t>
  </si>
  <si>
    <t>010-3509-2138</t>
  </si>
  <si>
    <t>2025. 12. 07. 09:07:16</t>
  </si>
  <si>
    <t>한은숙</t>
  </si>
  <si>
    <t>010-3951-7899</t>
  </si>
  <si>
    <t>강영숙</t>
  </si>
  <si>
    <t>010-2426-2076</t>
  </si>
  <si>
    <t>2025. 12. 07. 09:06:47</t>
  </si>
  <si>
    <t>정은정</t>
  </si>
  <si>
    <t>010-2291-8075</t>
  </si>
  <si>
    <t>강동훈</t>
  </si>
  <si>
    <t>010-2228-5652</t>
  </si>
  <si>
    <t>김태선</t>
  </si>
  <si>
    <t>010-5208-9749</t>
  </si>
  <si>
    <t>강경희</t>
  </si>
  <si>
    <t>010-7657-3075</t>
  </si>
  <si>
    <t>2025. 12. 07. 09:07:58</t>
  </si>
  <si>
    <t>김영</t>
  </si>
  <si>
    <t>010-6288-1842</t>
  </si>
  <si>
    <t>주광옥</t>
  </si>
  <si>
    <t>010-2226-5676</t>
  </si>
  <si>
    <t>최귀선</t>
  </si>
  <si>
    <t>010-7640-5585</t>
  </si>
  <si>
    <t>이귀례</t>
  </si>
  <si>
    <t>010-3770-1320</t>
  </si>
  <si>
    <t>신동예</t>
  </si>
  <si>
    <t>010-4714-2865</t>
  </si>
  <si>
    <t>박미옥</t>
  </si>
  <si>
    <t>010-2516-8185</t>
  </si>
  <si>
    <t>2025. 12. 07. 09:06:10</t>
  </si>
  <si>
    <t>김은비</t>
  </si>
  <si>
    <t>010-5299-2235</t>
  </si>
  <si>
    <t>이예정</t>
  </si>
  <si>
    <t>010-3894-6560</t>
  </si>
  <si>
    <t>2025. 12. 07. 09:06:04</t>
  </si>
  <si>
    <t>김경애</t>
  </si>
  <si>
    <t>010-9880-2304</t>
  </si>
  <si>
    <t>이수대</t>
  </si>
  <si>
    <t>010-6630-1637</t>
  </si>
  <si>
    <t>2025. 12. 07. 09:07:39</t>
  </si>
  <si>
    <t>최미라</t>
  </si>
  <si>
    <t>010-9822-4309</t>
  </si>
  <si>
    <t>윤성경</t>
  </si>
  <si>
    <t>010-5641-2411</t>
  </si>
  <si>
    <t>이혜원</t>
  </si>
  <si>
    <t>010-9144-5193</t>
  </si>
  <si>
    <t>김보경</t>
  </si>
  <si>
    <t>010-3630-9424</t>
  </si>
  <si>
    <t>010-3161-9456</t>
  </si>
  <si>
    <t>황태경</t>
  </si>
  <si>
    <t>010-4849-6474</t>
  </si>
  <si>
    <t>2025. 12. 07. 09:06:44</t>
  </si>
  <si>
    <t>조성훈</t>
  </si>
  <si>
    <t>010-3976-0398</t>
  </si>
  <si>
    <t>황정현</t>
  </si>
  <si>
    <t>010-3367-8399</t>
  </si>
  <si>
    <t>황민선</t>
  </si>
  <si>
    <t>010-5684-1453</t>
  </si>
  <si>
    <t>010-3624-0557</t>
  </si>
  <si>
    <t>2025. 12. 07. 09:07:17</t>
  </si>
  <si>
    <t>김연서</t>
  </si>
  <si>
    <t>010-7679-0701</t>
  </si>
  <si>
    <t>황의성</t>
  </si>
  <si>
    <t>010-9434-1295</t>
  </si>
  <si>
    <t>2025. 12. 07. 09:06:56</t>
  </si>
  <si>
    <t>황정임</t>
  </si>
  <si>
    <t>010-9320-5441</t>
  </si>
  <si>
    <t>황선영</t>
  </si>
  <si>
    <t>010-7133-9896</t>
  </si>
  <si>
    <t>2025. 12. 07. 09:06:50</t>
  </si>
  <si>
    <t>박경숙</t>
  </si>
  <si>
    <t>010-3100-2965</t>
  </si>
  <si>
    <t>황기봉</t>
  </si>
  <si>
    <t>010-5207-2965</t>
  </si>
  <si>
    <t>민희식</t>
  </si>
  <si>
    <t>010-8964-6876</t>
  </si>
  <si>
    <t>홍종표</t>
  </si>
  <si>
    <t>010-6320-6876</t>
  </si>
  <si>
    <t>강미식</t>
  </si>
  <si>
    <t>010-6244-9365</t>
  </si>
  <si>
    <t>홍의섭</t>
  </si>
  <si>
    <t>010-3879-6236</t>
  </si>
  <si>
    <t>2025. 12. 07. 09:07:34</t>
  </si>
  <si>
    <t>조혜경</t>
  </si>
  <si>
    <t>010-5164-1638</t>
  </si>
  <si>
    <t>홍은주</t>
  </si>
  <si>
    <t>010-3066-7880</t>
  </si>
  <si>
    <t>홍정의</t>
  </si>
  <si>
    <t>010-8287-6543</t>
  </si>
  <si>
    <t>홍성돈</t>
  </si>
  <si>
    <t>010-5313-0231</t>
  </si>
  <si>
    <t>2025. 12. 07. 09:07:18</t>
  </si>
  <si>
    <t>좌경희</t>
  </si>
  <si>
    <t>010-6282-7216</t>
  </si>
  <si>
    <t>홍동우</t>
  </si>
  <si>
    <t>010-5737-7216</t>
  </si>
  <si>
    <t>2025. 12. 07. 09:07:08</t>
  </si>
  <si>
    <t>김수지</t>
  </si>
  <si>
    <t>010-8630-0562</t>
  </si>
  <si>
    <t>허추순</t>
  </si>
  <si>
    <t>010-3831-5847</t>
  </si>
  <si>
    <t>금동규</t>
  </si>
  <si>
    <t>010-3930-2218</t>
  </si>
  <si>
    <t>허윤의</t>
  </si>
  <si>
    <t>010-5113-2218</t>
  </si>
  <si>
    <t>2025. 12. 07. 09:08:04</t>
  </si>
  <si>
    <t>최영훈</t>
  </si>
  <si>
    <t>010-9172-6247</t>
  </si>
  <si>
    <t>함영선</t>
  </si>
  <si>
    <t>010-3257-6247</t>
  </si>
  <si>
    <t>박복숙</t>
  </si>
  <si>
    <t>010-4112-2435</t>
  </si>
  <si>
    <t>한지혜</t>
  </si>
  <si>
    <t>010-5355-3171</t>
  </si>
  <si>
    <t>2025. 12. 07. 09:07:45</t>
  </si>
  <si>
    <t>김정숙</t>
  </si>
  <si>
    <t>010-9350-0365</t>
  </si>
  <si>
    <t>한정수</t>
  </si>
  <si>
    <t>010-3770-0334</t>
  </si>
  <si>
    <t>2025. 12. 07. 09:07:19</t>
  </si>
  <si>
    <t>이수영</t>
  </si>
  <si>
    <t>010-6549-1132</t>
  </si>
  <si>
    <t>한외술</t>
  </si>
  <si>
    <t>010-8907-2105</t>
  </si>
  <si>
    <t>윤혜준</t>
  </si>
  <si>
    <t>010-8875-6324</t>
  </si>
  <si>
    <t>한순실</t>
  </si>
  <si>
    <t>010-4608-4279</t>
  </si>
  <si>
    <t>2025. 12. 07. 09:07:02</t>
  </si>
  <si>
    <t>신경옥</t>
  </si>
  <si>
    <t>010-2801-8265</t>
  </si>
  <si>
    <t>한계숙</t>
  </si>
  <si>
    <t>010-9104-4905</t>
  </si>
  <si>
    <t>조민자</t>
  </si>
  <si>
    <t>010-2382-3003</t>
  </si>
  <si>
    <t>하주연</t>
  </si>
  <si>
    <t>010-5249-7337</t>
  </si>
  <si>
    <t>황종경</t>
  </si>
  <si>
    <t>010-6515-5803</t>
  </si>
  <si>
    <t>태혜원</t>
  </si>
  <si>
    <t>010-5265-6425</t>
  </si>
  <si>
    <t>최선경</t>
  </si>
  <si>
    <t>010-5557-1465</t>
  </si>
  <si>
    <t>최혜경</t>
  </si>
  <si>
    <t>010-6332-0322</t>
  </si>
  <si>
    <t>주현경</t>
  </si>
  <si>
    <t>010-8923-0225</t>
  </si>
  <si>
    <t>최해숙</t>
  </si>
  <si>
    <t>010-4251-1584</t>
  </si>
  <si>
    <t>임희경</t>
  </si>
  <si>
    <t>010-5004-8879</t>
  </si>
  <si>
    <t>최필순</t>
  </si>
  <si>
    <t>010-3625-6534</t>
  </si>
  <si>
    <t>김영희</t>
  </si>
  <si>
    <t>010-4540-8895</t>
  </si>
  <si>
    <t>최재훈</t>
  </si>
  <si>
    <t>010-8523-9769</t>
  </si>
  <si>
    <t>2025. 12. 07. 09:06:28</t>
  </si>
  <si>
    <t>한순덕</t>
  </si>
  <si>
    <t>010-7121-9470</t>
  </si>
  <si>
    <t>최은희</t>
  </si>
  <si>
    <t>010-4727-6442</t>
  </si>
  <si>
    <t>2025. 12. 07. 09:07:27</t>
  </si>
  <si>
    <t>최경</t>
  </si>
  <si>
    <t>010-3297-5267</t>
  </si>
  <si>
    <t>최윤하</t>
  </si>
  <si>
    <t>010-2701-0848</t>
  </si>
  <si>
    <t>2025. 12. 07. 09:08:03</t>
  </si>
  <si>
    <t>차인남</t>
  </si>
  <si>
    <t>010-8257-0435</t>
  </si>
  <si>
    <t>최원숙</t>
  </si>
  <si>
    <t>010-3006-4548</t>
  </si>
  <si>
    <t>최문순</t>
  </si>
  <si>
    <t>010-9962-2810</t>
  </si>
  <si>
    <t>최영순</t>
  </si>
  <si>
    <t>010-5321-1338</t>
  </si>
  <si>
    <t>2025. 12. 07. 09:06:36</t>
  </si>
  <si>
    <t>김정희</t>
  </si>
  <si>
    <t>010-5045-9101</t>
  </si>
  <si>
    <t>최영숙</t>
  </si>
  <si>
    <t>010-5689-3354</t>
  </si>
  <si>
    <t>2025. 12. 07. 09:07:30</t>
  </si>
  <si>
    <t>박소현</t>
  </si>
  <si>
    <t>010-8498-0427</t>
  </si>
  <si>
    <t>010-8507-0247</t>
  </si>
  <si>
    <t>2025. 12. 07. 09:06:25</t>
  </si>
  <si>
    <t>김종환</t>
  </si>
  <si>
    <t>010-6221-4246</t>
  </si>
  <si>
    <t>최영란</t>
  </si>
  <si>
    <t>010-9020-7399</t>
  </si>
  <si>
    <t>조성권</t>
  </si>
  <si>
    <t>010-3356-5083</t>
  </si>
  <si>
    <t>최연순</t>
  </si>
  <si>
    <t>010-9853-6083</t>
  </si>
  <si>
    <t>윤도현</t>
  </si>
  <si>
    <t>010-3269-1477</t>
  </si>
  <si>
    <t>최애란</t>
  </si>
  <si>
    <t>010-9093-7718</t>
  </si>
  <si>
    <t>임성빈</t>
  </si>
  <si>
    <t>010-5101-3959</t>
  </si>
  <si>
    <t>010-7633-4302</t>
  </si>
  <si>
    <t>2025. 12. 07. 09:08:11</t>
  </si>
  <si>
    <t>김시렬</t>
  </si>
  <si>
    <t>010-5290-7855</t>
  </si>
  <si>
    <t>최소령</t>
  </si>
  <si>
    <t>010-8998-7855</t>
  </si>
  <si>
    <t>권미혜</t>
  </si>
  <si>
    <t>010-2840-1965</t>
  </si>
  <si>
    <t>최선임</t>
  </si>
  <si>
    <t>010-9516-0313</t>
  </si>
  <si>
    <t>최정분</t>
  </si>
  <si>
    <t>010-5440-4604</t>
  </si>
  <si>
    <t>최봉순</t>
  </si>
  <si>
    <t>010-6807-6841</t>
  </si>
  <si>
    <t>박은주</t>
  </si>
  <si>
    <t>010-9408-2133</t>
  </si>
  <si>
    <t>최보원</t>
  </si>
  <si>
    <t>010-8847-7123</t>
  </si>
  <si>
    <t>2025. 12. 07. 09:08:08</t>
  </si>
  <si>
    <t>송은경</t>
  </si>
  <si>
    <t>010-8939-2889</t>
  </si>
  <si>
    <t>최민서</t>
  </si>
  <si>
    <t>010-9412-9955</t>
  </si>
  <si>
    <t>신승한</t>
  </si>
  <si>
    <t>010-3879-3318</t>
  </si>
  <si>
    <t>천도영</t>
  </si>
  <si>
    <t>010-7173-3720</t>
  </si>
  <si>
    <t>오세정</t>
  </si>
  <si>
    <t>010-5351-0923</t>
  </si>
  <si>
    <t>채정희</t>
  </si>
  <si>
    <t>010-2292-7763</t>
  </si>
  <si>
    <t>김택곤</t>
  </si>
  <si>
    <t>010-3831-2903</t>
  </si>
  <si>
    <t>차동숙</t>
  </si>
  <si>
    <t>010-7167-5778</t>
  </si>
  <si>
    <t>2025. 12. 07. 09:07:56</t>
  </si>
  <si>
    <t>이선경</t>
  </si>
  <si>
    <t>010-3326-7545</t>
  </si>
  <si>
    <t>진재호</t>
  </si>
  <si>
    <t>010-7243-7545</t>
  </si>
  <si>
    <t>김현식</t>
  </si>
  <si>
    <t>010-2070-7015</t>
  </si>
  <si>
    <t>지준환</t>
  </si>
  <si>
    <t>010-8415-2001</t>
  </si>
  <si>
    <t>김성연</t>
  </si>
  <si>
    <t>010-7657-5233</t>
  </si>
  <si>
    <t>주창환</t>
  </si>
  <si>
    <t>010-5617-8917</t>
  </si>
  <si>
    <t>2025. 12. 07. 09:08:07</t>
  </si>
  <si>
    <t>노형남</t>
  </si>
  <si>
    <t>010-8701-8021</t>
  </si>
  <si>
    <t>주영이</t>
  </si>
  <si>
    <t>010-2587-6735</t>
  </si>
  <si>
    <t>박영희</t>
  </si>
  <si>
    <t>010-9349-1041</t>
  </si>
  <si>
    <t>주상미</t>
  </si>
  <si>
    <t>010-7673-8422</t>
  </si>
  <si>
    <t>전종현</t>
  </si>
  <si>
    <t>010-8991-6702</t>
  </si>
  <si>
    <t>조현아</t>
  </si>
  <si>
    <t>010-9121-1167</t>
  </si>
  <si>
    <t>조용훈</t>
  </si>
  <si>
    <t>010-6252-6725</t>
  </si>
  <si>
    <t>조현동</t>
  </si>
  <si>
    <t>010-5471-1867</t>
  </si>
  <si>
    <t>2025. 12. 07. 09:06:58</t>
  </si>
  <si>
    <t>조선미</t>
  </si>
  <si>
    <t>010-7121-9809</t>
  </si>
  <si>
    <t>조정희</t>
  </si>
  <si>
    <t>010-5222-1160</t>
  </si>
  <si>
    <t>2025. 12. 07. 09:07:53</t>
  </si>
  <si>
    <t>김나경</t>
  </si>
  <si>
    <t>010-2618-0321</t>
  </si>
  <si>
    <t>조은나</t>
  </si>
  <si>
    <t>010-7272-0082</t>
  </si>
  <si>
    <t>2025. 12. 07. 09:06:41</t>
  </si>
  <si>
    <t>010-4532-4674</t>
  </si>
  <si>
    <t>2025. 12. 07. 09:08:09</t>
  </si>
  <si>
    <t>박종구</t>
  </si>
  <si>
    <t>010-6221-2737</t>
  </si>
  <si>
    <t>조성희</t>
  </si>
  <si>
    <t>010-6404-0942</t>
  </si>
  <si>
    <t>라광수</t>
  </si>
  <si>
    <t>010-3352-1795</t>
  </si>
  <si>
    <t>조미정</t>
  </si>
  <si>
    <t>010-5290-0071</t>
  </si>
  <si>
    <t>정경희</t>
  </si>
  <si>
    <t>010-6543-3473</t>
  </si>
  <si>
    <t>조규희</t>
  </si>
  <si>
    <t>010-9998-4952</t>
  </si>
  <si>
    <t>송효석</t>
  </si>
  <si>
    <t>010-3206-2739</t>
  </si>
  <si>
    <t>조규태</t>
  </si>
  <si>
    <t>010-8541-1708</t>
  </si>
  <si>
    <t>2025. 12. 07. 09:07:55</t>
  </si>
  <si>
    <t>김연심</t>
  </si>
  <si>
    <t>010-8661-9623</t>
  </si>
  <si>
    <t>정희진</t>
  </si>
  <si>
    <t>010-7726-6932</t>
  </si>
  <si>
    <t>2025. 12. 07. 09:07:15</t>
  </si>
  <si>
    <t>김준환</t>
  </si>
  <si>
    <t>010-5489-4094</t>
  </si>
  <si>
    <t>정주아</t>
  </si>
  <si>
    <t>010-8380-3278</t>
  </si>
  <si>
    <t>2025. 12. 07. 09:06:55</t>
  </si>
  <si>
    <t>장승희</t>
  </si>
  <si>
    <t>010-4084-5967</t>
  </si>
  <si>
    <t>정종섭</t>
  </si>
  <si>
    <t>010-2374-3901</t>
  </si>
  <si>
    <t>박옥자</t>
  </si>
  <si>
    <t>010-2250-4409</t>
  </si>
  <si>
    <t>정정순</t>
  </si>
  <si>
    <t>010-9246-6577</t>
  </si>
  <si>
    <t>2025. 12. 07. 09:06:15</t>
  </si>
  <si>
    <t>원지희</t>
  </si>
  <si>
    <t>010-9964-6017</t>
  </si>
  <si>
    <t>정유진</t>
  </si>
  <si>
    <t>010-6270-2050</t>
  </si>
  <si>
    <t>김은주</t>
  </si>
  <si>
    <t>010-7603-2133</t>
  </si>
  <si>
    <t>정영실</t>
  </si>
  <si>
    <t>010-2880-9756</t>
  </si>
  <si>
    <t>2025. 12. 07. 09:06:21</t>
  </si>
  <si>
    <t>이진숙</t>
  </si>
  <si>
    <t>010-9744-9539</t>
  </si>
  <si>
    <t>정영식</t>
  </si>
  <si>
    <t>010-7578-9538</t>
  </si>
  <si>
    <t>이경자</t>
  </si>
  <si>
    <t>010-6332-4474</t>
  </si>
  <si>
    <t>정영경</t>
  </si>
  <si>
    <t>010-7741-4479</t>
  </si>
  <si>
    <t>정혜월</t>
  </si>
  <si>
    <t>010-7105-9988</t>
  </si>
  <si>
    <t>정송월</t>
  </si>
  <si>
    <t>010-7156-2231</t>
  </si>
  <si>
    <t>2025. 12. 07. 09:07:46</t>
  </si>
  <si>
    <t>박정희</t>
  </si>
  <si>
    <t>010-5085-1004</t>
  </si>
  <si>
    <t>정선영</t>
  </si>
  <si>
    <t>010-7186-7927</t>
  </si>
  <si>
    <t>김승여</t>
  </si>
  <si>
    <t>010-2790-9242</t>
  </si>
  <si>
    <t>정미선</t>
  </si>
  <si>
    <t>010-5030-6407</t>
  </si>
  <si>
    <t>임지우</t>
  </si>
  <si>
    <t>010-4200-8944</t>
  </si>
  <si>
    <t>정명희</t>
  </si>
  <si>
    <t>010-4576-1097</t>
  </si>
  <si>
    <t>김수옥</t>
  </si>
  <si>
    <t>010-9920-1841</t>
  </si>
  <si>
    <t>정두식</t>
  </si>
  <si>
    <t>010-6201-1414</t>
  </si>
  <si>
    <t>성인숙</t>
  </si>
  <si>
    <t>010-3655-2018</t>
  </si>
  <si>
    <t>정다은</t>
  </si>
  <si>
    <t>010-8606-5434</t>
  </si>
  <si>
    <t>정경임</t>
  </si>
  <si>
    <t>010-3156-3482</t>
  </si>
  <si>
    <t>정경순</t>
  </si>
  <si>
    <t>010-2291-3482</t>
  </si>
  <si>
    <t>양한수</t>
  </si>
  <si>
    <t>010-8795-1640</t>
  </si>
  <si>
    <t>전하리</t>
  </si>
  <si>
    <t>010-9580-2999</t>
  </si>
  <si>
    <t>김숙현</t>
  </si>
  <si>
    <t>010-8071-3119</t>
  </si>
  <si>
    <t>전정자</t>
  </si>
  <si>
    <t>010-3776-9972</t>
  </si>
  <si>
    <t>2025. 12. 07. 09:07:49</t>
  </si>
  <si>
    <t>윤관식</t>
  </si>
  <si>
    <t>010-9120-1085</t>
  </si>
  <si>
    <t>전명숙</t>
  </si>
  <si>
    <t>010-7196-3145</t>
  </si>
  <si>
    <t>2025. 12. 07. 09:07:03</t>
  </si>
  <si>
    <t>김미</t>
  </si>
  <si>
    <t>010-8022-0409</t>
  </si>
  <si>
    <t>전기종</t>
  </si>
  <si>
    <t>010-3301-2130</t>
  </si>
  <si>
    <t>2025. 12. 07. 09:07:54</t>
  </si>
  <si>
    <t>장혜원</t>
  </si>
  <si>
    <t>010-7287-5388</t>
  </si>
  <si>
    <t>장희선</t>
  </si>
  <si>
    <t>010-8642-3318</t>
  </si>
  <si>
    <t>2025. 12. 07. 09:06:43</t>
  </si>
  <si>
    <t>장경선</t>
  </si>
  <si>
    <t>010-8914-6419</t>
  </si>
  <si>
    <t>장천호</t>
  </si>
  <si>
    <t>010-6218-6490</t>
  </si>
  <si>
    <t>표금복</t>
  </si>
  <si>
    <t>010-4439-6551</t>
  </si>
  <si>
    <t>장재완</t>
  </si>
  <si>
    <t>010-2456-6551</t>
  </si>
  <si>
    <t>2025. 12. 07. 09:06:38</t>
  </si>
  <si>
    <t>오지선</t>
  </si>
  <si>
    <t>010-8947-1444</t>
  </si>
  <si>
    <t>장은아</t>
  </si>
  <si>
    <t>010-4130-7833</t>
  </si>
  <si>
    <t>나은영</t>
  </si>
  <si>
    <t>010-9115-5145</t>
  </si>
  <si>
    <t>장시혁</t>
  </si>
  <si>
    <t>010-2828-1400</t>
  </si>
  <si>
    <t>박혜민</t>
  </si>
  <si>
    <t>010-2676-8754</t>
  </si>
  <si>
    <t>장숙화</t>
  </si>
  <si>
    <t>010-2801-8754</t>
  </si>
  <si>
    <t>김미라</t>
  </si>
  <si>
    <t>010-5337-6878</t>
  </si>
  <si>
    <t>장경진</t>
  </si>
  <si>
    <t>010-3949-0117</t>
  </si>
  <si>
    <t>2025. 12. 07. 09:07:23</t>
  </si>
  <si>
    <t>박수진</t>
  </si>
  <si>
    <t>010-9481-6294</t>
  </si>
  <si>
    <t>임영일</t>
  </si>
  <si>
    <t>010-7703-2182</t>
  </si>
  <si>
    <t>정숙</t>
  </si>
  <si>
    <t>010-9722-4686</t>
  </si>
  <si>
    <t>임미숙</t>
  </si>
  <si>
    <t>010-9030-7775</t>
  </si>
  <si>
    <t>김영자</t>
  </si>
  <si>
    <t>010-3334-5428</t>
  </si>
  <si>
    <t>임명숙</t>
  </si>
  <si>
    <t>010-8535-3839</t>
  </si>
  <si>
    <t>남숙희</t>
  </si>
  <si>
    <t>010-7799-7542</t>
  </si>
  <si>
    <t>인옥순</t>
  </si>
  <si>
    <t>010-4937-8787</t>
  </si>
  <si>
    <t>김영순</t>
  </si>
  <si>
    <t>010-2395-8200</t>
  </si>
  <si>
    <t>이희숙</t>
  </si>
  <si>
    <t>010-5212-2815</t>
  </si>
  <si>
    <t>이유성</t>
  </si>
  <si>
    <t>010-2377-3152</t>
  </si>
  <si>
    <t>이화순</t>
  </si>
  <si>
    <t>010-2374-3152</t>
  </si>
  <si>
    <t>정재열</t>
  </si>
  <si>
    <t>010-2759-3530</t>
  </si>
  <si>
    <t>이혜림</t>
  </si>
  <si>
    <t>010-4713-3530</t>
  </si>
  <si>
    <t>진라희</t>
  </si>
  <si>
    <t>010-8557-3114</t>
  </si>
  <si>
    <t>이현정</t>
  </si>
  <si>
    <t>010-4626-1023</t>
  </si>
  <si>
    <t>반인기</t>
  </si>
  <si>
    <t>010-5410-0145</t>
  </si>
  <si>
    <t>이현숙</t>
  </si>
  <si>
    <t>010-7724-6101</t>
  </si>
  <si>
    <t>2025. 12. 07. 09:07:25</t>
  </si>
  <si>
    <t>이을선</t>
  </si>
  <si>
    <t>010-3711-4338</t>
  </si>
  <si>
    <t>이현선</t>
  </si>
  <si>
    <t>010-8965-6603</t>
  </si>
  <si>
    <t>2025. 12. 07. 09:07:37</t>
  </si>
  <si>
    <t>이규삼</t>
  </si>
  <si>
    <t>010-4528-2932</t>
  </si>
  <si>
    <t>이해주</t>
  </si>
  <si>
    <t>010-3788-1458</t>
  </si>
  <si>
    <t>이미화</t>
  </si>
  <si>
    <t>010-7942-6748</t>
  </si>
  <si>
    <t>이태희</t>
  </si>
  <si>
    <t>010-3194-6748</t>
  </si>
  <si>
    <t>2025. 12. 07. 09:07:12</t>
  </si>
  <si>
    <t>이소원</t>
  </si>
  <si>
    <t>010-8300-6425</t>
  </si>
  <si>
    <t>이태선</t>
  </si>
  <si>
    <t>010-7703-7800</t>
  </si>
  <si>
    <t>윤민종</t>
  </si>
  <si>
    <t>010-7774-3456</t>
  </si>
  <si>
    <t>이철규</t>
  </si>
  <si>
    <t>010-3732-7143</t>
  </si>
  <si>
    <t>김정미</t>
  </si>
  <si>
    <t>010-8262-1814</t>
  </si>
  <si>
    <t>이찬묵</t>
  </si>
  <si>
    <t>010-5640-3224</t>
  </si>
  <si>
    <t>이애경</t>
  </si>
  <si>
    <t>010-8919-1676</t>
  </si>
  <si>
    <t>이진우</t>
  </si>
  <si>
    <t>010-5813-2651</t>
  </si>
  <si>
    <t>2025. 12. 07. 09:07:00</t>
  </si>
  <si>
    <t>이지영</t>
  </si>
  <si>
    <t>010-8891-2400</t>
  </si>
  <si>
    <t>이지현</t>
  </si>
  <si>
    <t>010-3751-1846</t>
  </si>
  <si>
    <t>박미선</t>
  </si>
  <si>
    <t>010-2256-6783</t>
  </si>
  <si>
    <t>이종철</t>
  </si>
  <si>
    <t>010-8978-1915</t>
  </si>
  <si>
    <t>2025. 12. 07. 09:06:27</t>
  </si>
  <si>
    <t>류혜림</t>
  </si>
  <si>
    <t>010-8932-3450</t>
  </si>
  <si>
    <t>이정희</t>
  </si>
  <si>
    <t>010-4147-3450</t>
  </si>
  <si>
    <t>양종원</t>
  </si>
  <si>
    <t>010-3090-6361</t>
  </si>
  <si>
    <t>이정옥</t>
  </si>
  <si>
    <t>010-6354-6361</t>
  </si>
  <si>
    <t>배미숙</t>
  </si>
  <si>
    <t>010-6299-3949</t>
  </si>
  <si>
    <t>이인혁</t>
  </si>
  <si>
    <t>010-4213-4777</t>
  </si>
  <si>
    <t>2025. 12. 07. 09:06:30</t>
  </si>
  <si>
    <t>최양숙</t>
  </si>
  <si>
    <t>010-2749-2549</t>
  </si>
  <si>
    <t>이온순</t>
  </si>
  <si>
    <t>010-4581-6978</t>
  </si>
  <si>
    <t>황광숙</t>
  </si>
  <si>
    <t>010-9137-0607</t>
  </si>
  <si>
    <t>이옥희</t>
  </si>
  <si>
    <t>010-6390-3929</t>
  </si>
  <si>
    <t>2025. 12. 07. 09:06:54</t>
  </si>
  <si>
    <t>신정아</t>
  </si>
  <si>
    <t>010-9782-5354</t>
  </si>
  <si>
    <t>이오숙</t>
  </si>
  <si>
    <t>010-3225-5354</t>
  </si>
  <si>
    <t>윤여진</t>
  </si>
  <si>
    <t>010-8934-2814</t>
  </si>
  <si>
    <t>이아름</t>
  </si>
  <si>
    <t>010-8989-4120</t>
  </si>
  <si>
    <t>임경식</t>
  </si>
  <si>
    <t>010-5253-6374</t>
  </si>
  <si>
    <t>이시윤</t>
  </si>
  <si>
    <t>010-7556-1089</t>
  </si>
  <si>
    <t>2025. 12. 07. 09:07:40</t>
  </si>
  <si>
    <t>이미경</t>
  </si>
  <si>
    <t>010-3373-6750</t>
  </si>
  <si>
    <t>이수희</t>
  </si>
  <si>
    <t>010-6931-4041</t>
  </si>
  <si>
    <t>2025. 12. 07. 09:07:22</t>
  </si>
  <si>
    <t>김지원</t>
  </si>
  <si>
    <t>010-9093-9765</t>
  </si>
  <si>
    <t>이성옥</t>
  </si>
  <si>
    <t>010-3695-0174</t>
  </si>
  <si>
    <t>2025. 12. 07. 09:07:35</t>
  </si>
  <si>
    <t>장미영</t>
  </si>
  <si>
    <t>010-3824-0348</t>
  </si>
  <si>
    <t>이성민</t>
  </si>
  <si>
    <t>010-2469-0348</t>
  </si>
  <si>
    <t>2025. 12. 07. 09:07:10</t>
  </si>
  <si>
    <t>황성수</t>
  </si>
  <si>
    <t>010-4705-7631</t>
  </si>
  <si>
    <t>이성문</t>
  </si>
  <si>
    <t>010-2048-2266</t>
  </si>
  <si>
    <t>010-3900-4585</t>
  </si>
  <si>
    <t>이상준</t>
  </si>
  <si>
    <t>010-7735-4585</t>
  </si>
  <si>
    <t>신수진</t>
  </si>
  <si>
    <t>010-8778-0428</t>
  </si>
  <si>
    <t>이상일</t>
  </si>
  <si>
    <t>010-8316-2830</t>
  </si>
  <si>
    <t>010-9872-7295</t>
  </si>
  <si>
    <t>이상완</t>
  </si>
  <si>
    <t>010-9489-7013</t>
  </si>
  <si>
    <t>김혜영</t>
  </si>
  <si>
    <t>010-2319-1626</t>
  </si>
  <si>
    <t>이상길</t>
  </si>
  <si>
    <t>010-9095-1627</t>
  </si>
  <si>
    <t>2025. 12. 07. 09:07:04</t>
  </si>
  <si>
    <t>최윤정</t>
  </si>
  <si>
    <t>010-5267-0124</t>
  </si>
  <si>
    <t>이민구</t>
  </si>
  <si>
    <t>010-7437-2426</t>
  </si>
  <si>
    <t>김미승</t>
  </si>
  <si>
    <t>010-4170-8337</t>
  </si>
  <si>
    <t>이문희</t>
  </si>
  <si>
    <t>010-2322-6062</t>
  </si>
  <si>
    <t>이아힘</t>
  </si>
  <si>
    <t>010-6648-2310</t>
  </si>
  <si>
    <t>이명우</t>
  </si>
  <si>
    <t>010-3788-5420</t>
  </si>
  <si>
    <t>이경옥</t>
  </si>
  <si>
    <t>010-9965-5342</t>
  </si>
  <si>
    <t>이명옥</t>
  </si>
  <si>
    <t>010-3122-0726</t>
  </si>
  <si>
    <t>2025. 12. 07. 09:07:20</t>
  </si>
  <si>
    <t>한준호</t>
  </si>
  <si>
    <t>010-9029-6685</t>
  </si>
  <si>
    <t>이명신</t>
  </si>
  <si>
    <t>010-5416-5470</t>
  </si>
  <si>
    <t>2025. 12. 07. 09:07:41</t>
  </si>
  <si>
    <t>김인순</t>
  </si>
  <si>
    <t>010-9046-3575</t>
  </si>
  <si>
    <t>이래승</t>
  </si>
  <si>
    <t>010-5343-8179</t>
  </si>
  <si>
    <t>김명현</t>
  </si>
  <si>
    <t>010-2042-9291</t>
  </si>
  <si>
    <t>이대희</t>
  </si>
  <si>
    <t>010-3774-9290</t>
  </si>
  <si>
    <t>이남애</t>
  </si>
  <si>
    <t>010-9781-0991</t>
  </si>
  <si>
    <t>이남아</t>
  </si>
  <si>
    <t>김상호</t>
  </si>
  <si>
    <t>010-4055-8891</t>
  </si>
  <si>
    <t>이금순</t>
  </si>
  <si>
    <t>010-7447-1894</t>
  </si>
  <si>
    <t>유병용</t>
  </si>
  <si>
    <t>010-5730-3101</t>
  </si>
  <si>
    <t>010-4725-6824</t>
  </si>
  <si>
    <t>정효순</t>
  </si>
  <si>
    <t>010-2655-7999</t>
  </si>
  <si>
    <t>010-7732-3387</t>
  </si>
  <si>
    <t>이명희</t>
  </si>
  <si>
    <t>010-8479-7767</t>
  </si>
  <si>
    <t>이경애</t>
  </si>
  <si>
    <t>010-9071-6162</t>
  </si>
  <si>
    <t>성명숙</t>
  </si>
  <si>
    <t>010-6655-1208</t>
  </si>
  <si>
    <t>이경숙</t>
  </si>
  <si>
    <t>010-3547-8028</t>
  </si>
  <si>
    <t>김미희</t>
  </si>
  <si>
    <t>010-3729-8992</t>
  </si>
  <si>
    <t>윤철중</t>
  </si>
  <si>
    <t>010-4130-1805</t>
  </si>
  <si>
    <t>장선애</t>
  </si>
  <si>
    <t>010-8898-1384</t>
  </si>
  <si>
    <t>윤영주</t>
  </si>
  <si>
    <t>010-4046-1384</t>
  </si>
  <si>
    <t>신성규</t>
  </si>
  <si>
    <t>010-8784-6024</t>
  </si>
  <si>
    <t>윤영옥</t>
  </si>
  <si>
    <t>010-3926-8415</t>
  </si>
  <si>
    <t>2025. 12. 07. 09:07:51</t>
  </si>
  <si>
    <t>박진영</t>
  </si>
  <si>
    <t>010-9163-9758</t>
  </si>
  <si>
    <t>윤기혁</t>
  </si>
  <si>
    <t>010-7382-9758</t>
  </si>
  <si>
    <t>한순애</t>
  </si>
  <si>
    <t>010-6496-5381</t>
  </si>
  <si>
    <t>유희숙</t>
  </si>
  <si>
    <t>010-4190-1215</t>
  </si>
  <si>
    <t>유영희</t>
  </si>
  <si>
    <t>010-2016-0675</t>
  </si>
  <si>
    <t>유혜영</t>
  </si>
  <si>
    <t>010-2782-9511</t>
  </si>
  <si>
    <t>신희철</t>
  </si>
  <si>
    <t>010-7393-5511</t>
  </si>
  <si>
    <t>유지수</t>
  </si>
  <si>
    <t>010-3349-7011</t>
  </si>
  <si>
    <t>이은숙</t>
  </si>
  <si>
    <t>010-7914-2600</t>
  </si>
  <si>
    <t>유정연</t>
  </si>
  <si>
    <t>010-7938-9900</t>
  </si>
  <si>
    <t>유혜경</t>
  </si>
  <si>
    <t>010-8902-0368</t>
  </si>
  <si>
    <t>유미경</t>
  </si>
  <si>
    <t>010-9092-1384</t>
  </si>
  <si>
    <t>노영란</t>
  </si>
  <si>
    <t>010-8910-3801</t>
  </si>
  <si>
    <t>유대선</t>
  </si>
  <si>
    <t>010-5310-2418</t>
  </si>
  <si>
    <t>이상즙</t>
  </si>
  <si>
    <t>010-5461-8275</t>
  </si>
  <si>
    <t>유경희</t>
  </si>
  <si>
    <t>010-3050-2469</t>
  </si>
  <si>
    <t>이갑숙</t>
  </si>
  <si>
    <t>010-3713-6767</t>
  </si>
  <si>
    <t>원점자</t>
  </si>
  <si>
    <t>010-2429-0212</t>
  </si>
  <si>
    <t>윤은숙</t>
  </si>
  <si>
    <t>010-8913-1890</t>
  </si>
  <si>
    <t>원용선</t>
  </si>
  <si>
    <t>010-6249-5635</t>
  </si>
  <si>
    <t>김민지</t>
  </si>
  <si>
    <t>010-9885-8930</t>
  </si>
  <si>
    <t>원명주</t>
  </si>
  <si>
    <t>010-3798-8930</t>
  </si>
  <si>
    <t>노주원</t>
  </si>
  <si>
    <t>010-8892-1954</t>
  </si>
  <si>
    <t>원귀자</t>
  </si>
  <si>
    <t>010-8411-6542</t>
  </si>
  <si>
    <t>최윤희</t>
  </si>
  <si>
    <t>010-8881-0580</t>
  </si>
  <si>
    <t>우수연</t>
  </si>
  <si>
    <t>010-8691-0580</t>
  </si>
  <si>
    <t>김가연</t>
  </si>
  <si>
    <t>010-9025-9115</t>
  </si>
  <si>
    <t>오은서</t>
  </si>
  <si>
    <t>010-8975-7983</t>
  </si>
  <si>
    <t>유순옥</t>
  </si>
  <si>
    <t>010-9360-7104</t>
  </si>
  <si>
    <t>오소현</t>
  </si>
  <si>
    <t>010-8906-7104</t>
  </si>
  <si>
    <t>2025. 12. 07. 09:06:23</t>
  </si>
  <si>
    <t>장신영</t>
  </si>
  <si>
    <t>010-9623-7244</t>
  </si>
  <si>
    <t>오소진</t>
  </si>
  <si>
    <t>010-4939-8731</t>
  </si>
  <si>
    <t>현해시</t>
  </si>
  <si>
    <t>010-3526-5421</t>
  </si>
  <si>
    <t>엄선미</t>
  </si>
  <si>
    <t>010-4005-5421</t>
  </si>
  <si>
    <t>양경</t>
  </si>
  <si>
    <t>010-2843-6832</t>
  </si>
  <si>
    <t>양중웅</t>
  </si>
  <si>
    <t>010-2721-6832</t>
  </si>
  <si>
    <t>한상언</t>
  </si>
  <si>
    <t>010-5213-6103</t>
  </si>
  <si>
    <t>양영숙</t>
  </si>
  <si>
    <t>010-9229-8768</t>
  </si>
  <si>
    <t>2025. 12. 07. 09:06:45</t>
  </si>
  <si>
    <t>나순복</t>
  </si>
  <si>
    <t>010-7227-1188</t>
  </si>
  <si>
    <t>양모선</t>
  </si>
  <si>
    <t>010-5020-4356</t>
  </si>
  <si>
    <t>이영희</t>
  </si>
  <si>
    <t>010-9246-9086</t>
  </si>
  <si>
    <t>안희숙</t>
  </si>
  <si>
    <t>010-3767-8168</t>
  </si>
  <si>
    <t>정명지</t>
  </si>
  <si>
    <t>010-7773-3360</t>
  </si>
  <si>
    <t>안홍순</t>
  </si>
  <si>
    <t>010-7299-3679</t>
  </si>
  <si>
    <t>신병천</t>
  </si>
  <si>
    <t>010-5407-7420</t>
  </si>
  <si>
    <t>안정애</t>
  </si>
  <si>
    <t>010-4470-4691</t>
  </si>
  <si>
    <t>2025. 12. 07. 09:07:47</t>
  </si>
  <si>
    <t>천현우</t>
  </si>
  <si>
    <t>010-9009-1029</t>
  </si>
  <si>
    <t>안재실</t>
  </si>
  <si>
    <t>010-3423-3935</t>
  </si>
  <si>
    <t>박재희</t>
  </si>
  <si>
    <t>010-5031-8104</t>
  </si>
  <si>
    <t>안재면</t>
  </si>
  <si>
    <t>010-2805-8104</t>
  </si>
  <si>
    <t>2025. 12. 07. 09:07:01</t>
  </si>
  <si>
    <t>가재연</t>
  </si>
  <si>
    <t>010-2223-6413</t>
  </si>
  <si>
    <t>안순옥</t>
  </si>
  <si>
    <t>010-2448-4060</t>
  </si>
  <si>
    <t>2025. 12. 07. 09:06:01</t>
  </si>
  <si>
    <t>박유순</t>
  </si>
  <si>
    <t>010-3563-8098</t>
  </si>
  <si>
    <t>안선녀</t>
  </si>
  <si>
    <t>010-6637-8884</t>
  </si>
  <si>
    <t>이춘희</t>
  </si>
  <si>
    <t>010-6207-6530</t>
  </si>
  <si>
    <t>심재현</t>
  </si>
  <si>
    <t>010-5533-7082</t>
  </si>
  <si>
    <t>조원석</t>
  </si>
  <si>
    <t>010-5880-8398</t>
  </si>
  <si>
    <t>신혜영</t>
  </si>
  <si>
    <t>010-2422-8398</t>
  </si>
  <si>
    <t>고은혜</t>
  </si>
  <si>
    <t>010-9313-7179</t>
  </si>
  <si>
    <t>신혜경</t>
  </si>
  <si>
    <t>010-7102-0242</t>
  </si>
  <si>
    <t>신희자</t>
  </si>
  <si>
    <t>010-8768-8624</t>
  </si>
  <si>
    <t>신현복</t>
  </si>
  <si>
    <t>010-2676-7984</t>
  </si>
  <si>
    <t>고인숙</t>
  </si>
  <si>
    <t>010-4715-9527</t>
  </si>
  <si>
    <t>신충근</t>
  </si>
  <si>
    <t>010-5442-9527</t>
  </si>
  <si>
    <t>윤정숙</t>
  </si>
  <si>
    <t>010-7222-3328</t>
  </si>
  <si>
    <t>신용수</t>
  </si>
  <si>
    <t>010-2449-0701</t>
  </si>
  <si>
    <t>오효근</t>
  </si>
  <si>
    <t>010-4227-6604</t>
  </si>
  <si>
    <t>신세라</t>
  </si>
  <si>
    <t>010-9062-2126</t>
  </si>
  <si>
    <t>박찬욱</t>
  </si>
  <si>
    <t>010-3716-8670</t>
  </si>
  <si>
    <t>신선영</t>
  </si>
  <si>
    <t>010-3716-8690</t>
  </si>
  <si>
    <t>황성화</t>
  </si>
  <si>
    <t>010-8829-0236</t>
  </si>
  <si>
    <t>010-5466-7359</t>
  </si>
  <si>
    <t>진승엽</t>
  </si>
  <si>
    <t>010-8761-3879</t>
  </si>
  <si>
    <t>신명옥</t>
  </si>
  <si>
    <t>010-8033-0713</t>
  </si>
  <si>
    <t>황재숙</t>
  </si>
  <si>
    <t>010-6216-8331</t>
  </si>
  <si>
    <t>송지나</t>
  </si>
  <si>
    <t>010-4121-6305</t>
  </si>
  <si>
    <t>문은경</t>
  </si>
  <si>
    <t>010-2544-2864</t>
  </si>
  <si>
    <t>송제호</t>
  </si>
  <si>
    <t>010-3051-7301</t>
  </si>
  <si>
    <t>송인옥</t>
  </si>
  <si>
    <t>010-3938-0520</t>
  </si>
  <si>
    <t>송인덕</t>
  </si>
  <si>
    <t>010-2236-6468</t>
  </si>
  <si>
    <t>송영희</t>
  </si>
  <si>
    <t>010-4760-9453</t>
  </si>
  <si>
    <t>송영미</t>
  </si>
  <si>
    <t>010-2429-7477</t>
  </si>
  <si>
    <t>류은양</t>
  </si>
  <si>
    <t>010-2745-8855</t>
  </si>
  <si>
    <t>송미량</t>
  </si>
  <si>
    <t>010-2969-5088</t>
  </si>
  <si>
    <t>손종옥</t>
  </si>
  <si>
    <t>010-5628-8803</t>
  </si>
  <si>
    <t>손진옥</t>
  </si>
  <si>
    <t>010-9207-6551</t>
  </si>
  <si>
    <t>차주명</t>
  </si>
  <si>
    <t>010-9923-5434</t>
  </si>
  <si>
    <t>소혜진</t>
  </si>
  <si>
    <t>010-5584-1222</t>
  </si>
  <si>
    <t>2025. 12. 07. 09:08:05</t>
  </si>
  <si>
    <t>손정자</t>
  </si>
  <si>
    <t>010-7623-3113</t>
  </si>
  <si>
    <t>성기원</t>
  </si>
  <si>
    <t>010-5574-3138</t>
  </si>
  <si>
    <t>설애영</t>
  </si>
  <si>
    <t>010-5423-7970</t>
  </si>
  <si>
    <t>설미영</t>
  </si>
  <si>
    <t>010-3460-8701</t>
  </si>
  <si>
    <t>석소희</t>
  </si>
  <si>
    <t>010-6730-7212</t>
  </si>
  <si>
    <t>석연희</t>
  </si>
  <si>
    <t>010-2223-0415</t>
  </si>
  <si>
    <t>강태준</t>
  </si>
  <si>
    <t>010-4760-8305</t>
  </si>
  <si>
    <t>석명란</t>
  </si>
  <si>
    <t>010-9884-8301</t>
  </si>
  <si>
    <t>권혜규</t>
  </si>
  <si>
    <t>010-6212-9679</t>
  </si>
  <si>
    <t>서정희</t>
  </si>
  <si>
    <t>010-2515-3907</t>
  </si>
  <si>
    <t>서영란</t>
  </si>
  <si>
    <t>010-4077-5434</t>
  </si>
  <si>
    <t>서영선</t>
  </si>
  <si>
    <t>010-9048-2713</t>
  </si>
  <si>
    <t>2025. 12. 07. 09:07:32</t>
  </si>
  <si>
    <t>양우정</t>
  </si>
  <si>
    <t>010-8513-6832</t>
  </si>
  <si>
    <t>서순자</t>
  </si>
  <si>
    <t>010-3345-6832</t>
  </si>
  <si>
    <t>최원정</t>
  </si>
  <si>
    <t>010-3524-1337</t>
  </si>
  <si>
    <t>서소정</t>
  </si>
  <si>
    <t>010-8850-6873</t>
  </si>
  <si>
    <t>최은경</t>
  </si>
  <si>
    <t>010-6229-7905</t>
  </si>
  <si>
    <t>서 지예</t>
  </si>
  <si>
    <t>010-3716-7905</t>
  </si>
  <si>
    <t>전춘옥</t>
  </si>
  <si>
    <t>010-5271-7480</t>
  </si>
  <si>
    <t>변혜린</t>
  </si>
  <si>
    <t>010-4327-3753</t>
  </si>
  <si>
    <t>배연옥</t>
  </si>
  <si>
    <t>010-6354-3234</t>
  </si>
  <si>
    <t>변준수</t>
  </si>
  <si>
    <t>010-3177-5728</t>
  </si>
  <si>
    <t>백광숙</t>
  </si>
  <si>
    <t>010-5335-0209</t>
  </si>
  <si>
    <t>백종숙</t>
  </si>
  <si>
    <t>010-2271-3220</t>
  </si>
  <si>
    <t>남창건</t>
  </si>
  <si>
    <t>010-3565-4208</t>
  </si>
  <si>
    <t>백영주</t>
  </si>
  <si>
    <t>010-6248-7360</t>
  </si>
  <si>
    <t>류선균</t>
  </si>
  <si>
    <t>010-2610-8235</t>
  </si>
  <si>
    <t>백영애</t>
  </si>
  <si>
    <t>010-5458-4879</t>
  </si>
  <si>
    <t>백소희</t>
  </si>
  <si>
    <t>010-9799-1879</t>
  </si>
  <si>
    <t>백영숙</t>
  </si>
  <si>
    <t>010-8459-2836</t>
  </si>
  <si>
    <t>김하나</t>
  </si>
  <si>
    <t>010-2343-3221</t>
  </si>
  <si>
    <t>백미경</t>
  </si>
  <si>
    <t>010-4266-6616</t>
  </si>
  <si>
    <t>차경남</t>
  </si>
  <si>
    <t>010-4444-8101</t>
  </si>
  <si>
    <t>백금예</t>
  </si>
  <si>
    <t>010-8876-6855</t>
  </si>
  <si>
    <t>2025. 12. 07. 09:06:46</t>
  </si>
  <si>
    <t>배희수</t>
  </si>
  <si>
    <t>010-9843-0715</t>
  </si>
  <si>
    <t>배종률</t>
  </si>
  <si>
    <t>010-6390-0715</t>
  </si>
  <si>
    <t>윤혜연</t>
  </si>
  <si>
    <t>010-9445-0395</t>
  </si>
  <si>
    <t>배인숙</t>
  </si>
  <si>
    <t>010-8780-2748</t>
  </si>
  <si>
    <t>이정은</t>
  </si>
  <si>
    <t>010-7123-7820</t>
  </si>
  <si>
    <t>배원길</t>
  </si>
  <si>
    <t>010-3786-7820</t>
  </si>
  <si>
    <t>김선현</t>
  </si>
  <si>
    <t>010-9519-3359</t>
  </si>
  <si>
    <t>배동호</t>
  </si>
  <si>
    <t>010-2515-9993</t>
  </si>
  <si>
    <t>이세라</t>
  </si>
  <si>
    <t>010-6367-7027</t>
  </si>
  <si>
    <t>배경순</t>
  </si>
  <si>
    <t>010-7710-6572</t>
  </si>
  <si>
    <t>김귀자</t>
  </si>
  <si>
    <t>010-3466-2193</t>
  </si>
  <si>
    <t>배경숙</t>
  </si>
  <si>
    <t>010-3412-5555</t>
  </si>
  <si>
    <t>방종숙</t>
  </si>
  <si>
    <t>010-4593-9319</t>
  </si>
  <si>
    <t>방혜석</t>
  </si>
  <si>
    <t>010-8025-1004</t>
  </si>
  <si>
    <t>오정림</t>
  </si>
  <si>
    <t>010-3038-4977</t>
  </si>
  <si>
    <t>반경숙</t>
  </si>
  <si>
    <t>010-4739-5583</t>
  </si>
  <si>
    <t>2025. 12. 07. 09:07:38</t>
  </si>
  <si>
    <t>조명아</t>
  </si>
  <si>
    <t>010-8228-7117</t>
  </si>
  <si>
    <t>박혜선</t>
  </si>
  <si>
    <t>010-5095-7328</t>
  </si>
  <si>
    <t>함은순</t>
  </si>
  <si>
    <t>010-9273-7927</t>
  </si>
  <si>
    <t>박현민</t>
  </si>
  <si>
    <t>010-8844-1559</t>
  </si>
  <si>
    <t>박영주</t>
  </si>
  <si>
    <t>010-5125-1228</t>
  </si>
  <si>
    <t>박춘신</t>
  </si>
  <si>
    <t>010-5246-2681</t>
  </si>
  <si>
    <t>박창희</t>
  </si>
  <si>
    <t>010-8800-1977</t>
  </si>
  <si>
    <t>박지연</t>
  </si>
  <si>
    <t>010-8837-7266</t>
  </si>
  <si>
    <t>변혜진</t>
  </si>
  <si>
    <t>010-4725-9852</t>
  </si>
  <si>
    <t>박준명</t>
  </si>
  <si>
    <t>010-8757-9852</t>
  </si>
  <si>
    <t>손승민</t>
  </si>
  <si>
    <t>010-7378-6469</t>
  </si>
  <si>
    <t>박종숙</t>
  </si>
  <si>
    <t>010-5465-3515</t>
  </si>
  <si>
    <t>010-4253-9159</t>
  </si>
  <si>
    <t>박정준</t>
  </si>
  <si>
    <t>010-9177-5078</t>
  </si>
  <si>
    <t>지혜영</t>
  </si>
  <si>
    <t>010-5418-2260</t>
  </si>
  <si>
    <t>박정옥</t>
  </si>
  <si>
    <t>010-5412-3230</t>
  </si>
  <si>
    <t>이영애</t>
  </si>
  <si>
    <t>010-2259-7026</t>
  </si>
  <si>
    <t>박재용</t>
  </si>
  <si>
    <t>010-5814-9987</t>
  </si>
  <si>
    <t>백창남</t>
  </si>
  <si>
    <t>010-5360-8750</t>
  </si>
  <si>
    <t>박재영</t>
  </si>
  <si>
    <t>010-5363-8750</t>
  </si>
  <si>
    <t>김민희</t>
  </si>
  <si>
    <t>010-3999-1894</t>
  </si>
  <si>
    <t>박재언</t>
  </si>
  <si>
    <t>010-2360-1894</t>
  </si>
  <si>
    <t>박선아</t>
  </si>
  <si>
    <t>010-7503-8872</t>
  </si>
  <si>
    <t>박자연</t>
  </si>
  <si>
    <t>010-2030-7498</t>
  </si>
  <si>
    <t>서동희</t>
  </si>
  <si>
    <t>010-8750-8780</t>
  </si>
  <si>
    <t>박이태</t>
  </si>
  <si>
    <t>010-6561-7377</t>
  </si>
  <si>
    <t>이지아</t>
  </si>
  <si>
    <t>010-5366-3589</t>
  </si>
  <si>
    <t>박은희</t>
  </si>
  <si>
    <t>010-2896-3573</t>
  </si>
  <si>
    <t>박영숙</t>
  </si>
  <si>
    <t>010-8345-6432</t>
  </si>
  <si>
    <t>박용숙</t>
  </si>
  <si>
    <t>010-3732-5719</t>
  </si>
  <si>
    <t>박보라</t>
  </si>
  <si>
    <t>010-5148-5168</t>
  </si>
  <si>
    <t>박예빈</t>
  </si>
  <si>
    <t>010-5373-2827</t>
  </si>
  <si>
    <t>홍미정</t>
  </si>
  <si>
    <t>010-6239-3758</t>
  </si>
  <si>
    <t>010-3069-3758</t>
  </si>
  <si>
    <t>임경란</t>
  </si>
  <si>
    <t>010-3829-0986</t>
  </si>
  <si>
    <t>박영배</t>
  </si>
  <si>
    <t>010-5440-0986</t>
  </si>
  <si>
    <t>010-8989-1067</t>
  </si>
  <si>
    <t>박순종</t>
  </si>
  <si>
    <t>010-3275-1067</t>
  </si>
  <si>
    <t>최민주</t>
  </si>
  <si>
    <t>010-8399-1857</t>
  </si>
  <si>
    <t>박수환</t>
  </si>
  <si>
    <t>010-3218-1857</t>
  </si>
  <si>
    <t>2025. 12. 07. 09:07:33</t>
  </si>
  <si>
    <t>임영길</t>
  </si>
  <si>
    <t>010-5863-6196</t>
  </si>
  <si>
    <t>박소언</t>
  </si>
  <si>
    <t>010-8680-0916</t>
  </si>
  <si>
    <t>전영옥</t>
  </si>
  <si>
    <t>010-5671-4627</t>
  </si>
  <si>
    <t>박상민</t>
  </si>
  <si>
    <t>010-3580-4627</t>
  </si>
  <si>
    <t>이숙희</t>
  </si>
  <si>
    <t>010-3009-4254</t>
  </si>
  <si>
    <t>박병옥</t>
  </si>
  <si>
    <t>010-3030-4254</t>
  </si>
  <si>
    <t>김미정</t>
  </si>
  <si>
    <t>010-7275-9788</t>
  </si>
  <si>
    <t>박범진</t>
  </si>
  <si>
    <t>010-5775-4639</t>
  </si>
  <si>
    <t>안경자</t>
  </si>
  <si>
    <t>010-9899-9297</t>
  </si>
  <si>
    <t>박민경</t>
  </si>
  <si>
    <t>010-8414-4297</t>
  </si>
  <si>
    <t>박진숙</t>
  </si>
  <si>
    <t>010-6665-5310</t>
  </si>
  <si>
    <t>박미영</t>
  </si>
  <si>
    <t>010-3456-5310</t>
  </si>
  <si>
    <t>김순화</t>
  </si>
  <si>
    <t>010-2110-9361</t>
  </si>
  <si>
    <t>박몽선</t>
  </si>
  <si>
    <t>010-6410-7809</t>
  </si>
  <si>
    <t>조윤경</t>
  </si>
  <si>
    <t>010-6502-5497</t>
  </si>
  <si>
    <t>박명길</t>
  </si>
  <si>
    <t>010-6525-1236</t>
  </si>
  <si>
    <t>2025. 12. 07. 09:06:42</t>
  </si>
  <si>
    <t>김제니</t>
  </si>
  <si>
    <t>010-5051-3130</t>
  </si>
  <si>
    <t>박말선</t>
  </si>
  <si>
    <t>010-5594-6111</t>
  </si>
  <si>
    <t>박찬호</t>
  </si>
  <si>
    <t>010-2433-5700</t>
  </si>
  <si>
    <t>박나연</t>
  </si>
  <si>
    <t>010-9352-2770</t>
  </si>
  <si>
    <t>최준희</t>
  </si>
  <si>
    <t>010-6359-0031</t>
  </si>
  <si>
    <t>박금옥</t>
  </si>
  <si>
    <t>010-5558-0031</t>
  </si>
  <si>
    <t>강기정</t>
  </si>
  <si>
    <t>010-9012-0940</t>
  </si>
  <si>
    <t>박규원</t>
  </si>
  <si>
    <t>010-3849-0808</t>
  </si>
  <si>
    <t>박찬영</t>
  </si>
  <si>
    <t>010-3336-8428</t>
  </si>
  <si>
    <t>박경원</t>
  </si>
  <si>
    <t>010-4619-8428</t>
  </si>
  <si>
    <t>010-9755-9876</t>
  </si>
  <si>
    <t>박경순</t>
  </si>
  <si>
    <t>010-3320-5505</t>
  </si>
  <si>
    <t>박태선</t>
  </si>
  <si>
    <t>010-4722-8474</t>
  </si>
  <si>
    <t>박가경</t>
  </si>
  <si>
    <t>010-2389-8229</t>
  </si>
  <si>
    <t>김서호</t>
  </si>
  <si>
    <t>010-8731-1185</t>
  </si>
  <si>
    <t>문인숙</t>
  </si>
  <si>
    <t>010-8863-1185</t>
  </si>
  <si>
    <t>이소희</t>
  </si>
  <si>
    <t>010-3240-8603</t>
  </si>
  <si>
    <t>문엘리(Ellie Moon)</t>
  </si>
  <si>
    <t>010-4578-3317</t>
  </si>
  <si>
    <t>이선화</t>
  </si>
  <si>
    <t>010-9209-6780</t>
  </si>
  <si>
    <t>문성숙</t>
  </si>
  <si>
    <t>010-7121-2676</t>
  </si>
  <si>
    <t>문정아</t>
  </si>
  <si>
    <t>010-8614-4901</t>
  </si>
  <si>
    <t>문서원</t>
  </si>
  <si>
    <t>010-8602-4903</t>
  </si>
  <si>
    <t>문대영</t>
  </si>
  <si>
    <t>010-3636-8427</t>
  </si>
  <si>
    <t>문경혜</t>
  </si>
  <si>
    <t>010-5809-5838</t>
  </si>
  <si>
    <t>채경숙</t>
  </si>
  <si>
    <t>010-5167-4334</t>
  </si>
  <si>
    <t>류예숙</t>
  </si>
  <si>
    <t>010-3462-7606</t>
  </si>
  <si>
    <t>강의정</t>
  </si>
  <si>
    <t>010-8519-3696</t>
  </si>
  <si>
    <t>류영숙</t>
  </si>
  <si>
    <t>010-5607-2383</t>
  </si>
  <si>
    <t>김갑례</t>
  </si>
  <si>
    <t>010-8743-6061</t>
  </si>
  <si>
    <t>류미라</t>
  </si>
  <si>
    <t>010-8928-9829</t>
  </si>
  <si>
    <t>배성숙</t>
  </si>
  <si>
    <t>010-3843-5773</t>
  </si>
  <si>
    <t>도찬숙</t>
  </si>
  <si>
    <t>010-2450-7628</t>
  </si>
  <si>
    <t>최인성</t>
  </si>
  <si>
    <t>010-2857-2300</t>
  </si>
  <si>
    <t>노애경</t>
  </si>
  <si>
    <t>010-9765-0347</t>
  </si>
  <si>
    <t>장진영</t>
  </si>
  <si>
    <t>010-9522-1978</t>
  </si>
  <si>
    <t>노대길</t>
  </si>
  <si>
    <t>010-3245-2185</t>
  </si>
  <si>
    <t>노춘자</t>
  </si>
  <si>
    <t>010-3032-8460</t>
  </si>
  <si>
    <t>노금종</t>
  </si>
  <si>
    <t>010-6257-1068</t>
  </si>
  <si>
    <t>이양규</t>
  </si>
  <si>
    <t>010-9467-3461</t>
  </si>
  <si>
    <t>노경은</t>
  </si>
  <si>
    <t>010-3645-4406</t>
  </si>
  <si>
    <t>심우철</t>
  </si>
  <si>
    <t>010-5756-0295</t>
  </si>
  <si>
    <t>남미자</t>
  </si>
  <si>
    <t>010-3956-0295</t>
  </si>
  <si>
    <t>010-5635-7067</t>
  </si>
  <si>
    <t>나현호</t>
  </si>
  <si>
    <t>010-9671-3871</t>
  </si>
  <si>
    <t>010-3266-6092</t>
  </si>
  <si>
    <t>김희정</t>
  </si>
  <si>
    <t>010-4179-3585</t>
  </si>
  <si>
    <t>한은경</t>
  </si>
  <si>
    <t>010-3064-9703</t>
  </si>
  <si>
    <t>010-3353-9703</t>
  </si>
  <si>
    <t>김성혜</t>
  </si>
  <si>
    <t>010-9142-5493</t>
  </si>
  <si>
    <t>김희자</t>
  </si>
  <si>
    <t>010-7688-5493</t>
  </si>
  <si>
    <t>박상용</t>
  </si>
  <si>
    <t>010-5229-2640</t>
  </si>
  <si>
    <t>김희경</t>
  </si>
  <si>
    <t>010-3424-7573</t>
  </si>
  <si>
    <t>장재성</t>
  </si>
  <si>
    <t>010-2544-2905</t>
  </si>
  <si>
    <t>김효상</t>
  </si>
  <si>
    <t>010-7586-1547</t>
  </si>
  <si>
    <t>신영동</t>
  </si>
  <si>
    <t>010-6524-2172</t>
  </si>
  <si>
    <t>김혜진</t>
  </si>
  <si>
    <t>010-9368-7147</t>
  </si>
  <si>
    <t>고민경</t>
  </si>
  <si>
    <t>010-2905-6970</t>
  </si>
  <si>
    <t>김혜란</t>
  </si>
  <si>
    <t>010-3136-6970</t>
  </si>
  <si>
    <t>배미경</t>
  </si>
  <si>
    <t>010-3458-4989</t>
  </si>
  <si>
    <t>김형길</t>
  </si>
  <si>
    <t>010-9651-3232</t>
  </si>
  <si>
    <t>김소영</t>
  </si>
  <si>
    <t>010-5255-6122</t>
  </si>
  <si>
    <t>김현주</t>
  </si>
  <si>
    <t>010-8684-7537</t>
  </si>
  <si>
    <t>정현종</t>
  </si>
  <si>
    <t>010-6367-0075</t>
  </si>
  <si>
    <t>010-3038-0075</t>
  </si>
  <si>
    <t>김남희</t>
  </si>
  <si>
    <t>010-6396-6223</t>
  </si>
  <si>
    <t>김현정</t>
  </si>
  <si>
    <t>010-6503-4064</t>
  </si>
  <si>
    <t>최은혜</t>
  </si>
  <si>
    <t>010-4333-2348</t>
  </si>
  <si>
    <t>김현영</t>
  </si>
  <si>
    <t>010-3255-6552</t>
  </si>
  <si>
    <t>하문혜</t>
  </si>
  <si>
    <t>010-6317-1770</t>
  </si>
  <si>
    <t>김학진</t>
  </si>
  <si>
    <t>010-6317-8164</t>
  </si>
  <si>
    <t>황기자</t>
  </si>
  <si>
    <t>010-5284-1154</t>
  </si>
  <si>
    <t>김학수</t>
  </si>
  <si>
    <t>010-8566-7758</t>
  </si>
  <si>
    <t>임은정</t>
  </si>
  <si>
    <t>010-9002-8171</t>
  </si>
  <si>
    <t>김태현</t>
  </si>
  <si>
    <t>010-9101-0327</t>
  </si>
  <si>
    <t>최정자</t>
  </si>
  <si>
    <t>010-9866-1976</t>
  </si>
  <si>
    <t>010-4409-4839</t>
  </si>
  <si>
    <t>최영희</t>
  </si>
  <si>
    <t>010-5453-3592</t>
  </si>
  <si>
    <t>김태운</t>
  </si>
  <si>
    <t>010-5645-3729</t>
  </si>
  <si>
    <t>장현정</t>
  </si>
  <si>
    <t>010-3034-7953</t>
  </si>
  <si>
    <t>김춘화</t>
  </si>
  <si>
    <t>010-2503-7953</t>
  </si>
  <si>
    <t>김호숙</t>
  </si>
  <si>
    <t>010-9304-7100</t>
  </si>
  <si>
    <t>김춘영</t>
  </si>
  <si>
    <t>010-9004-1854</t>
  </si>
  <si>
    <t>김진자</t>
  </si>
  <si>
    <t>010-9444-7591</t>
  </si>
  <si>
    <t>010-2288-5290</t>
  </si>
  <si>
    <t>김은정</t>
  </si>
  <si>
    <t>010-8001-1753</t>
  </si>
  <si>
    <t>김진숙</t>
  </si>
  <si>
    <t>010-3512-7855</t>
  </si>
  <si>
    <t>이광진</t>
  </si>
  <si>
    <t>010-9328-7955</t>
  </si>
  <si>
    <t>김진선</t>
  </si>
  <si>
    <t>010-8323-9867</t>
  </si>
  <si>
    <t>한국희</t>
  </si>
  <si>
    <t>010-4204-2751</t>
  </si>
  <si>
    <t>김지현</t>
  </si>
  <si>
    <t>010-9925-4765</t>
  </si>
  <si>
    <t>김성윤</t>
  </si>
  <si>
    <t>010-8421-0615</t>
  </si>
  <si>
    <t>김주희</t>
  </si>
  <si>
    <t>010-5550-8962</t>
  </si>
  <si>
    <t>양정아</t>
  </si>
  <si>
    <t>010-9194-7899</t>
  </si>
  <si>
    <t>김조년</t>
  </si>
  <si>
    <t>010-2171-5253</t>
  </si>
  <si>
    <t>김내영</t>
  </si>
  <si>
    <t>010-8151-3036</t>
  </si>
  <si>
    <t>김제현</t>
  </si>
  <si>
    <t>010-9012-3036</t>
  </si>
  <si>
    <t>이순원</t>
  </si>
  <si>
    <t>010-5305-0115</t>
  </si>
  <si>
    <t>010-9137-6220</t>
  </si>
  <si>
    <t>정소희</t>
  </si>
  <si>
    <t>010-6250-6572</t>
  </si>
  <si>
    <t>010-9071-1350</t>
  </si>
  <si>
    <t>이경희</t>
  </si>
  <si>
    <t>010-6284-3632</t>
  </si>
  <si>
    <t>김정진</t>
  </si>
  <si>
    <t>010-4303-6550</t>
  </si>
  <si>
    <t>이지윤</t>
  </si>
  <si>
    <t>010-7752-3738</t>
  </si>
  <si>
    <t>김정원</t>
  </si>
  <si>
    <t>010-4202-6787</t>
  </si>
  <si>
    <t>박명희</t>
  </si>
  <si>
    <t>010-6780-6737</t>
  </si>
  <si>
    <t>김정애</t>
  </si>
  <si>
    <t>010-3921-5562</t>
  </si>
  <si>
    <t>이병열</t>
  </si>
  <si>
    <t>010-7457-6707</t>
  </si>
  <si>
    <t>010-7557-6701</t>
  </si>
  <si>
    <t>홍효정</t>
  </si>
  <si>
    <t>010-9597-9412</t>
  </si>
  <si>
    <t>010-2391-6517</t>
  </si>
  <si>
    <t>황기호</t>
  </si>
  <si>
    <t>010-5253-9859</t>
  </si>
  <si>
    <t>010-3667-9000</t>
  </si>
  <si>
    <t>방연화</t>
  </si>
  <si>
    <t>010-3749-6211</t>
  </si>
  <si>
    <t>김정래</t>
  </si>
  <si>
    <t>010-4552-7212</t>
  </si>
  <si>
    <t>윤달미</t>
  </si>
  <si>
    <t>010-4830-8111</t>
  </si>
  <si>
    <t>김재숙</t>
  </si>
  <si>
    <t>010-6268-6400</t>
  </si>
  <si>
    <t>010-3753-4860</t>
  </si>
  <si>
    <t>김인호</t>
  </si>
  <si>
    <t>010-9017-0820</t>
  </si>
  <si>
    <t>서춘원</t>
  </si>
  <si>
    <t>010-8885-2649</t>
  </si>
  <si>
    <t>김의평</t>
  </si>
  <si>
    <t>010-3215-6471</t>
  </si>
  <si>
    <t>김선예</t>
  </si>
  <si>
    <t>010-3572-4936</t>
  </si>
  <si>
    <t>김윤학</t>
  </si>
  <si>
    <t>010-5445-4936</t>
  </si>
  <si>
    <t>문고업</t>
  </si>
  <si>
    <t>010-3058-7506</t>
  </si>
  <si>
    <t>김윤숙</t>
  </si>
  <si>
    <t>010-9226-0826</t>
  </si>
  <si>
    <t>이한숙</t>
  </si>
  <si>
    <t>010-4814-5133</t>
  </si>
  <si>
    <t>김원경</t>
  </si>
  <si>
    <t>010-2167-9051</t>
  </si>
  <si>
    <t>이은옥</t>
  </si>
  <si>
    <t>010-8738-2155</t>
  </si>
  <si>
    <t>김용진</t>
  </si>
  <si>
    <t>010-8801-2155</t>
  </si>
  <si>
    <t>김나영</t>
  </si>
  <si>
    <t>010-5232-5712</t>
  </si>
  <si>
    <t>김옥선</t>
  </si>
  <si>
    <t>010-7765-6778</t>
  </si>
  <si>
    <t>이영례</t>
  </si>
  <si>
    <t>010-3660-5595</t>
  </si>
  <si>
    <t>김영옥</t>
  </si>
  <si>
    <t>010-8923-1573</t>
  </si>
  <si>
    <t>010-3425-8124</t>
  </si>
  <si>
    <t>김영숙</t>
  </si>
  <si>
    <t>010-8944-0442</t>
  </si>
  <si>
    <t>김헌주</t>
  </si>
  <si>
    <t>010-5201-7935</t>
  </si>
  <si>
    <t>010-3707-1968</t>
  </si>
  <si>
    <t>이화주</t>
  </si>
  <si>
    <t>010-8205-2928</t>
  </si>
  <si>
    <t>김영서</t>
  </si>
  <si>
    <t>010-6296-2928</t>
  </si>
  <si>
    <t>김령지</t>
  </si>
  <si>
    <t>010-5290-0860</t>
  </si>
  <si>
    <t>김시남</t>
  </si>
  <si>
    <t>010-6376-2376</t>
  </si>
  <si>
    <t>최유정</t>
  </si>
  <si>
    <t>010-6378-6894</t>
  </si>
  <si>
    <t>010-6367-9389</t>
  </si>
  <si>
    <t>김경순</t>
  </si>
  <si>
    <t>010-8228-7883</t>
  </si>
  <si>
    <t>김순자</t>
  </si>
  <si>
    <t>010-7666-5628</t>
  </si>
  <si>
    <t>박영철</t>
  </si>
  <si>
    <t>010-6556-6331</t>
  </si>
  <si>
    <t>김순옥</t>
  </si>
  <si>
    <t>010-3669-8018</t>
  </si>
  <si>
    <t>2025. 12. 07. 09:07:11</t>
  </si>
  <si>
    <t>신한숙</t>
  </si>
  <si>
    <t>010-9565-2729</t>
  </si>
  <si>
    <t>010-9330-7033</t>
  </si>
  <si>
    <t>010-7912-3696</t>
  </si>
  <si>
    <t>김수형</t>
  </si>
  <si>
    <t>010-3929-5303</t>
  </si>
  <si>
    <t>김서희</t>
  </si>
  <si>
    <t>010-9144-1624</t>
  </si>
  <si>
    <t>김수현</t>
  </si>
  <si>
    <t>010-8919-0526</t>
  </si>
  <si>
    <t>이현순</t>
  </si>
  <si>
    <t>010-5269-4922</t>
  </si>
  <si>
    <t>김수철</t>
  </si>
  <si>
    <t>010-4192-4922</t>
  </si>
  <si>
    <t>이창연</t>
  </si>
  <si>
    <t>010-6273-6298</t>
  </si>
  <si>
    <t>김수영</t>
  </si>
  <si>
    <t>010-2047-5378</t>
  </si>
  <si>
    <t>안영란</t>
  </si>
  <si>
    <t>010-8705-7968</t>
  </si>
  <si>
    <t>김성환</t>
  </si>
  <si>
    <t>010-5372-5188</t>
  </si>
  <si>
    <t>고순화</t>
  </si>
  <si>
    <t>010-6545-5385</t>
  </si>
  <si>
    <t>김성우</t>
  </si>
  <si>
    <t>010-3811-1350</t>
  </si>
  <si>
    <t>손근현</t>
  </si>
  <si>
    <t>010-4852-5715</t>
  </si>
  <si>
    <t>김선희</t>
  </si>
  <si>
    <t>010-2253-4148</t>
  </si>
  <si>
    <t>정봉애</t>
  </si>
  <si>
    <t>010-4645-3970</t>
  </si>
  <si>
    <t>김선아</t>
  </si>
  <si>
    <t>010-4076-6106</t>
  </si>
  <si>
    <t>김미옥</t>
  </si>
  <si>
    <t>010-2040-0561</t>
  </si>
  <si>
    <t>010-5434-0962</t>
  </si>
  <si>
    <t>임조경</t>
  </si>
  <si>
    <t>010-3685-3686</t>
  </si>
  <si>
    <t>김서윤</t>
  </si>
  <si>
    <t>010-8917-3686</t>
  </si>
  <si>
    <t>010-4812-8670</t>
  </si>
  <si>
    <t>김복순</t>
  </si>
  <si>
    <t>010-7275-8670</t>
  </si>
  <si>
    <t>김문공</t>
  </si>
  <si>
    <t>010-5153-8775</t>
  </si>
  <si>
    <t>김민주</t>
  </si>
  <si>
    <t>010-4169-9447</t>
  </si>
  <si>
    <t>김현옥</t>
  </si>
  <si>
    <t>010-3586-2797</t>
  </si>
  <si>
    <t>김민석</t>
  </si>
  <si>
    <t>010-8543-1463</t>
  </si>
  <si>
    <t>배경희</t>
  </si>
  <si>
    <t>010-4174-5660</t>
  </si>
  <si>
    <t>김다혜</t>
  </si>
  <si>
    <t>010-2716-0027</t>
  </si>
  <si>
    <t>010-7542-8150</t>
  </si>
  <si>
    <t>김난숙</t>
  </si>
  <si>
    <t>010-4524-3349</t>
  </si>
  <si>
    <t>010-3766-0505</t>
  </si>
  <si>
    <t>김나래</t>
  </si>
  <si>
    <t>010-9088-3375</t>
  </si>
  <si>
    <t>2025. 12. 07. 09:06:07</t>
  </si>
  <si>
    <t>이미자</t>
  </si>
  <si>
    <t>010-8907-8888</t>
  </si>
  <si>
    <t>김기흥</t>
  </si>
  <si>
    <t>010-7114-3096</t>
  </si>
  <si>
    <t>이수미</t>
  </si>
  <si>
    <t>010-2414-3267</t>
  </si>
  <si>
    <t>김기혜</t>
  </si>
  <si>
    <t>010-8252-3253</t>
  </si>
  <si>
    <t>이항식</t>
  </si>
  <si>
    <t>010-8703-3029</t>
  </si>
  <si>
    <t>김기술</t>
  </si>
  <si>
    <t>010-8803-9345</t>
  </si>
  <si>
    <t>김금랑</t>
  </si>
  <si>
    <t>010-9897-0593</t>
  </si>
  <si>
    <t>김금순</t>
  </si>
  <si>
    <t>010-4278-5446</t>
  </si>
  <si>
    <t>김경자</t>
  </si>
  <si>
    <t>010-5467-5077</t>
  </si>
  <si>
    <t>김규리</t>
  </si>
  <si>
    <t>010-3177-6543</t>
  </si>
  <si>
    <t>2025. 12. 07. 09:02:12</t>
  </si>
  <si>
    <t>010-2318-5681</t>
  </si>
  <si>
    <t>김경희</t>
  </si>
  <si>
    <t>010-5613-0415</t>
  </si>
  <si>
    <t>박미자</t>
  </si>
  <si>
    <t>010-3567-6026</t>
  </si>
  <si>
    <t>010-2929-3048</t>
  </si>
  <si>
    <t>강현정</t>
  </si>
  <si>
    <t>010-9324-2457</t>
  </si>
  <si>
    <t>김경우</t>
  </si>
  <si>
    <t>010-4870-7714</t>
  </si>
  <si>
    <t>이재월</t>
  </si>
  <si>
    <t>010-5289-2592</t>
  </si>
  <si>
    <t>김경식</t>
  </si>
  <si>
    <t>010-5293-5505</t>
  </si>
  <si>
    <t>조소현</t>
  </si>
  <si>
    <t>010-8817-3740</t>
  </si>
  <si>
    <t>권준진</t>
  </si>
  <si>
    <t>010-2662-7154</t>
  </si>
  <si>
    <t>정소연</t>
  </si>
  <si>
    <t>010-3219-1531</t>
  </si>
  <si>
    <t>권월희</t>
  </si>
  <si>
    <t>010-3029-1532</t>
  </si>
  <si>
    <t>010-9668-2558</t>
  </si>
  <si>
    <t>권영훈</t>
  </si>
  <si>
    <t>010-6292-9839</t>
  </si>
  <si>
    <t>오영삼</t>
  </si>
  <si>
    <t>010-6356-5032</t>
  </si>
  <si>
    <t>권성희</t>
  </si>
  <si>
    <t>010-3030-1459</t>
  </si>
  <si>
    <t>강성미</t>
  </si>
  <si>
    <t>010-8502-3448</t>
  </si>
  <si>
    <t>권리안</t>
  </si>
  <si>
    <t>010-2597-7000</t>
  </si>
  <si>
    <t>윤인숙</t>
  </si>
  <si>
    <t>010-2458-8262</t>
  </si>
  <si>
    <t>구영숙</t>
  </si>
  <si>
    <t>010-9446-5530</t>
  </si>
  <si>
    <t>박세영</t>
  </si>
  <si>
    <t>010-4995-0598</t>
  </si>
  <si>
    <t>구미숙</t>
  </si>
  <si>
    <t>010-5778-4351</t>
  </si>
  <si>
    <t>이재숙</t>
  </si>
  <si>
    <t>010-8771-8764</t>
  </si>
  <si>
    <t>구경회</t>
  </si>
  <si>
    <t>010-5250-0365</t>
  </si>
  <si>
    <t>백지혜</t>
  </si>
  <si>
    <t>010-4623-7400</t>
  </si>
  <si>
    <t>공민지</t>
  </si>
  <si>
    <t>010-2384-4559</t>
  </si>
  <si>
    <t>김옥숙</t>
  </si>
  <si>
    <t>010-2875-3205</t>
  </si>
  <si>
    <t>고창근</t>
  </si>
  <si>
    <t>010-2589-7306</t>
  </si>
  <si>
    <t>박상엽</t>
  </si>
  <si>
    <t>010-8535-2363</t>
  </si>
  <si>
    <t>고지연</t>
  </si>
  <si>
    <t>010-9219-8032</t>
  </si>
  <si>
    <t>박용녀</t>
  </si>
  <si>
    <t>010-5232-4220</t>
  </si>
  <si>
    <t>고영심</t>
  </si>
  <si>
    <t>010-3550-1707</t>
  </si>
  <si>
    <t>허은영</t>
  </si>
  <si>
    <t>010-4852-8222</t>
  </si>
  <si>
    <t>강화정</t>
  </si>
  <si>
    <t>010-4311-5158</t>
  </si>
  <si>
    <t>윤순교</t>
  </si>
  <si>
    <t>010-5251-7843</t>
  </si>
  <si>
    <t>강혜숙</t>
  </si>
  <si>
    <t>010-7123-8316</t>
  </si>
  <si>
    <t>고미영</t>
  </si>
  <si>
    <t>010-3304-3605</t>
  </si>
  <si>
    <t>강형동</t>
  </si>
  <si>
    <t>010-2511-7920</t>
  </si>
  <si>
    <t>박형신</t>
  </si>
  <si>
    <t>010-2305-7622</t>
  </si>
  <si>
    <t>강현숙</t>
  </si>
  <si>
    <t>010-8872-0859</t>
  </si>
  <si>
    <t>김외숙</t>
  </si>
  <si>
    <t>010-5061-8691</t>
  </si>
  <si>
    <t>강태구</t>
  </si>
  <si>
    <t>010-9902-8691</t>
  </si>
  <si>
    <t>김우선</t>
  </si>
  <si>
    <t>010-6357-3226</t>
  </si>
  <si>
    <t>강창구</t>
  </si>
  <si>
    <t>010-5815-3111</t>
  </si>
  <si>
    <t>오현주</t>
  </si>
  <si>
    <t>010-4209-0661</t>
  </si>
  <si>
    <t>강지한</t>
  </si>
  <si>
    <t>010-8307-3974</t>
  </si>
  <si>
    <t>배용복</t>
  </si>
  <si>
    <t>010-4580-8288</t>
  </si>
  <si>
    <t>강윤정</t>
  </si>
  <si>
    <t>010-5296-2378</t>
  </si>
  <si>
    <t>김영식</t>
  </si>
  <si>
    <t>010-3565-4798</t>
  </si>
  <si>
    <t>강영애</t>
  </si>
  <si>
    <t>010-8182-4798</t>
  </si>
  <si>
    <t>하서빈</t>
  </si>
  <si>
    <t>010-8829-4292</t>
  </si>
  <si>
    <t>강시헌</t>
  </si>
  <si>
    <t>010-7435-5349</t>
  </si>
  <si>
    <t>010-4320-8424</t>
  </si>
  <si>
    <t>강성철</t>
  </si>
  <si>
    <t>010-5118-8424</t>
  </si>
  <si>
    <t>조찬영</t>
  </si>
  <si>
    <t>010-9172-2959</t>
  </si>
  <si>
    <t>강선영</t>
  </si>
  <si>
    <t>010-9472-3342</t>
  </si>
  <si>
    <t>나현기</t>
  </si>
  <si>
    <t>010-4333-0612</t>
  </si>
  <si>
    <t>박정남</t>
  </si>
  <si>
    <t>010-5501-7595</t>
  </si>
  <si>
    <t>유미숙</t>
  </si>
  <si>
    <t>010-3710-0143</t>
  </si>
  <si>
    <t>2025. 12. 07. 09:06:29</t>
  </si>
  <si>
    <t>이혜경</t>
  </si>
  <si>
    <t>010-6286-6721</t>
  </si>
  <si>
    <t>2025. 12. 07. 09:08:14</t>
  </si>
  <si>
    <t>이혜은</t>
  </si>
  <si>
    <t>010-9701-1016</t>
  </si>
  <si>
    <t>2025. 12. 07. 09:06:16</t>
  </si>
  <si>
    <t>윤점례</t>
  </si>
  <si>
    <t>010-8127-0794</t>
  </si>
  <si>
    <t>신연희</t>
  </si>
  <si>
    <t>010-2205-0982</t>
  </si>
  <si>
    <t>주청주</t>
  </si>
  <si>
    <t>010-8798-8084</t>
  </si>
  <si>
    <t>남유정</t>
  </si>
  <si>
    <t>010-5491-5239</t>
  </si>
  <si>
    <t>김경신</t>
  </si>
  <si>
    <t>010-2300-9543</t>
  </si>
  <si>
    <t>이인경</t>
  </si>
  <si>
    <t>010-2415-9828</t>
  </si>
  <si>
    <t>2025. 12. 08. 08:12:18</t>
  </si>
  <si>
    <t>지은아</t>
  </si>
  <si>
    <t>010-5531-3799</t>
  </si>
  <si>
    <t>길선영</t>
  </si>
  <si>
    <t>010-2289-6203</t>
  </si>
  <si>
    <t>김미영</t>
  </si>
  <si>
    <t>010-9727-3217</t>
  </si>
  <si>
    <t>김미현</t>
  </si>
  <si>
    <t>010-6218-9441</t>
  </si>
  <si>
    <t>김은선</t>
  </si>
  <si>
    <t>010-4253-1156</t>
  </si>
  <si>
    <t>2025. 12. 07. 09:06:48</t>
  </si>
  <si>
    <t>김정임</t>
  </si>
  <si>
    <t>010-4267-1446</t>
  </si>
  <si>
    <t>서정숙</t>
  </si>
  <si>
    <t>010-3723-9863</t>
  </si>
  <si>
    <t>유서현</t>
  </si>
  <si>
    <t>010-6223-8801</t>
  </si>
  <si>
    <t>윤민아</t>
  </si>
  <si>
    <t>010-9535-2010</t>
  </si>
  <si>
    <t>윤성애</t>
  </si>
  <si>
    <t>010-3123-5812</t>
  </si>
  <si>
    <t>이미희</t>
  </si>
  <si>
    <t>010-8019-9889</t>
  </si>
  <si>
    <t>장현옥</t>
  </si>
  <si>
    <t>010-5256-4565</t>
  </si>
  <si>
    <t>조재희</t>
  </si>
  <si>
    <t>010-2361-5066</t>
  </si>
  <si>
    <t>정해숙</t>
  </si>
  <si>
    <t>010-9190-6169</t>
  </si>
  <si>
    <t>박순정</t>
  </si>
  <si>
    <t>010-5697-6766</t>
  </si>
  <si>
    <t>강계순</t>
  </si>
  <si>
    <t>010-6277-5423</t>
  </si>
  <si>
    <t>권명순</t>
  </si>
  <si>
    <t>010-8729-2453</t>
  </si>
  <si>
    <t>권민주</t>
  </si>
  <si>
    <t>010-7906-2689</t>
  </si>
  <si>
    <t>권영진</t>
  </si>
  <si>
    <t>010-7104-9389</t>
  </si>
  <si>
    <t>금동남</t>
  </si>
  <si>
    <t>010-8248-4343</t>
  </si>
  <si>
    <t>010-3287-1026</t>
  </si>
  <si>
    <t>김두리</t>
  </si>
  <si>
    <t>010-4140-9190</t>
  </si>
  <si>
    <t>김명자</t>
  </si>
  <si>
    <t>010-9152-8644</t>
  </si>
  <si>
    <t>김문례</t>
  </si>
  <si>
    <t>010-9977-3287</t>
  </si>
  <si>
    <t>김미교</t>
  </si>
  <si>
    <t>010-5671-2676</t>
  </si>
  <si>
    <t>김미숙</t>
  </si>
  <si>
    <t>010-3119-9582</t>
  </si>
  <si>
    <t>김미주</t>
  </si>
  <si>
    <t>010-3394-8262</t>
  </si>
  <si>
    <t>김선미</t>
  </si>
  <si>
    <t>010-3897-1544</t>
  </si>
  <si>
    <t>김순의</t>
  </si>
  <si>
    <t>010-3807-8015</t>
  </si>
  <si>
    <t>010-5205-3429</t>
  </si>
  <si>
    <t>김유정</t>
  </si>
  <si>
    <t>010-2301-7290</t>
  </si>
  <si>
    <t>김윤아</t>
  </si>
  <si>
    <t>010-7465-0369</t>
  </si>
  <si>
    <t>김윤정</t>
  </si>
  <si>
    <t>010-3365-7615</t>
  </si>
  <si>
    <t>김은혜</t>
  </si>
  <si>
    <t>010-3378-5867</t>
  </si>
  <si>
    <t>김지은</t>
  </si>
  <si>
    <t>010-8737-1842</t>
  </si>
  <si>
    <t>김춘희</t>
  </si>
  <si>
    <t>010-8138-3166</t>
  </si>
  <si>
    <t>김현기</t>
  </si>
  <si>
    <t>010-4595-7200</t>
  </si>
  <si>
    <t>010-4544-2033</t>
  </si>
  <si>
    <t>김혜성</t>
  </si>
  <si>
    <t>010-7211-0988</t>
  </si>
  <si>
    <t>010-7336-5442</t>
  </si>
  <si>
    <t>010-3255-5597</t>
  </si>
  <si>
    <t>010-5286-3084</t>
  </si>
  <si>
    <t>남미정</t>
  </si>
  <si>
    <t>010-7713-0375</t>
  </si>
  <si>
    <t>010-2777-5674</t>
  </si>
  <si>
    <t>노춘화</t>
  </si>
  <si>
    <t>010-5880-3729</t>
  </si>
  <si>
    <t>박선영</t>
  </si>
  <si>
    <t>010-7592-3233</t>
  </si>
  <si>
    <t>배은숙</t>
  </si>
  <si>
    <t>010-5300-3965</t>
  </si>
  <si>
    <t>010-3996-5760</t>
  </si>
  <si>
    <t>서동미</t>
  </si>
  <si>
    <t>010-3259-6212</t>
  </si>
  <si>
    <t>서순정</t>
  </si>
  <si>
    <t>010-5871-0603</t>
  </si>
  <si>
    <t>서희완</t>
  </si>
  <si>
    <t>010-7166-5213</t>
  </si>
  <si>
    <t>손전수</t>
  </si>
  <si>
    <t>010-9141-1647</t>
  </si>
  <si>
    <t>송미경</t>
  </si>
  <si>
    <t>010-3588-7319</t>
  </si>
  <si>
    <t>2025. 12. 07. 09:07:09</t>
  </si>
  <si>
    <t>010-7114-1378</t>
  </si>
  <si>
    <t>010-3661-2672</t>
  </si>
  <si>
    <t>신영혜</t>
  </si>
  <si>
    <t>010-3731-1214</t>
  </si>
  <si>
    <t>신혜연</t>
  </si>
  <si>
    <t>010-3804-5510</t>
  </si>
  <si>
    <t>안영규</t>
  </si>
  <si>
    <t>010-6686-4166</t>
  </si>
  <si>
    <t>안지혜</t>
  </si>
  <si>
    <t>010-3384-1843</t>
  </si>
  <si>
    <t>양세린</t>
  </si>
  <si>
    <t>010-5729-6733</t>
  </si>
  <si>
    <t>우진희</t>
  </si>
  <si>
    <t>010-4763-6680</t>
  </si>
  <si>
    <t>유정화</t>
  </si>
  <si>
    <t>010-6684-5270</t>
  </si>
  <si>
    <t>윤세현</t>
  </si>
  <si>
    <t>010-6424-3911</t>
  </si>
  <si>
    <t>윤영미</t>
  </si>
  <si>
    <t>010-6601-7286</t>
  </si>
  <si>
    <t>윤영이</t>
  </si>
  <si>
    <t>010-4309-9831</t>
  </si>
  <si>
    <t>이다희</t>
  </si>
  <si>
    <t>010-6372-6608</t>
  </si>
  <si>
    <t>이세현</t>
  </si>
  <si>
    <t>010-8984-2377</t>
  </si>
  <si>
    <t>이윤희</t>
  </si>
  <si>
    <t>010-4664-7849</t>
  </si>
  <si>
    <t>이은령</t>
  </si>
  <si>
    <t>010-9608-7595</t>
  </si>
  <si>
    <t>이자은</t>
  </si>
  <si>
    <t>010-8716-5331</t>
  </si>
  <si>
    <t>이정숙</t>
  </si>
  <si>
    <t>010-7246-4461</t>
  </si>
  <si>
    <t>이현자</t>
  </si>
  <si>
    <t>010-2214-4522</t>
  </si>
  <si>
    <t>임애리</t>
  </si>
  <si>
    <t>010-6735-2848</t>
  </si>
  <si>
    <t>임주연</t>
  </si>
  <si>
    <t>010-7937-2630</t>
  </si>
  <si>
    <t>장예나</t>
  </si>
  <si>
    <t>010-3712-7770</t>
  </si>
  <si>
    <t>장유나</t>
  </si>
  <si>
    <t>010-7791-9407</t>
  </si>
  <si>
    <t>정명진</t>
  </si>
  <si>
    <t>010-3235-1115</t>
  </si>
  <si>
    <t>정영림</t>
  </si>
  <si>
    <t>010-2386-7246</t>
  </si>
  <si>
    <t>조경자</t>
  </si>
  <si>
    <t>010-6340-5101</t>
  </si>
  <si>
    <t>조유진</t>
  </si>
  <si>
    <t>010-4522-7299</t>
  </si>
  <si>
    <t>조희숙</t>
  </si>
  <si>
    <t>010-8554-2118</t>
  </si>
  <si>
    <t>최문희</t>
  </si>
  <si>
    <t>010-6319-5117</t>
  </si>
  <si>
    <t>최유숙</t>
  </si>
  <si>
    <t>010-5578-5214</t>
  </si>
  <si>
    <t>최은영</t>
  </si>
  <si>
    <t>010-9397-5082</t>
  </si>
  <si>
    <t>추민지</t>
  </si>
  <si>
    <t>010-7736-8663</t>
  </si>
  <si>
    <t>탁춘련</t>
  </si>
  <si>
    <t>010-5450-6524</t>
  </si>
  <si>
    <t>2025. 12. 07. 09:08:10</t>
  </si>
  <si>
    <t>하능식</t>
  </si>
  <si>
    <t>010-5585-3186</t>
  </si>
  <si>
    <t>한원희</t>
  </si>
  <si>
    <t>010-5263-2139</t>
  </si>
  <si>
    <t>2025. 12. 07. 09:07:42</t>
  </si>
  <si>
    <t>한혜정</t>
  </si>
  <si>
    <t>010-9286-6206</t>
  </si>
  <si>
    <t>허영미</t>
  </si>
  <si>
    <t>010-7210-7843</t>
  </si>
  <si>
    <t>현순애</t>
  </si>
  <si>
    <t>010-6214-1148</t>
  </si>
  <si>
    <t>홍유식</t>
  </si>
  <si>
    <t>010-9106-7413</t>
  </si>
  <si>
    <t>황경미</t>
  </si>
  <si>
    <t>010-3947-5635</t>
  </si>
  <si>
    <t>황규동</t>
  </si>
  <si>
    <t>010-5614-6218</t>
  </si>
  <si>
    <t>황영숙</t>
  </si>
  <si>
    <t>010-5604-7320</t>
  </si>
  <si>
    <t>010-2627-1814</t>
  </si>
  <si>
    <t>강권종</t>
  </si>
  <si>
    <t>010-9381-2013</t>
  </si>
  <si>
    <t>강금옥</t>
  </si>
  <si>
    <t>010-2841-4252</t>
  </si>
  <si>
    <t>강두연</t>
  </si>
  <si>
    <t>010-6524-1222</t>
  </si>
  <si>
    <t>강민정</t>
  </si>
  <si>
    <t>010-3212-0333</t>
  </si>
  <si>
    <t>최인숙</t>
  </si>
  <si>
    <t>010-3526-2765</t>
  </si>
  <si>
    <t>강윤진</t>
  </si>
  <si>
    <t>010-5644-3620</t>
  </si>
  <si>
    <t>강창숙</t>
  </si>
  <si>
    <t>010-2556-5339</t>
  </si>
  <si>
    <t>강철민</t>
  </si>
  <si>
    <t>010-5495-6334</t>
  </si>
  <si>
    <t>강평애</t>
  </si>
  <si>
    <t>010-2290-6138</t>
  </si>
  <si>
    <t>강향숙</t>
  </si>
  <si>
    <t>010-9629-1335</t>
  </si>
  <si>
    <t>강현수</t>
  </si>
  <si>
    <t>010-4657-8943</t>
  </si>
  <si>
    <t>강혜선</t>
  </si>
  <si>
    <t>010-4134-4230</t>
  </si>
  <si>
    <t>강회숙</t>
  </si>
  <si>
    <t>010-5012-9464</t>
  </si>
  <si>
    <t>강효란</t>
  </si>
  <si>
    <t>010-4137-2399</t>
  </si>
  <si>
    <t>강효승</t>
  </si>
  <si>
    <t>010-5411-2597</t>
  </si>
  <si>
    <t>고경숙</t>
  </si>
  <si>
    <t>010-3706-5566</t>
  </si>
  <si>
    <t>고은주</t>
  </si>
  <si>
    <t>010-4696-7534</t>
  </si>
  <si>
    <t>곽소영</t>
  </si>
  <si>
    <t>010-5937-5074</t>
  </si>
  <si>
    <t>곽순영</t>
  </si>
  <si>
    <t>010-9037-4559</t>
  </si>
  <si>
    <t>구명숙</t>
  </si>
  <si>
    <t>010-5304-1447</t>
  </si>
  <si>
    <t>구본순</t>
  </si>
  <si>
    <t>010-8323-8367</t>
  </si>
  <si>
    <t>권나희</t>
  </si>
  <si>
    <t>010-8845-1900</t>
  </si>
  <si>
    <t>권순모</t>
  </si>
  <si>
    <t>010-2201-1100</t>
  </si>
  <si>
    <t>권승용</t>
  </si>
  <si>
    <t>010-2223-3962</t>
  </si>
  <si>
    <t>권영숙</t>
  </si>
  <si>
    <t>010-2212-6708</t>
  </si>
  <si>
    <t>010-3661-9657</t>
  </si>
  <si>
    <t>권점순</t>
  </si>
  <si>
    <t>010-9019-3662</t>
  </si>
  <si>
    <t>권정기</t>
  </si>
  <si>
    <t>010-7277-0733</t>
  </si>
  <si>
    <t>권현경</t>
  </si>
  <si>
    <t>010-4002-9045</t>
  </si>
  <si>
    <t>권혜경</t>
  </si>
  <si>
    <t>010-9176-4492</t>
  </si>
  <si>
    <t>권혜주</t>
  </si>
  <si>
    <t>010-2609-7104</t>
  </si>
  <si>
    <t>권호정</t>
  </si>
  <si>
    <t>010-6424-3047</t>
  </si>
  <si>
    <t>기정연</t>
  </si>
  <si>
    <t>010-8992-5480</t>
  </si>
  <si>
    <t>010-4630-2997</t>
  </si>
  <si>
    <t>김경란</t>
  </si>
  <si>
    <t>010-5772-6312</t>
  </si>
  <si>
    <t>010-2732-3178</t>
  </si>
  <si>
    <t>010-7139-9191</t>
  </si>
  <si>
    <t>김경은</t>
  </si>
  <si>
    <t>010-3857-3829</t>
  </si>
  <si>
    <t>010-4748-1065</t>
  </si>
  <si>
    <t>김고은</t>
  </si>
  <si>
    <t>010-4176-7622</t>
  </si>
  <si>
    <t>010-5687-9577</t>
  </si>
  <si>
    <t>010-9496-1724</t>
  </si>
  <si>
    <t>김금자</t>
  </si>
  <si>
    <t>010-3366-7785</t>
  </si>
  <si>
    <t>김길순</t>
  </si>
  <si>
    <t>010-4257-0665</t>
  </si>
  <si>
    <t>김나현</t>
  </si>
  <si>
    <t>010-4478-9816</t>
  </si>
  <si>
    <t>010-7147-0579</t>
  </si>
  <si>
    <t>김명렬</t>
  </si>
  <si>
    <t>010-8882-8380</t>
  </si>
  <si>
    <t>김명숙</t>
  </si>
  <si>
    <t>010-6785-2251</t>
  </si>
  <si>
    <t>김명희</t>
  </si>
  <si>
    <t>010-9717-0926</t>
  </si>
  <si>
    <t>김문자</t>
  </si>
  <si>
    <t>010-2405-1018</t>
  </si>
  <si>
    <t>010-7903-1482</t>
  </si>
  <si>
    <t>010-3298-7983</t>
  </si>
  <si>
    <t>김미진</t>
  </si>
  <si>
    <t>010-7669-7739</t>
  </si>
  <si>
    <t>김민건</t>
  </si>
  <si>
    <t>010-6476-7828</t>
  </si>
  <si>
    <t>김민선</t>
  </si>
  <si>
    <t>010-6608-5236</t>
  </si>
  <si>
    <t>김민성</t>
  </si>
  <si>
    <t>010-9000-8136</t>
  </si>
  <si>
    <t>김민숙</t>
  </si>
  <si>
    <t>010-2264-2146</t>
  </si>
  <si>
    <t>김병선</t>
  </si>
  <si>
    <t>010-7540-8095</t>
  </si>
  <si>
    <t>김보리</t>
  </si>
  <si>
    <t>010-8197-8716</t>
  </si>
  <si>
    <t>김상미</t>
  </si>
  <si>
    <t>010-2285-1898</t>
  </si>
  <si>
    <t>010-3699-7286</t>
  </si>
  <si>
    <t>2025. 12. 07. 09:06:39</t>
  </si>
  <si>
    <t>김선애</t>
  </si>
  <si>
    <t>010-2425-5574</t>
  </si>
  <si>
    <t>김선영</t>
  </si>
  <si>
    <t>010-8510-1978</t>
  </si>
  <si>
    <t>김설자</t>
  </si>
  <si>
    <t>010-9166-3415</t>
  </si>
  <si>
    <t>김성금</t>
  </si>
  <si>
    <t>010-8383-9060</t>
  </si>
  <si>
    <t>김성숙</t>
  </si>
  <si>
    <t>010-2670-7894</t>
  </si>
  <si>
    <t>김성진</t>
  </si>
  <si>
    <t>010-9622-5946</t>
  </si>
  <si>
    <t>김성태</t>
  </si>
  <si>
    <t>010-3256-5730</t>
  </si>
  <si>
    <t>김세미</t>
  </si>
  <si>
    <t>010-4418-7997</t>
  </si>
  <si>
    <t>김세연</t>
  </si>
  <si>
    <t>010-3376-5736</t>
  </si>
  <si>
    <t>김수빈</t>
  </si>
  <si>
    <t>010-9187-7846</t>
  </si>
  <si>
    <t>김수진</t>
  </si>
  <si>
    <t>010-5479-0728</t>
  </si>
  <si>
    <t>010-5347-1210</t>
  </si>
  <si>
    <t>김숙녀</t>
  </si>
  <si>
    <t>010-9779-5719</t>
  </si>
  <si>
    <t>김숙자</t>
  </si>
  <si>
    <t>010-7223-9974</t>
  </si>
  <si>
    <t>김순애</t>
  </si>
  <si>
    <t>010-5321-2928</t>
  </si>
  <si>
    <t>010-2456-5175</t>
  </si>
  <si>
    <t>010-8762-9903</t>
  </si>
  <si>
    <t>김승현</t>
  </si>
  <si>
    <t>010-6486-8788</t>
  </si>
  <si>
    <t>김승희</t>
  </si>
  <si>
    <t>010-2976-7671</t>
  </si>
  <si>
    <t>김안나</t>
  </si>
  <si>
    <t>010-9313-6030</t>
  </si>
  <si>
    <t>김애숙</t>
  </si>
  <si>
    <t>010-7196-6527</t>
  </si>
  <si>
    <t>김양순</t>
  </si>
  <si>
    <t>010-8353-4038</t>
  </si>
  <si>
    <t>김영규</t>
  </si>
  <si>
    <t>010-4895-8804</t>
  </si>
  <si>
    <t>김영선</t>
  </si>
  <si>
    <t>010-5897-0325</t>
  </si>
  <si>
    <t>010-3945-3585</t>
  </si>
  <si>
    <t>010-3012-3700</t>
  </si>
  <si>
    <t>010-8882-4153</t>
  </si>
  <si>
    <t>김영애</t>
  </si>
  <si>
    <t>010-9012-3552</t>
  </si>
  <si>
    <t>김옥견</t>
  </si>
  <si>
    <t>010-7542-1130</t>
  </si>
  <si>
    <t>김옥경</t>
  </si>
  <si>
    <t>010-3881-8906</t>
  </si>
  <si>
    <t>김옥순</t>
  </si>
  <si>
    <t>010-7336-7029</t>
  </si>
  <si>
    <t>김용분</t>
  </si>
  <si>
    <t>010-4129-6303</t>
  </si>
  <si>
    <t>김용열</t>
  </si>
  <si>
    <t>010-5413-5102</t>
  </si>
  <si>
    <t>김원모</t>
  </si>
  <si>
    <t>010-2618-9663</t>
  </si>
  <si>
    <t>김유경</t>
  </si>
  <si>
    <t>010-6321-2585</t>
  </si>
  <si>
    <t>김은숙</t>
  </si>
  <si>
    <t>010-9269-6350</t>
  </si>
  <si>
    <t>김은진</t>
  </si>
  <si>
    <t>010-5035-4541</t>
  </si>
  <si>
    <t>김인자</t>
  </si>
  <si>
    <t>010-8581-1303</t>
  </si>
  <si>
    <t>김재순</t>
  </si>
  <si>
    <t>010-3854-5218</t>
  </si>
  <si>
    <t>김재철</t>
  </si>
  <si>
    <t>010-6553-2369</t>
  </si>
  <si>
    <t>김정선</t>
  </si>
  <si>
    <t>010-4742-1004</t>
  </si>
  <si>
    <t>010-2250-9582</t>
  </si>
  <si>
    <t>김정안</t>
  </si>
  <si>
    <t>010-4765-8760</t>
  </si>
  <si>
    <t>김종란</t>
  </si>
  <si>
    <t>010-5305-4640</t>
  </si>
  <si>
    <t>김종악</t>
  </si>
  <si>
    <t>010-6206-4041</t>
  </si>
  <si>
    <t>김지만</t>
  </si>
  <si>
    <t>010-2067-2399</t>
  </si>
  <si>
    <t>010-8384-6461</t>
  </si>
  <si>
    <t>김진아</t>
  </si>
  <si>
    <t>010-5712-1538</t>
  </si>
  <si>
    <t>010-5114-9452</t>
  </si>
  <si>
    <t>김태경</t>
  </si>
  <si>
    <t>010-6763-6396</t>
  </si>
  <si>
    <t>김태영</t>
  </si>
  <si>
    <t>010-9657-1380</t>
  </si>
  <si>
    <t>010-5751-6577</t>
  </si>
  <si>
    <t>김필여</t>
  </si>
  <si>
    <t>010-6473-4542</t>
  </si>
  <si>
    <t>김해순</t>
  </si>
  <si>
    <t>010-4558-0184</t>
  </si>
  <si>
    <t>김현숙</t>
  </si>
  <si>
    <t>010-4787-4599</t>
  </si>
  <si>
    <t>010-4724-6540</t>
  </si>
  <si>
    <t>김현종</t>
  </si>
  <si>
    <t>010-7234-2549</t>
  </si>
  <si>
    <t>김형희</t>
  </si>
  <si>
    <t>010-3380-5673</t>
  </si>
  <si>
    <t>김혜경</t>
  </si>
  <si>
    <t>010-4020-4170</t>
  </si>
  <si>
    <t>010-8991-6097</t>
  </si>
  <si>
    <t>김혜숙</t>
  </si>
  <si>
    <t>010-2052-3311</t>
  </si>
  <si>
    <t>김혜정</t>
  </si>
  <si>
    <t>010-8733-7838</t>
  </si>
  <si>
    <t>김훈선</t>
  </si>
  <si>
    <t>010-4455-3200</t>
  </si>
  <si>
    <t>김희숙</t>
  </si>
  <si>
    <t>010-3106-4548</t>
  </si>
  <si>
    <t>남기은</t>
  </si>
  <si>
    <t>010-2937-3569</t>
  </si>
  <si>
    <t>남명희</t>
  </si>
  <si>
    <t>010-9917-2373</t>
  </si>
  <si>
    <t>남영애</t>
  </si>
  <si>
    <t>010-4505-4875</t>
  </si>
  <si>
    <t>노지은</t>
  </si>
  <si>
    <t>010-9543-2273</t>
  </si>
  <si>
    <t>류재관</t>
  </si>
  <si>
    <t>010-5398-8774</t>
  </si>
  <si>
    <t>마정화</t>
  </si>
  <si>
    <t>010-4562-5303</t>
  </si>
  <si>
    <t>맹주갑</t>
  </si>
  <si>
    <t>010-9886-7627</t>
  </si>
  <si>
    <t>맹태만</t>
  </si>
  <si>
    <t>010-3734-0296</t>
  </si>
  <si>
    <t>문경순</t>
  </si>
  <si>
    <t>010-7206-5276</t>
  </si>
  <si>
    <t>문영희</t>
  </si>
  <si>
    <t>010-3697-1684</t>
  </si>
  <si>
    <t>문유정</t>
  </si>
  <si>
    <t>010-9700-4297</t>
  </si>
  <si>
    <t>문정희</t>
  </si>
  <si>
    <t>010-3885-1120</t>
  </si>
  <si>
    <t>문채영</t>
  </si>
  <si>
    <t>010-2359-0417</t>
  </si>
  <si>
    <t>민기정</t>
  </si>
  <si>
    <t>010-8902-0759</t>
  </si>
  <si>
    <t>민병숙</t>
  </si>
  <si>
    <t>010-7573-3213</t>
  </si>
  <si>
    <t>민병주</t>
  </si>
  <si>
    <t>010-3646-7576</t>
  </si>
  <si>
    <t>민연화</t>
  </si>
  <si>
    <t>010-6679-1227</t>
  </si>
  <si>
    <t>민영훈</t>
  </si>
  <si>
    <t>010-5202-3412</t>
  </si>
  <si>
    <t>박경례</t>
  </si>
  <si>
    <t>010-5500-2109</t>
  </si>
  <si>
    <t>010-8744-3275</t>
  </si>
  <si>
    <t>박경아</t>
  </si>
  <si>
    <t>010-4148-3911</t>
  </si>
  <si>
    <t>박경옥</t>
  </si>
  <si>
    <t>010-6247-9945</t>
  </si>
  <si>
    <t>박귀연</t>
  </si>
  <si>
    <t>010-2563-4640</t>
  </si>
  <si>
    <t>박귀자</t>
  </si>
  <si>
    <t>010-4764-8389</t>
  </si>
  <si>
    <t>박낙희</t>
  </si>
  <si>
    <t>010-6695-8874</t>
  </si>
  <si>
    <t>박명화</t>
  </si>
  <si>
    <t>010-5187-9635</t>
  </si>
  <si>
    <t>박미라</t>
  </si>
  <si>
    <t>010-4071-2808</t>
  </si>
  <si>
    <t>박미숙</t>
  </si>
  <si>
    <t>010-9038-9537</t>
  </si>
  <si>
    <t>010-6395-4479</t>
  </si>
  <si>
    <t>박미향</t>
  </si>
  <si>
    <t>010-6419-1729</t>
  </si>
  <si>
    <t>010-7713-5056</t>
  </si>
  <si>
    <t>박선화</t>
  </si>
  <si>
    <t>010-8108-5598</t>
  </si>
  <si>
    <t>박선희</t>
  </si>
  <si>
    <t>010-6223-8166</t>
  </si>
  <si>
    <t>박성숙</t>
  </si>
  <si>
    <t>010-8753-7805</t>
  </si>
  <si>
    <t>박성환</t>
  </si>
  <si>
    <t>010-4118-2519</t>
  </si>
  <si>
    <t>박성희</t>
  </si>
  <si>
    <t>010-2012-9237</t>
  </si>
  <si>
    <t>박순화</t>
  </si>
  <si>
    <t>010-3792-0025</t>
  </si>
  <si>
    <t>박승진</t>
  </si>
  <si>
    <t>010-9148-3300</t>
  </si>
  <si>
    <t>박승혜</t>
  </si>
  <si>
    <t>010-8713-6217</t>
  </si>
  <si>
    <t>박신영</t>
  </si>
  <si>
    <t>010-3205-3217</t>
  </si>
  <si>
    <t>박여자</t>
  </si>
  <si>
    <t>010-9063-5557</t>
  </si>
  <si>
    <t>박연희</t>
  </si>
  <si>
    <t>010-4996-3584</t>
  </si>
  <si>
    <t>박영미</t>
  </si>
  <si>
    <t>010-4488-8775</t>
  </si>
  <si>
    <t>박영춘</t>
  </si>
  <si>
    <t>010-6419-4542</t>
  </si>
  <si>
    <t>박옥희</t>
  </si>
  <si>
    <t>010-3791-3265</t>
  </si>
  <si>
    <t>박용옥</t>
  </si>
  <si>
    <t>010-3706-3343</t>
  </si>
  <si>
    <t>박은미</t>
  </si>
  <si>
    <t>010-2747-2639</t>
  </si>
  <si>
    <t>2025. 12. 07. 09:07:13</t>
  </si>
  <si>
    <t>박은숙</t>
  </si>
  <si>
    <t>010-3878-4521</t>
  </si>
  <si>
    <t>박은총</t>
  </si>
  <si>
    <t>010-3442-4891</t>
  </si>
  <si>
    <t>박은혜</t>
  </si>
  <si>
    <t>010-6276-0302</t>
  </si>
  <si>
    <t>박인자</t>
  </si>
  <si>
    <t>010-2995-7585</t>
  </si>
  <si>
    <t>박정민</t>
  </si>
  <si>
    <t>010-4948-6603</t>
  </si>
  <si>
    <t>박정수</t>
  </si>
  <si>
    <t>010-5720-1427</t>
  </si>
  <si>
    <t>박정순</t>
  </si>
  <si>
    <t>010-9224-4583</t>
  </si>
  <si>
    <t>010-3552-1623</t>
  </si>
  <si>
    <t>박춘옥</t>
  </si>
  <si>
    <t>010-2244-8745</t>
  </si>
  <si>
    <t>박해경</t>
  </si>
  <si>
    <t>010-9590-5485</t>
  </si>
  <si>
    <t>박현숙</t>
  </si>
  <si>
    <t>010-5288-7845</t>
  </si>
  <si>
    <t>박현정</t>
  </si>
  <si>
    <t>010-4092-8936</t>
  </si>
  <si>
    <t>박혜원</t>
  </si>
  <si>
    <t>010-2781-0369</t>
  </si>
  <si>
    <t>010-5279-8856</t>
  </si>
  <si>
    <t>박혜주</t>
  </si>
  <si>
    <t>010-7376-1001</t>
  </si>
  <si>
    <t>박화숙</t>
  </si>
  <si>
    <t>010-5396-4903</t>
  </si>
  <si>
    <t>박희영</t>
  </si>
  <si>
    <t>010-5404-5696</t>
  </si>
  <si>
    <t>박희옥</t>
  </si>
  <si>
    <t>010-9180-6649</t>
  </si>
  <si>
    <t>박희재</t>
  </si>
  <si>
    <t>010-3633-6164</t>
  </si>
  <si>
    <t>방옥희</t>
  </si>
  <si>
    <t>010-4768-0900</t>
  </si>
  <si>
    <t>010-5237-7482</t>
  </si>
  <si>
    <t>배말남</t>
  </si>
  <si>
    <t>010-9882-2928</t>
  </si>
  <si>
    <t>배재국</t>
  </si>
  <si>
    <t>010-2261-5980</t>
  </si>
  <si>
    <t>배주연</t>
  </si>
  <si>
    <t>010-4129-1619</t>
  </si>
  <si>
    <t>백진이</t>
  </si>
  <si>
    <t>010-2071-9609</t>
  </si>
  <si>
    <t>변수만</t>
  </si>
  <si>
    <t>010-3757-4051</t>
  </si>
  <si>
    <t>서경숙</t>
  </si>
  <si>
    <t>010-9003-9696</t>
  </si>
  <si>
    <t>서병철</t>
  </si>
  <si>
    <t>010-4568-2033</t>
  </si>
  <si>
    <t>서영자</t>
  </si>
  <si>
    <t>010-9006-2746</t>
  </si>
  <si>
    <t>서혜영</t>
  </si>
  <si>
    <t>010-3125-8798</t>
  </si>
  <si>
    <t>석명자</t>
  </si>
  <si>
    <t>010-5368-2664</t>
  </si>
  <si>
    <t>석주회</t>
  </si>
  <si>
    <t>010-4877-9467</t>
  </si>
  <si>
    <t>성은숙</t>
  </si>
  <si>
    <t>010-8768-2525</t>
  </si>
  <si>
    <t>성평희</t>
  </si>
  <si>
    <t>010-2765-0086</t>
  </si>
  <si>
    <t>송경자</t>
  </si>
  <si>
    <t>010-5744-5154</t>
  </si>
  <si>
    <t>송문희</t>
  </si>
  <si>
    <t>010-2304-8369</t>
  </si>
  <si>
    <t>송별님</t>
  </si>
  <si>
    <t>010-9335-2714</t>
  </si>
  <si>
    <t>송영례</t>
  </si>
  <si>
    <t>010-8833-3433</t>
  </si>
  <si>
    <t>송영훈</t>
  </si>
  <si>
    <t>010-2888-2030</t>
  </si>
  <si>
    <t>송종희</t>
  </si>
  <si>
    <t>010-9447-7507</t>
  </si>
  <si>
    <t>송차선</t>
  </si>
  <si>
    <t>010-8314-0269</t>
  </si>
  <si>
    <t>송혜정</t>
  </si>
  <si>
    <t>010-2728-3689</t>
  </si>
  <si>
    <t>송희규</t>
  </si>
  <si>
    <t>010-9492-3131</t>
  </si>
  <si>
    <t>신동건</t>
  </si>
  <si>
    <t>010-3714-9091</t>
  </si>
  <si>
    <t>신성숙</t>
  </si>
  <si>
    <t>010-6409-5379</t>
  </si>
  <si>
    <t>010-5832-1409</t>
  </si>
  <si>
    <t>신예성</t>
  </si>
  <si>
    <t>010-3932-7505</t>
  </si>
  <si>
    <t>신정자</t>
  </si>
  <si>
    <t>010-5213-9196</t>
  </si>
  <si>
    <t>신한음</t>
  </si>
  <si>
    <t>010-7530-1429</t>
  </si>
  <si>
    <t>심영미</t>
  </si>
  <si>
    <t>010-5399-6528</t>
  </si>
  <si>
    <t>심점숙</t>
  </si>
  <si>
    <t>010-4083-2140</t>
  </si>
  <si>
    <t>심혜자</t>
  </si>
  <si>
    <t>010-6753-0757</t>
  </si>
  <si>
    <t>안승덕</t>
  </si>
  <si>
    <t>010-4372-2135</t>
  </si>
  <si>
    <t>안영미</t>
  </si>
  <si>
    <t>010-4751-4151</t>
  </si>
  <si>
    <t>안예리</t>
  </si>
  <si>
    <t>010-3293-1045</t>
  </si>
  <si>
    <t>안유인</t>
  </si>
  <si>
    <t>010-8737-1502</t>
  </si>
  <si>
    <t>010-4015-7295</t>
  </si>
  <si>
    <t>안종희</t>
  </si>
  <si>
    <t>010-4231-1296</t>
  </si>
  <si>
    <t>안혜경</t>
  </si>
  <si>
    <t>010-8864-4924</t>
  </si>
  <si>
    <t>양란숙</t>
  </si>
  <si>
    <t>010-5441-1153</t>
  </si>
  <si>
    <t>양미정</t>
  </si>
  <si>
    <t>010-4328-1298</t>
  </si>
  <si>
    <t>양성기</t>
  </si>
  <si>
    <t>010-9387-1062</t>
  </si>
  <si>
    <t>양순영</t>
  </si>
  <si>
    <t>010-9446-4839</t>
  </si>
  <si>
    <t>양승미</t>
  </si>
  <si>
    <t>010-6233-4351</t>
  </si>
  <si>
    <t>양안나</t>
  </si>
  <si>
    <t>010-4247-0387</t>
  </si>
  <si>
    <t>양영애</t>
  </si>
  <si>
    <t>010-6610-8353</t>
  </si>
  <si>
    <t>양은숙</t>
  </si>
  <si>
    <t>010-6357-1285</t>
  </si>
  <si>
    <t>양주혜</t>
  </si>
  <si>
    <t>010-6278-0767</t>
  </si>
  <si>
    <t>양혜숙</t>
  </si>
  <si>
    <t>010-2617-8550</t>
  </si>
  <si>
    <t>어복희</t>
  </si>
  <si>
    <t>010-7979-3592</t>
  </si>
  <si>
    <t>여영선</t>
  </si>
  <si>
    <t>010-2676-6205</t>
  </si>
  <si>
    <t>연복순</t>
  </si>
  <si>
    <t>010-2793-0240</t>
  </si>
  <si>
    <t>오금자</t>
  </si>
  <si>
    <t>010-9521-3666</t>
  </si>
  <si>
    <t>오대영</t>
  </si>
  <si>
    <t>010-4692-0959</t>
  </si>
  <si>
    <t>오문식</t>
  </si>
  <si>
    <t>010-2929-3978</t>
  </si>
  <si>
    <t>오세연</t>
  </si>
  <si>
    <t>010-4151-2707</t>
  </si>
  <si>
    <t>오순희</t>
  </si>
  <si>
    <t>010-5731-3487</t>
  </si>
  <si>
    <t>오웅근</t>
  </si>
  <si>
    <t>010-3000-7107</t>
  </si>
  <si>
    <t>오현실</t>
  </si>
  <si>
    <t>010-9317-5900</t>
  </si>
  <si>
    <t>우인애</t>
  </si>
  <si>
    <t>010-8212-1461</t>
  </si>
  <si>
    <t>우혜진</t>
  </si>
  <si>
    <t>010-9153-9286</t>
  </si>
  <si>
    <t>원종명</t>
  </si>
  <si>
    <t>010-4119-7426</t>
  </si>
  <si>
    <t>원종순</t>
  </si>
  <si>
    <t>010-8236-1319</t>
  </si>
  <si>
    <t>유남희</t>
  </si>
  <si>
    <t>010-9784-2008</t>
  </si>
  <si>
    <t>유연선</t>
  </si>
  <si>
    <t>010-9771-0455</t>
  </si>
  <si>
    <t>유연홍</t>
  </si>
  <si>
    <t>010-6354-7391</t>
  </si>
  <si>
    <t>유종수</t>
  </si>
  <si>
    <t>010-2331-8369</t>
  </si>
  <si>
    <t>유종순</t>
  </si>
  <si>
    <t>010-3826-8883</t>
  </si>
  <si>
    <t>윤소영</t>
  </si>
  <si>
    <t>010-3616-5284</t>
  </si>
  <si>
    <t>윤정이</t>
  </si>
  <si>
    <t>010-8908-1788</t>
  </si>
  <si>
    <t>윤정희</t>
  </si>
  <si>
    <t>010-9700-3055</t>
  </si>
  <si>
    <t>윤종분</t>
  </si>
  <si>
    <t>010-5400-9540</t>
  </si>
  <si>
    <t>이가임</t>
  </si>
  <si>
    <t>010-3829-6231</t>
  </si>
  <si>
    <t>이경연</t>
  </si>
  <si>
    <t>010-7186-6882</t>
  </si>
  <si>
    <t>이경임</t>
  </si>
  <si>
    <t>010-9000-6801</t>
  </si>
  <si>
    <t>이경호</t>
  </si>
  <si>
    <t>010-7688-6237</t>
  </si>
  <si>
    <t>이경훈</t>
  </si>
  <si>
    <t>010-4841-7083</t>
  </si>
  <si>
    <t>010-9888-4650</t>
  </si>
  <si>
    <t>010-3901-7798</t>
  </si>
  <si>
    <t>이금호</t>
  </si>
  <si>
    <t>010-5285-5130</t>
  </si>
  <si>
    <t>이난이</t>
  </si>
  <si>
    <t>010-4116-6445</t>
  </si>
  <si>
    <t>이명덕</t>
  </si>
  <si>
    <t>010-2765-5605</t>
  </si>
  <si>
    <t>이명선</t>
  </si>
  <si>
    <t>010-4397-5546</t>
  </si>
  <si>
    <t>이명순</t>
  </si>
  <si>
    <t>010-9216-0428</t>
  </si>
  <si>
    <t>010-8885-7887</t>
  </si>
  <si>
    <t>이명욱</t>
  </si>
  <si>
    <t>010-4049-2850</t>
  </si>
  <si>
    <t>이명진</t>
  </si>
  <si>
    <t>010-5257-7817</t>
  </si>
  <si>
    <t>이미숙</t>
  </si>
  <si>
    <t>010-9214-7934</t>
  </si>
  <si>
    <t>010-5299-9071</t>
  </si>
  <si>
    <t>이민자</t>
  </si>
  <si>
    <t>010-3580-0273</t>
  </si>
  <si>
    <t>이상미</t>
  </si>
  <si>
    <t>010-8600-3210</t>
  </si>
  <si>
    <t>이서경</t>
  </si>
  <si>
    <t>010-2595-9828</t>
  </si>
  <si>
    <t>이선교</t>
  </si>
  <si>
    <t>010-4135-3089</t>
  </si>
  <si>
    <t>이선이</t>
  </si>
  <si>
    <t>010-2249-8958</t>
  </si>
  <si>
    <t>이소영</t>
  </si>
  <si>
    <t>010-5048-1511</t>
  </si>
  <si>
    <t>010-3794-4673</t>
  </si>
  <si>
    <t>이수목</t>
  </si>
  <si>
    <t>010-4679-8780</t>
  </si>
  <si>
    <t>010-2438-1161</t>
  </si>
  <si>
    <t>이순분</t>
  </si>
  <si>
    <t>010-2125-3830</t>
  </si>
  <si>
    <t>이순자</t>
  </si>
  <si>
    <t>010-7746-9088</t>
  </si>
  <si>
    <t>이승미</t>
  </si>
  <si>
    <t>010-5937-6331</t>
  </si>
  <si>
    <t>이승유</t>
  </si>
  <si>
    <t>010-5246-6551</t>
  </si>
  <si>
    <t>이영경</t>
  </si>
  <si>
    <t>010-8747-1605</t>
  </si>
  <si>
    <t>010-2077-7809</t>
  </si>
  <si>
    <t>이영숙</t>
  </si>
  <si>
    <t>010-4200-4234</t>
  </si>
  <si>
    <t>이영옥</t>
  </si>
  <si>
    <t>010-4149-4880</t>
  </si>
  <si>
    <t>010-8423-5208</t>
  </si>
  <si>
    <t>010-2520-2457</t>
  </si>
  <si>
    <t>이옥영</t>
  </si>
  <si>
    <t>010-4513-2780</t>
  </si>
  <si>
    <t>이완세</t>
  </si>
  <si>
    <t>010-9355-2160</t>
  </si>
  <si>
    <t>이용혜</t>
  </si>
  <si>
    <t>010-3348-3999</t>
  </si>
  <si>
    <t>이운희</t>
  </si>
  <si>
    <t>010-9592-7786</t>
  </si>
  <si>
    <t>이유미</t>
  </si>
  <si>
    <t>010-9229-9053</t>
  </si>
  <si>
    <t>이윤자</t>
  </si>
  <si>
    <t>010-6272-8105</t>
  </si>
  <si>
    <t>이은정</t>
  </si>
  <si>
    <t>010-9911-9200</t>
  </si>
  <si>
    <t>이은주</t>
  </si>
  <si>
    <t>010-5319-1307</t>
  </si>
  <si>
    <t>이인자</t>
  </si>
  <si>
    <t>010-8638-3083</t>
  </si>
  <si>
    <t>이재학</t>
  </si>
  <si>
    <t>010-2599-8751</t>
  </si>
  <si>
    <t>이정란</t>
  </si>
  <si>
    <t>010-4311-7572</t>
  </si>
  <si>
    <t>이정민</t>
  </si>
  <si>
    <t>010-5367-0959</t>
  </si>
  <si>
    <t>이채연</t>
  </si>
  <si>
    <t>010-8909-7955</t>
  </si>
  <si>
    <t>010-9229-2153</t>
  </si>
  <si>
    <t>이혜옥</t>
  </si>
  <si>
    <t>010-8406-7067</t>
  </si>
  <si>
    <t>이혜진</t>
  </si>
  <si>
    <t>010-8916-0907</t>
  </si>
  <si>
    <t>임규식</t>
  </si>
  <si>
    <t>010-4007-8199</t>
  </si>
  <si>
    <t>임묘순</t>
  </si>
  <si>
    <t>010-5219-4960</t>
  </si>
  <si>
    <t>임미연</t>
  </si>
  <si>
    <t>010-5852-7888</t>
  </si>
  <si>
    <t>임상빈</t>
  </si>
  <si>
    <t>010-6341-0952</t>
  </si>
  <si>
    <t>임서하</t>
  </si>
  <si>
    <t>010-8312-7719</t>
  </si>
  <si>
    <t>임영숙</t>
  </si>
  <si>
    <t>010-3262-5827</t>
  </si>
  <si>
    <t>010-3922-5904</t>
  </si>
  <si>
    <t>임영희</t>
  </si>
  <si>
    <t>010-3738-7090</t>
  </si>
  <si>
    <t>010-3035-9775</t>
  </si>
  <si>
    <t>010-8702-9171</t>
  </si>
  <si>
    <t>임인경</t>
  </si>
  <si>
    <t>010-8216-0500</t>
  </si>
  <si>
    <t>임정민</t>
  </si>
  <si>
    <t>010-5755-9831</t>
  </si>
  <si>
    <t>임지영</t>
  </si>
  <si>
    <t>010-9114-0271</t>
  </si>
  <si>
    <t>장문정</t>
  </si>
  <si>
    <t>010-8636-9874</t>
  </si>
  <si>
    <t>장미성</t>
  </si>
  <si>
    <t>010-7766-2942</t>
  </si>
  <si>
    <t>장숙희</t>
  </si>
  <si>
    <t>010-7507-1359</t>
  </si>
  <si>
    <t>장아미</t>
  </si>
  <si>
    <t>010-3744-3505</t>
  </si>
  <si>
    <t>장영미</t>
  </si>
  <si>
    <t>010-3594-3768</t>
  </si>
  <si>
    <t>장운창</t>
  </si>
  <si>
    <t>010-7580-2225</t>
  </si>
  <si>
    <t>장윤숙</t>
  </si>
  <si>
    <t>010-4759-9852</t>
  </si>
  <si>
    <t>장재욱</t>
  </si>
  <si>
    <t>010-9000-2348</t>
  </si>
  <si>
    <t>장혜숙</t>
  </si>
  <si>
    <t>010-5489-7524</t>
  </si>
  <si>
    <t>전병년</t>
  </si>
  <si>
    <t>010-9479-2138</t>
  </si>
  <si>
    <t>전보경</t>
  </si>
  <si>
    <t>010-4315-7001</t>
  </si>
  <si>
    <t>전서연</t>
  </si>
  <si>
    <t>010-6308-2869</t>
  </si>
  <si>
    <t>전선아</t>
  </si>
  <si>
    <t>010-9523-9860</t>
  </si>
  <si>
    <t>전윤선</t>
  </si>
  <si>
    <t>010-9880-8409</t>
  </si>
  <si>
    <t>전현숙</t>
  </si>
  <si>
    <t>010-9264-7208</t>
  </si>
  <si>
    <t>전희숙</t>
  </si>
  <si>
    <t>010-4512-1660</t>
  </si>
  <si>
    <t>정경미</t>
  </si>
  <si>
    <t>010-7477-8747</t>
  </si>
  <si>
    <t>정경숙</t>
  </si>
  <si>
    <t>010-8493-8024</t>
  </si>
  <si>
    <t>정경환</t>
  </si>
  <si>
    <t>010-8224-5773</t>
  </si>
  <si>
    <t>정규란</t>
  </si>
  <si>
    <t>010-9491-2975</t>
  </si>
  <si>
    <t>정근주</t>
  </si>
  <si>
    <t>010-2741-8486</t>
  </si>
  <si>
    <t>정금주</t>
  </si>
  <si>
    <t>010-3370-7818</t>
  </si>
  <si>
    <t>정길순</t>
  </si>
  <si>
    <t>010-2658-3176</t>
  </si>
  <si>
    <t>정남숙</t>
  </si>
  <si>
    <t>010-6204-3653</t>
  </si>
  <si>
    <t>정미숙</t>
  </si>
  <si>
    <t>010-6402-1833</t>
  </si>
  <si>
    <t>정미희</t>
  </si>
  <si>
    <t>010-2187-4220</t>
  </si>
  <si>
    <t>정봉희</t>
  </si>
  <si>
    <t>010-3925-4687</t>
  </si>
  <si>
    <t>정상우</t>
  </si>
  <si>
    <t>010-8593-1889</t>
  </si>
  <si>
    <t>정성화</t>
  </si>
  <si>
    <t>010-3678-3705</t>
  </si>
  <si>
    <t>정소영</t>
  </si>
  <si>
    <t>010-2361-3619</t>
  </si>
  <si>
    <t>정수영</t>
  </si>
  <si>
    <t>010-6367-3432</t>
  </si>
  <si>
    <t>정승은</t>
  </si>
  <si>
    <t>010-9885-2575</t>
  </si>
  <si>
    <t>정영숙</t>
  </si>
  <si>
    <t>010-5283-7265</t>
  </si>
  <si>
    <t>정옥수</t>
  </si>
  <si>
    <t>010-6229-5389</t>
  </si>
  <si>
    <t>정우석</t>
  </si>
  <si>
    <t>010-9855-4800</t>
  </si>
  <si>
    <t>정정수</t>
  </si>
  <si>
    <t>010-4552-4275</t>
  </si>
  <si>
    <t>정종권</t>
  </si>
  <si>
    <t>010-8968-2732</t>
  </si>
  <si>
    <t>정종월</t>
  </si>
  <si>
    <t>010-6216-6336</t>
  </si>
  <si>
    <t>정중규</t>
  </si>
  <si>
    <t>010-2083-9519</t>
  </si>
  <si>
    <t>정지니</t>
  </si>
  <si>
    <t>010-8736-4662</t>
  </si>
  <si>
    <t>010-9443-2942</t>
  </si>
  <si>
    <t>정혜경</t>
  </si>
  <si>
    <t>010-2758-6199</t>
  </si>
  <si>
    <t>정혜숙</t>
  </si>
  <si>
    <t>010-2316-1569</t>
  </si>
  <si>
    <t>010-8229-3083</t>
  </si>
  <si>
    <t>정화진</t>
  </si>
  <si>
    <t>010-5246-4683</t>
  </si>
  <si>
    <t>조경순</t>
  </si>
  <si>
    <t>010-4213-0888</t>
  </si>
  <si>
    <t>조경옥</t>
  </si>
  <si>
    <t>010-5224-0487</t>
  </si>
  <si>
    <t>조미경</t>
  </si>
  <si>
    <t>010-9089-4639</t>
  </si>
  <si>
    <t>조미자</t>
  </si>
  <si>
    <t>010-3954-3495</t>
  </si>
  <si>
    <t>조분자</t>
  </si>
  <si>
    <t>010-3891-4107</t>
  </si>
  <si>
    <t>조서영</t>
  </si>
  <si>
    <t>010-5122-8791</t>
  </si>
  <si>
    <t>조세연</t>
  </si>
  <si>
    <t>010-9207-6045</t>
  </si>
  <si>
    <t>조소희</t>
  </si>
  <si>
    <t>010-5176-8823</t>
  </si>
  <si>
    <t>조수경</t>
  </si>
  <si>
    <t>010-6265-5581</t>
  </si>
  <si>
    <t>조영미</t>
  </si>
  <si>
    <t>010-9277-1088</t>
  </si>
  <si>
    <t>조영희</t>
  </si>
  <si>
    <t>010-6888-5700</t>
  </si>
  <si>
    <t>조월중</t>
  </si>
  <si>
    <t>010-3252-6422</t>
  </si>
  <si>
    <t>010-9876-0052</t>
  </si>
  <si>
    <t>조은경</t>
  </si>
  <si>
    <t>010-6595-7963</t>
  </si>
  <si>
    <t>조정주</t>
  </si>
  <si>
    <t>010-3733-2200</t>
  </si>
  <si>
    <t>010-4509-2248</t>
  </si>
  <si>
    <t>조철래</t>
  </si>
  <si>
    <t>010-6285-8040</t>
  </si>
  <si>
    <t>조혜란</t>
  </si>
  <si>
    <t>010-2332-7266</t>
  </si>
  <si>
    <t>조혜원</t>
  </si>
  <si>
    <t>010-2222-1088</t>
  </si>
  <si>
    <t>조희진</t>
  </si>
  <si>
    <t>010-9000-3990</t>
  </si>
  <si>
    <t>주순복</t>
  </si>
  <si>
    <t>010-3837-3132</t>
  </si>
  <si>
    <t>진양희</t>
  </si>
  <si>
    <t>010-8515-3381</t>
  </si>
  <si>
    <t>차서현</t>
  </si>
  <si>
    <t>010-5271-3720</t>
  </si>
  <si>
    <t>차성희</t>
  </si>
  <si>
    <t>010-9491-6260</t>
  </si>
  <si>
    <t>채연옥</t>
  </si>
  <si>
    <t>010-9128-5539</t>
  </si>
  <si>
    <t>천순선</t>
  </si>
  <si>
    <t>010-5763-7121</t>
  </si>
  <si>
    <t>최말경</t>
  </si>
  <si>
    <t>010-4563-3739</t>
  </si>
  <si>
    <t>최미자</t>
  </si>
  <si>
    <t>010-3360-5066</t>
  </si>
  <si>
    <t>최병숙</t>
  </si>
  <si>
    <t>010-3395-5193</t>
  </si>
  <si>
    <t>최서원</t>
  </si>
  <si>
    <t>010-8899-0704</t>
  </si>
  <si>
    <t>최선앵</t>
  </si>
  <si>
    <t>010-4907-8318</t>
  </si>
  <si>
    <t>최순옥</t>
  </si>
  <si>
    <t>010-3511-5724</t>
  </si>
  <si>
    <t>최순화</t>
  </si>
  <si>
    <t>010-3733-6740</t>
  </si>
  <si>
    <t>010-9047-9447</t>
  </si>
  <si>
    <t>최영옥</t>
  </si>
  <si>
    <t>010-4529-7941</t>
  </si>
  <si>
    <t>최윤미</t>
  </si>
  <si>
    <t>010-4330-8775</t>
  </si>
  <si>
    <t>최은정</t>
  </si>
  <si>
    <t>010-2787-3459</t>
  </si>
  <si>
    <t>최인형</t>
  </si>
  <si>
    <t>010-2083-0221</t>
  </si>
  <si>
    <t>최정미</t>
  </si>
  <si>
    <t>010-8027-3558</t>
  </si>
  <si>
    <t>최정임</t>
  </si>
  <si>
    <t>010-2545-4125</t>
  </si>
  <si>
    <t>최종문</t>
  </si>
  <si>
    <t>010-5259-3276</t>
  </si>
  <si>
    <t>최진화</t>
  </si>
  <si>
    <t>010-8696-3473</t>
  </si>
  <si>
    <t>최향미</t>
  </si>
  <si>
    <t>010-3327-6770</t>
  </si>
  <si>
    <t>최현정</t>
  </si>
  <si>
    <t>010-4726-2817</t>
  </si>
  <si>
    <t>최효원</t>
  </si>
  <si>
    <t>010-4256-1176</t>
  </si>
  <si>
    <t>최희성</t>
  </si>
  <si>
    <t>010-4106-8926</t>
  </si>
  <si>
    <t>최희월</t>
  </si>
  <si>
    <t>010-2395-7136</t>
  </si>
  <si>
    <t>하귀자</t>
  </si>
  <si>
    <t>010-2829-6554</t>
  </si>
  <si>
    <t>한근석</t>
  </si>
  <si>
    <t>010-5264-2884</t>
  </si>
  <si>
    <t>010-4280-6290</t>
  </si>
  <si>
    <t>한미연</t>
  </si>
  <si>
    <t>010-6622-9358</t>
  </si>
  <si>
    <t>한미희</t>
  </si>
  <si>
    <t>010-4993-7196</t>
  </si>
  <si>
    <t>한상덕</t>
  </si>
  <si>
    <t>010-6301-4484</t>
  </si>
  <si>
    <t>한아름</t>
  </si>
  <si>
    <t>010-4539-7911</t>
  </si>
  <si>
    <t>한애리순</t>
  </si>
  <si>
    <t>010-3313-1436</t>
  </si>
  <si>
    <t>한연심</t>
  </si>
  <si>
    <t>010-6755-8802</t>
  </si>
  <si>
    <t>한전훈</t>
  </si>
  <si>
    <t>010-7210-1864</t>
  </si>
  <si>
    <t>한효주</t>
  </si>
  <si>
    <t>010-5223-4437</t>
  </si>
  <si>
    <t>함종헌</t>
  </si>
  <si>
    <t>010-4794-2351</t>
  </si>
  <si>
    <t>허경희</t>
  </si>
  <si>
    <t>010-3366-1370</t>
  </si>
  <si>
    <t>허명숙</t>
  </si>
  <si>
    <t>010-5507-8799</t>
  </si>
  <si>
    <t>허수순</t>
  </si>
  <si>
    <t>010-7193-4412</t>
  </si>
  <si>
    <t>허은숙</t>
  </si>
  <si>
    <t>010-9315-4230</t>
  </si>
  <si>
    <t>허정수</t>
  </si>
  <si>
    <t>010-4326-6443</t>
  </si>
  <si>
    <t>홍미경</t>
  </si>
  <si>
    <t>010-7578-3119</t>
  </si>
  <si>
    <t>홍미자</t>
  </si>
  <si>
    <t>010-9170-0185</t>
  </si>
  <si>
    <t>홍성기</t>
  </si>
  <si>
    <t>010-3596-5148</t>
  </si>
  <si>
    <t>홍순도</t>
  </si>
  <si>
    <t>010-5056-9242</t>
  </si>
  <si>
    <t>홍순주</t>
  </si>
  <si>
    <t>010-5203-5114</t>
  </si>
  <si>
    <t>홍인영</t>
  </si>
  <si>
    <t>010-9013-4033</t>
  </si>
  <si>
    <t>홍지희</t>
  </si>
  <si>
    <t>010-2182-1227</t>
  </si>
  <si>
    <t>홍현녀</t>
  </si>
  <si>
    <t>010-7340-0197</t>
  </si>
  <si>
    <t>황경자</t>
  </si>
  <si>
    <t>010-3130-0928</t>
  </si>
  <si>
    <t>황명숙</t>
  </si>
  <si>
    <t>010-2514-7657</t>
  </si>
  <si>
    <t>황문숙</t>
  </si>
  <si>
    <t>010-8487-9910</t>
  </si>
  <si>
    <t>황수빈</t>
  </si>
  <si>
    <t>010-7200-4562</t>
  </si>
  <si>
    <t>황은영</t>
  </si>
  <si>
    <t>010-8588-0255</t>
  </si>
  <si>
    <t>황은주</t>
  </si>
  <si>
    <t>010-3744-4622</t>
  </si>
  <si>
    <t>황은화</t>
  </si>
  <si>
    <t>010-2263-0793</t>
  </si>
  <si>
    <t>LEE TAYLOR NAYON</t>
  </si>
  <si>
    <t>010-4671-0616</t>
  </si>
  <si>
    <t>010-3792-5362</t>
  </si>
  <si>
    <t>2025. 12. 11. 00:10:01</t>
  </si>
  <si>
    <t>010-5433-5394</t>
  </si>
  <si>
    <t>김영미</t>
  </si>
  <si>
    <t>010-8449-5110</t>
  </si>
  <si>
    <t>2025. 12. 11. 00:09:30</t>
  </si>
  <si>
    <t>차수진</t>
  </si>
  <si>
    <t>010-9237-1224</t>
  </si>
  <si>
    <t>박경주</t>
  </si>
  <si>
    <t>010-6223-9537</t>
  </si>
  <si>
    <t>2025. 12. 11. 00:08:55</t>
  </si>
  <si>
    <t>박규현</t>
  </si>
  <si>
    <t>010-2906-5383</t>
  </si>
  <si>
    <t>2025. 12. 11. 00:08:33</t>
  </si>
  <si>
    <t>강종오</t>
  </si>
  <si>
    <t>010-8228-8620</t>
  </si>
  <si>
    <t>010-8701-8620</t>
  </si>
  <si>
    <t>2025. 12. 11. 00:08:01</t>
  </si>
  <si>
    <t>손미화</t>
  </si>
  <si>
    <t>010-8780-8192</t>
  </si>
  <si>
    <t>2025. 12. 11. 00:07:40</t>
  </si>
  <si>
    <t>황남순</t>
  </si>
  <si>
    <t>010-4587-9282</t>
  </si>
  <si>
    <t>2025. 12. 11. 00:07:22</t>
  </si>
  <si>
    <t>임순빈</t>
  </si>
  <si>
    <t>010-5033-4525</t>
  </si>
  <si>
    <t>2025. 12. 11. 00:07:00</t>
  </si>
  <si>
    <t>이금봉</t>
  </si>
  <si>
    <t>010-2578-6142</t>
  </si>
  <si>
    <t>010-5011-5283</t>
  </si>
  <si>
    <t>2025. 12. 11. 00:06:27</t>
  </si>
  <si>
    <t>양영주</t>
  </si>
  <si>
    <t>010-2978-6549</t>
  </si>
  <si>
    <t>2025. 12. 11. 00:06:07</t>
  </si>
  <si>
    <t>이복남</t>
  </si>
  <si>
    <t>010-2541-7212</t>
  </si>
  <si>
    <t>2025. 12. 11. 00:05:21</t>
  </si>
  <si>
    <t>오금순</t>
  </si>
  <si>
    <t>010-4769-9367</t>
  </si>
  <si>
    <t>2025. 12. 11. 00:05:04</t>
  </si>
  <si>
    <t>손영숙</t>
  </si>
  <si>
    <t>010-2014-5896</t>
  </si>
  <si>
    <t>2025. 12. 11. 00:04:35</t>
  </si>
  <si>
    <t>황은옥</t>
  </si>
  <si>
    <t>010-9058-8084</t>
  </si>
  <si>
    <t>황은미</t>
  </si>
  <si>
    <t>010-3284-3729</t>
  </si>
  <si>
    <t>2025. 12. 11. 00:04:04</t>
  </si>
  <si>
    <t>이희옥</t>
  </si>
  <si>
    <t>010-8643-0619</t>
  </si>
  <si>
    <t>2025. 12. 11. 00:03:18</t>
  </si>
  <si>
    <t>이재민</t>
  </si>
  <si>
    <t>010-9011-2527</t>
  </si>
  <si>
    <t>최수남</t>
  </si>
  <si>
    <t>010-3382-3313</t>
  </si>
  <si>
    <t>2025. 12. 11. 00:03:00</t>
  </si>
  <si>
    <t>황명선</t>
  </si>
  <si>
    <t>010-9197-3881</t>
  </si>
  <si>
    <t>2025. 12. 11. 00:02:41</t>
  </si>
  <si>
    <t>김인혜</t>
  </si>
  <si>
    <t>010-3566-0306</t>
  </si>
  <si>
    <t>2025. 12. 11. 00:02:22</t>
  </si>
  <si>
    <t>공나윤</t>
  </si>
  <si>
    <t>010-8720-5944</t>
  </si>
  <si>
    <t>공연숙</t>
  </si>
  <si>
    <t>010-8793-6200</t>
  </si>
  <si>
    <t>2025. 12. 11. 00:01:45</t>
  </si>
  <si>
    <t>박지영</t>
  </si>
  <si>
    <t>010-3764-6373</t>
  </si>
  <si>
    <t>2025. 12. 11. 00:01:13</t>
  </si>
  <si>
    <t>나경희</t>
  </si>
  <si>
    <t>010-6517-3088</t>
  </si>
  <si>
    <t>2025. 12. 11. 00:00:56</t>
  </si>
  <si>
    <t>황연자</t>
  </si>
  <si>
    <t>010-4548-7927</t>
  </si>
  <si>
    <t>2025. 12. 10. 23:55:19</t>
  </si>
  <si>
    <t>김정화</t>
  </si>
  <si>
    <t>010-9495-6109</t>
  </si>
  <si>
    <t>이경하</t>
  </si>
  <si>
    <t>010-2123-6109</t>
  </si>
  <si>
    <t>2025. 12. 10. 23:54:37</t>
  </si>
  <si>
    <t>정옥녀</t>
  </si>
  <si>
    <t>010-9336-8291</t>
  </si>
  <si>
    <t>2025. 12. 10. 23:54:10</t>
  </si>
  <si>
    <t>010-2211-7611</t>
  </si>
  <si>
    <t>2025. 12. 10. 23:53:50</t>
  </si>
  <si>
    <t>신지우</t>
  </si>
  <si>
    <t>010-4408-2577</t>
  </si>
  <si>
    <t>2025. 12. 10. 23:53:11</t>
  </si>
  <si>
    <t>박현선</t>
  </si>
  <si>
    <t>010-4632-0621</t>
  </si>
  <si>
    <t>2025. 12. 10. 23:52:51</t>
  </si>
  <si>
    <t>010-4744-2120</t>
  </si>
  <si>
    <t>2025. 12. 10. 23:52:31</t>
  </si>
  <si>
    <t>노영숙</t>
  </si>
  <si>
    <t>010-3534-6512</t>
  </si>
  <si>
    <t>2025. 12. 10. 23:52:06</t>
  </si>
  <si>
    <t>경현옥</t>
  </si>
  <si>
    <t>010-4114-7399</t>
  </si>
  <si>
    <t>박병은</t>
  </si>
  <si>
    <t>010-3769-7399</t>
  </si>
  <si>
    <t>2025. 12. 10. 23:51:15</t>
  </si>
  <si>
    <t>010-2313-2027</t>
  </si>
  <si>
    <t>이지은</t>
  </si>
  <si>
    <t>010-8574-0899</t>
  </si>
  <si>
    <t>거래일시</t>
  </si>
  <si>
    <t>적요</t>
  </si>
  <si>
    <t>보낸분/받는분</t>
  </si>
  <si>
    <t>중복여부</t>
  </si>
  <si>
    <t>환불필요액</t>
  </si>
  <si>
    <t>송금메세지 원본</t>
  </si>
  <si>
    <t>입금액</t>
  </si>
  <si>
    <t>거래점</t>
  </si>
  <si>
    <t>문의여부</t>
  </si>
  <si>
    <t>문의수</t>
  </si>
  <si>
    <t>메모</t>
  </si>
  <si>
    <t>정상여부</t>
  </si>
  <si>
    <t>환불요청있는지</t>
  </si>
  <si>
    <t>취소여부</t>
  </si>
  <si>
    <t>환불확정</t>
  </si>
  <si>
    <t>환불은행</t>
  </si>
  <si>
    <t>환불계좌</t>
  </si>
  <si>
    <t>예금주</t>
  </si>
  <si>
    <t>2025.12.7 9:13</t>
  </si>
  <si>
    <t>스마트입금</t>
  </si>
  <si>
    <t>돈암동</t>
  </si>
  <si>
    <t>2025.12.7 9:21</t>
  </si>
  <si>
    <t>전자금융</t>
  </si>
  <si>
    <t>강권종 2013</t>
  </si>
  <si>
    <t>우체국</t>
  </si>
  <si>
    <t>2025.12.7 9:17</t>
  </si>
  <si>
    <t>카뱅</t>
  </si>
  <si>
    <t>2025.12.7 9:10</t>
  </si>
  <si>
    <t>우리은행</t>
  </si>
  <si>
    <t>2025.12.7 9:09</t>
  </si>
  <si>
    <t>FBS입금</t>
  </si>
  <si>
    <t>임베디</t>
  </si>
  <si>
    <t>2025.12.7 9:11</t>
  </si>
  <si>
    <t>하나은행</t>
  </si>
  <si>
    <t>ㄱㅏㅇㅅㅓㅇㅁㅣ34</t>
  </si>
  <si>
    <t>농협</t>
  </si>
  <si>
    <t>2025.12.7 9:07</t>
  </si>
  <si>
    <t>상일역</t>
  </si>
  <si>
    <t>2025.12.7 9:30</t>
  </si>
  <si>
    <t>토스뱅크</t>
  </si>
  <si>
    <t>2025.12.7 9:20</t>
  </si>
  <si>
    <t>강정아 4860</t>
  </si>
  <si>
    <t>2025.12.7 9:16</t>
  </si>
  <si>
    <t>강종오8620</t>
  </si>
  <si>
    <t>정상진행</t>
  </si>
  <si>
    <t>강종오 660306 01082288620 강현수 960303 01087018620</t>
  </si>
  <si>
    <t>X</t>
  </si>
  <si>
    <t>O</t>
  </si>
  <si>
    <t>새마을금</t>
  </si>
  <si>
    <t>2025.12.7 9:12</t>
  </si>
  <si>
    <t>2025.12.7 10:46</t>
  </si>
  <si>
    <t>동부산</t>
  </si>
  <si>
    <t>2025.12.7 16:36</t>
  </si>
  <si>
    <t>2025.12.7 22:25</t>
  </si>
  <si>
    <t>강효승 2597</t>
  </si>
  <si>
    <t>아이엠뱅</t>
  </si>
  <si>
    <t>경현옥7399</t>
  </si>
  <si>
    <t>경현옥 680930 01041147399 박병은 680724 01037697399</t>
  </si>
  <si>
    <t>영등구</t>
  </si>
  <si>
    <t>2025.12.7 9:38</t>
  </si>
  <si>
    <t>고은주7544</t>
  </si>
  <si>
    <t>김해</t>
  </si>
  <si>
    <t>2025.12.7 9:29</t>
  </si>
  <si>
    <t>고인숙 9527</t>
  </si>
  <si>
    <t>공나윤5944</t>
  </si>
  <si>
    <t>약수역</t>
  </si>
  <si>
    <t>공나윤 570108 01087205944 공연숙 530122 01087936200</t>
  </si>
  <si>
    <t>2025.12.7 9:19</t>
  </si>
  <si>
    <t>길동</t>
  </si>
  <si>
    <t>곽순영(곽순영)</t>
  </si>
  <si>
    <t>신한은행</t>
  </si>
  <si>
    <t>2025.12.7 9:24</t>
  </si>
  <si>
    <t>2025.12.7 9:14</t>
  </si>
  <si>
    <t>동탄산</t>
  </si>
  <si>
    <t>역삼동</t>
  </si>
  <si>
    <t>권영숙 (9657)</t>
  </si>
  <si>
    <t>2025.12.7 9:08</t>
  </si>
  <si>
    <t>중소기업</t>
  </si>
  <si>
    <t>권정기 0733</t>
  </si>
  <si>
    <t>경남은행</t>
  </si>
  <si>
    <t>오픈뱅킹입금</t>
  </si>
  <si>
    <t>문의607</t>
  </si>
  <si>
    <t>미래에셋</t>
  </si>
  <si>
    <t>신논현</t>
  </si>
  <si>
    <t>암사역</t>
  </si>
  <si>
    <t>2025.12.7 9:35</t>
  </si>
  <si>
    <t>2025.12.7 9:40</t>
  </si>
  <si>
    <t>김경애4674</t>
  </si>
  <si>
    <t>김경애 661225 01045324674</t>
  </si>
  <si>
    <t>2025.12.7 9:15</t>
  </si>
  <si>
    <t>김고은(7622)</t>
  </si>
  <si>
    <t>화정역</t>
  </si>
  <si>
    <t>2025.12.8 3:05</t>
  </si>
  <si>
    <t>케이뱅크</t>
  </si>
  <si>
    <t>김명숙 2251</t>
  </si>
  <si>
    <t>2025.12.7 9:45</t>
  </si>
  <si>
    <t>과천종</t>
  </si>
  <si>
    <t>김미라 6878</t>
  </si>
  <si>
    <t>2025.12.7 9:25</t>
  </si>
  <si>
    <t>2025.12.7 9:33</t>
  </si>
  <si>
    <t>김미숙7611</t>
  </si>
  <si>
    <t>김미숙 7611</t>
  </si>
  <si>
    <t>김미숙 600323 01022117611</t>
  </si>
  <si>
    <t>구제대상</t>
  </si>
  <si>
    <t>2025.12.7 12:32</t>
  </si>
  <si>
    <t>2025.12.7 9:28</t>
  </si>
  <si>
    <t>2025.12.7 9:37</t>
  </si>
  <si>
    <t>2025.12.7 12:21</t>
  </si>
  <si>
    <t>포항점</t>
  </si>
  <si>
    <t>2025.12.7 15:36</t>
  </si>
  <si>
    <t>김서호 1185</t>
  </si>
  <si>
    <t>검단</t>
  </si>
  <si>
    <t>노원종</t>
  </si>
  <si>
    <t>2025.12.7 9:22</t>
  </si>
  <si>
    <t>한국산업</t>
  </si>
  <si>
    <t>2025.12.7 9:31</t>
  </si>
  <si>
    <t>목동파</t>
  </si>
  <si>
    <t>2025.12.7 9:23</t>
  </si>
  <si>
    <t>안양동</t>
  </si>
  <si>
    <t>인터넷입금이체</t>
  </si>
  <si>
    <t>방이역</t>
  </si>
  <si>
    <t>길음뉴</t>
  </si>
  <si>
    <t>신당동</t>
  </si>
  <si>
    <t>김숙현 3119</t>
  </si>
  <si>
    <t>김순애 2928</t>
  </si>
  <si>
    <t>2025.12.7 11:52</t>
  </si>
  <si>
    <t>북수원</t>
  </si>
  <si>
    <t>대전은</t>
  </si>
  <si>
    <t>부산은행</t>
  </si>
  <si>
    <t>김연심 9623</t>
  </si>
  <si>
    <t>2025.12.7 10:15</t>
  </si>
  <si>
    <t>신림본</t>
  </si>
  <si>
    <t>신사동</t>
  </si>
  <si>
    <t>덕천동</t>
  </si>
  <si>
    <t>영통종</t>
  </si>
  <si>
    <t>구월북</t>
  </si>
  <si>
    <t>2025.12.7 22:17</t>
  </si>
  <si>
    <t>신용협동</t>
  </si>
  <si>
    <t>김인혜0306</t>
  </si>
  <si>
    <t>김인혜 650306 01035660306</t>
  </si>
  <si>
    <t>2025.12.7 16:21</t>
  </si>
  <si>
    <t>서잠실</t>
  </si>
  <si>
    <t>김정숙 0365</t>
  </si>
  <si>
    <t>2025.12.7 9:44</t>
  </si>
  <si>
    <t>김정숙 9159</t>
  </si>
  <si>
    <t>환불해야함(지은아님에게 환불)</t>
  </si>
  <si>
    <t>2025.12.7 16:25</t>
  </si>
  <si>
    <t>김정화6109</t>
  </si>
  <si>
    <t>김정화010-949</t>
  </si>
  <si>
    <t>김정화 640321 01094956109 이경하 590627 01021236109</t>
  </si>
  <si>
    <t>천호역</t>
  </si>
  <si>
    <t>김종란 4640</t>
  </si>
  <si>
    <t>문의997</t>
  </si>
  <si>
    <t>2025.12.7 9:41</t>
  </si>
  <si>
    <t>일산</t>
  </si>
  <si>
    <t>상록수</t>
  </si>
  <si>
    <t>2025.12.8 11:53</t>
  </si>
  <si>
    <t>신한투자</t>
  </si>
  <si>
    <t>2025.12.7 9:18</t>
  </si>
  <si>
    <t>김태영 1380</t>
  </si>
  <si>
    <t>교문</t>
  </si>
  <si>
    <t>흑석동</t>
  </si>
  <si>
    <t>양천</t>
  </si>
  <si>
    <t>대방동</t>
  </si>
  <si>
    <t>2025.12.7 9:46</t>
  </si>
  <si>
    <t>김혜란2120</t>
  </si>
  <si>
    <t>김혜란 700313 01047442120</t>
  </si>
  <si>
    <t>죽전역</t>
  </si>
  <si>
    <t>2025.12.7 9:53</t>
  </si>
  <si>
    <t>2025.12.7 15:32</t>
  </si>
  <si>
    <t>나경희3088</t>
  </si>
  <si>
    <t>나경희 3088</t>
  </si>
  <si>
    <t>나경희 570329 01065173088</t>
  </si>
  <si>
    <t>대치북</t>
  </si>
  <si>
    <t>신촌</t>
  </si>
  <si>
    <t>남숙희752</t>
  </si>
  <si>
    <t>노영숙6512</t>
  </si>
  <si>
    <t>노영숙 6512</t>
  </si>
  <si>
    <t>노영숙 580205 01035346512</t>
  </si>
  <si>
    <t>2025.12.7 9:06</t>
  </si>
  <si>
    <t>노지은 2273</t>
  </si>
  <si>
    <t>유성</t>
  </si>
  <si>
    <t>광화문</t>
  </si>
  <si>
    <t>2025.12.7 9:26</t>
  </si>
  <si>
    <t>증권타</t>
  </si>
  <si>
    <t>류혜림8932</t>
  </si>
  <si>
    <t>2025.12.8 10:20</t>
  </si>
  <si>
    <t>현금입금</t>
  </si>
  <si>
    <t>우만동</t>
  </si>
  <si>
    <t>청주중</t>
  </si>
  <si>
    <t>광주</t>
  </si>
  <si>
    <t>2025.12.8 11:46</t>
  </si>
  <si>
    <t>고양점</t>
  </si>
  <si>
    <t>2025.12.8 3:52</t>
  </si>
  <si>
    <t>박경례 2109</t>
  </si>
  <si>
    <t>박경숙 2965</t>
  </si>
  <si>
    <t>테크노</t>
  </si>
  <si>
    <t>여의영</t>
  </si>
  <si>
    <t>박규현5383</t>
  </si>
  <si>
    <t>박규현 751027 01029065383</t>
  </si>
  <si>
    <t>박상용 2640</t>
  </si>
  <si>
    <t>지은아에게 환불</t>
  </si>
  <si>
    <t>박세영 0598</t>
  </si>
  <si>
    <t>창신동</t>
  </si>
  <si>
    <t>울산북</t>
  </si>
  <si>
    <t>양재역</t>
  </si>
  <si>
    <t>양평</t>
  </si>
  <si>
    <t>2025.12.7 14:56</t>
  </si>
  <si>
    <t>박영희 1041</t>
  </si>
  <si>
    <t>일산북</t>
  </si>
  <si>
    <t>2025.12.7 12:17</t>
  </si>
  <si>
    <t>서현동</t>
  </si>
  <si>
    <t>진접</t>
  </si>
  <si>
    <t>2025.12.7 11:26</t>
  </si>
  <si>
    <t>용산</t>
  </si>
  <si>
    <t>박지영6373</t>
  </si>
  <si>
    <t>박지영 740908 01037646373</t>
  </si>
  <si>
    <t>박진숙 5310</t>
  </si>
  <si>
    <t>2025.12.7 10:24</t>
  </si>
  <si>
    <t>삼성증권</t>
  </si>
  <si>
    <t>장산역</t>
  </si>
  <si>
    <t>2025.12.7 9:42</t>
  </si>
  <si>
    <t>박해경 5485</t>
  </si>
  <si>
    <t>박현선0621</t>
  </si>
  <si>
    <t>모란점</t>
  </si>
  <si>
    <t>박현선 741109 01046320621</t>
  </si>
  <si>
    <t>전농동</t>
  </si>
  <si>
    <t>2025.12.7 9:58</t>
  </si>
  <si>
    <t>계양</t>
  </si>
  <si>
    <t>도농</t>
  </si>
  <si>
    <t>청담역</t>
  </si>
  <si>
    <t>방옥희 0900</t>
  </si>
  <si>
    <t>우면점</t>
  </si>
  <si>
    <t>노량진</t>
  </si>
  <si>
    <t>용전동</t>
  </si>
  <si>
    <t>2025.12.7 22:03</t>
  </si>
  <si>
    <t>백소희 1879</t>
  </si>
  <si>
    <t>2025.12.7 9:27</t>
  </si>
  <si>
    <t>2025.12.7 10:47</t>
  </si>
  <si>
    <t>석주회,9467</t>
  </si>
  <si>
    <t>손미화8192</t>
  </si>
  <si>
    <t xml:space="preserve">손미화 590930 01087808192 </t>
  </si>
  <si>
    <t>강릉</t>
  </si>
  <si>
    <t>2025.12.7 9:51</t>
  </si>
  <si>
    <t>ATM입금</t>
  </si>
  <si>
    <t>손영숙5896</t>
  </si>
  <si>
    <t>일반업</t>
  </si>
  <si>
    <t>손영숙 620515 01020145896</t>
  </si>
  <si>
    <t>솟정자3113</t>
  </si>
  <si>
    <t>자양중</t>
  </si>
  <si>
    <t>테헤중</t>
  </si>
  <si>
    <t>2025.12.7 10:53</t>
  </si>
  <si>
    <t>선부동</t>
  </si>
  <si>
    <t>대덕특</t>
  </si>
  <si>
    <t>송혜정,3689</t>
  </si>
  <si>
    <t>천안중</t>
  </si>
  <si>
    <t>2025.12.7 20:52</t>
  </si>
  <si>
    <t>2025.12.7 9:32</t>
  </si>
  <si>
    <t>신연희.0982</t>
  </si>
  <si>
    <t>일부취소로 35000원 환불 필요</t>
  </si>
  <si>
    <t>신영동 2172</t>
  </si>
  <si>
    <t>신정자※9196</t>
  </si>
  <si>
    <t>구로벤</t>
  </si>
  <si>
    <t>신지우2577</t>
  </si>
  <si>
    <t>신지우+2577</t>
  </si>
  <si>
    <t>신지우 650410 01044082577</t>
  </si>
  <si>
    <t>신한음 1429</t>
  </si>
  <si>
    <t>심영미 6528</t>
  </si>
  <si>
    <t>2025.12.7 10:27</t>
  </si>
  <si>
    <t>퇴계로</t>
  </si>
  <si>
    <t>안혜경 4924</t>
  </si>
  <si>
    <t>혜화동</t>
  </si>
  <si>
    <t>장안동</t>
  </si>
  <si>
    <t>신월뉴</t>
  </si>
  <si>
    <t>양승미 4351</t>
  </si>
  <si>
    <t>양영주6549</t>
  </si>
  <si>
    <t>양영주 811225 01029786549</t>
  </si>
  <si>
    <t>2025.12.7 19:35</t>
  </si>
  <si>
    <t>양한수 1640</t>
  </si>
  <si>
    <t>야탑역</t>
  </si>
  <si>
    <t>2025.12.7 10:33</t>
  </si>
  <si>
    <t>오금순9367</t>
  </si>
  <si>
    <t>오금순 581025  01047699367</t>
  </si>
  <si>
    <t>오문식,3978</t>
  </si>
  <si>
    <t>오세연 2707</t>
  </si>
  <si>
    <t>2025.12.7 20:58</t>
  </si>
  <si>
    <t>0923오세정</t>
  </si>
  <si>
    <t>2025.12.7 10:12</t>
  </si>
  <si>
    <t>무역센</t>
  </si>
  <si>
    <t>탄현</t>
  </si>
  <si>
    <t>2025.12.7 23:05</t>
  </si>
  <si>
    <t>영등포</t>
  </si>
  <si>
    <t>모래점</t>
  </si>
  <si>
    <t>유희춘</t>
  </si>
  <si>
    <t>유연선(0455)</t>
  </si>
  <si>
    <t>부천내</t>
  </si>
  <si>
    <t>기장점</t>
  </si>
  <si>
    <t>윤소영 5284</t>
  </si>
  <si>
    <t>윤순교7843,</t>
  </si>
  <si>
    <t>남대문</t>
  </si>
  <si>
    <t>김하나0794</t>
  </si>
  <si>
    <t>부평</t>
  </si>
  <si>
    <t>2025.12.8 11:52</t>
  </si>
  <si>
    <t>이경자 4474</t>
  </si>
  <si>
    <t>2025.12.8 7:25</t>
  </si>
  <si>
    <t>석촌동</t>
  </si>
  <si>
    <t>2025.12.7 20:56</t>
  </si>
  <si>
    <t>이금봉6142</t>
  </si>
  <si>
    <t>이금봉(6142)</t>
  </si>
  <si>
    <t>이금봉 561115 01025786142 김희정 710416 01050115283</t>
  </si>
  <si>
    <t>수원</t>
  </si>
  <si>
    <t>등촌역</t>
  </si>
  <si>
    <t>명동영</t>
  </si>
  <si>
    <t>2025.12.7 21:10</t>
  </si>
  <si>
    <t>대구혁</t>
  </si>
  <si>
    <t>2025.12.8 7:31</t>
  </si>
  <si>
    <t>2025.12.7 13:16</t>
  </si>
  <si>
    <t>2025.12.7 11:15</t>
  </si>
  <si>
    <t>대치동</t>
  </si>
  <si>
    <t>이미화 6748</t>
  </si>
  <si>
    <t>이미화 9071</t>
  </si>
  <si>
    <t>창원유</t>
  </si>
  <si>
    <t>이복남7212</t>
  </si>
  <si>
    <t>이복남 640623 01025417212</t>
  </si>
  <si>
    <t>진월동</t>
  </si>
  <si>
    <t>2025.12.7 21:00</t>
  </si>
  <si>
    <t>2025.12.7 17:45</t>
  </si>
  <si>
    <t>2025.12.7 21:48</t>
  </si>
  <si>
    <t>2025.12.7 12:42</t>
  </si>
  <si>
    <t>천안종</t>
  </si>
  <si>
    <t>둔촌역</t>
  </si>
  <si>
    <t>수유동</t>
  </si>
  <si>
    <t>마석점</t>
  </si>
  <si>
    <t>2025.12.7 20:36</t>
  </si>
  <si>
    <t>이승유(6551)</t>
  </si>
  <si>
    <t>이아힘이명우</t>
  </si>
  <si>
    <t>이애경 1676</t>
  </si>
  <si>
    <t>신림서</t>
  </si>
  <si>
    <t>이영옥 520821</t>
  </si>
  <si>
    <t>구로점</t>
  </si>
  <si>
    <t>원당종</t>
  </si>
  <si>
    <t>김성일</t>
  </si>
  <si>
    <t>2025.12.7 9:36</t>
  </si>
  <si>
    <t>이재민2527</t>
  </si>
  <si>
    <t>이재민 510419 01090112527 최수남 520131 01033823313</t>
  </si>
  <si>
    <t>명일동</t>
  </si>
  <si>
    <t>이지아 3589</t>
  </si>
  <si>
    <t>2025.12.7 21:04</t>
  </si>
  <si>
    <t>이진숙 9539</t>
  </si>
  <si>
    <t>2025.12.7 19:29</t>
  </si>
  <si>
    <t>6530이춘희</t>
  </si>
  <si>
    <t>한티역</t>
  </si>
  <si>
    <t>이혜은2027</t>
  </si>
  <si>
    <t>이혜은 790215 01023132027 이지은 741101 01085740899</t>
  </si>
  <si>
    <t>임경식 637463</t>
  </si>
  <si>
    <t>임기영 2028</t>
  </si>
  <si>
    <t>임순빈4525</t>
  </si>
  <si>
    <t>SC은행</t>
  </si>
  <si>
    <t>임순빈 580805 01050334525</t>
  </si>
  <si>
    <t>반포중</t>
  </si>
  <si>
    <t>중계북</t>
  </si>
  <si>
    <t>교하</t>
  </si>
  <si>
    <t>2025.12.7 11:32</t>
  </si>
  <si>
    <t>임희경6534</t>
  </si>
  <si>
    <t>2025.12.7 9:55</t>
  </si>
  <si>
    <t>2025.12.7 21:21</t>
  </si>
  <si>
    <t>장영미 3768</t>
  </si>
  <si>
    <t>2025.12.8 8:04</t>
  </si>
  <si>
    <t>연신내</t>
  </si>
  <si>
    <t>2025.12.7 10:43</t>
  </si>
  <si>
    <t>동부이</t>
  </si>
  <si>
    <t>2025.12.7 11:17</t>
  </si>
  <si>
    <t>전윤선 8409</t>
  </si>
  <si>
    <t>전종현 6702</t>
  </si>
  <si>
    <t>왕십역</t>
  </si>
  <si>
    <t>2025.12.7 11:30</t>
  </si>
  <si>
    <t>2025.12.7 9:54</t>
  </si>
  <si>
    <t>CD 공동</t>
  </si>
  <si>
    <t>서인천</t>
  </si>
  <si>
    <t>2025.12.7 21:27</t>
  </si>
  <si>
    <t>광안동</t>
  </si>
  <si>
    <t>정소영 3619</t>
  </si>
  <si>
    <t>정숙(한동훈)</t>
  </si>
  <si>
    <t>스타뱅</t>
  </si>
  <si>
    <t>정영숙 7265</t>
  </si>
  <si>
    <t>정옥녀8291</t>
  </si>
  <si>
    <t>정옥녀 540913 01093368291</t>
  </si>
  <si>
    <t>방배남</t>
  </si>
  <si>
    <t>정정수 4275</t>
  </si>
  <si>
    <t>정종권 2732</t>
  </si>
  <si>
    <t>광복동</t>
  </si>
  <si>
    <t>정혜숙 1569</t>
  </si>
  <si>
    <t>민락동</t>
  </si>
  <si>
    <t>정효순 7999</t>
  </si>
  <si>
    <t>(조경옥 0487</t>
  </si>
  <si>
    <t>2025.12.7 19:36</t>
  </si>
  <si>
    <t>도곡점</t>
  </si>
  <si>
    <t>부천</t>
  </si>
  <si>
    <t>조성훈 0398</t>
  </si>
  <si>
    <t>시지</t>
  </si>
  <si>
    <t>2025.12.8 9:50</t>
  </si>
  <si>
    <t>조윤경 0052</t>
  </si>
  <si>
    <t>대구</t>
  </si>
  <si>
    <t>송도역</t>
  </si>
  <si>
    <t>조혜경 1638</t>
  </si>
  <si>
    <t>퇴계점</t>
  </si>
  <si>
    <t>안양벤</t>
  </si>
  <si>
    <t>마두역</t>
  </si>
  <si>
    <t>진양희8331</t>
  </si>
  <si>
    <t>평택종</t>
  </si>
  <si>
    <t>차수진1224</t>
  </si>
  <si>
    <t>차수진 851224 01092371224 박경주 790721 01062239537</t>
  </si>
  <si>
    <t>차인남(신왕전기)</t>
  </si>
  <si>
    <t>채경숙-2인</t>
  </si>
  <si>
    <t>천순선 7121</t>
  </si>
  <si>
    <t>천현우 1029</t>
  </si>
  <si>
    <t>산곡동</t>
  </si>
  <si>
    <t>2025.12.7 10:22</t>
  </si>
  <si>
    <t>영도</t>
  </si>
  <si>
    <t>최원정 1337</t>
  </si>
  <si>
    <t>신현동</t>
  </si>
  <si>
    <t>최윤정 0124</t>
  </si>
  <si>
    <t>옥포</t>
  </si>
  <si>
    <t>인숙2765</t>
  </si>
  <si>
    <t>최정미 355</t>
  </si>
  <si>
    <t>2025.12.7 12:37</t>
  </si>
  <si>
    <t>최정임 4125</t>
  </si>
  <si>
    <t>삼성점</t>
  </si>
  <si>
    <t>최준희 0031</t>
  </si>
  <si>
    <t>2025.12.7 10:01</t>
  </si>
  <si>
    <t>최현정 2817</t>
  </si>
  <si>
    <t>갈산역</t>
  </si>
  <si>
    <t>하귀자 6554</t>
  </si>
  <si>
    <t>역삼PB</t>
  </si>
  <si>
    <t>신도림</t>
  </si>
  <si>
    <t>대화역</t>
  </si>
  <si>
    <t>한미연(9358)</t>
  </si>
  <si>
    <t>한상덕 4484</t>
  </si>
  <si>
    <t>2025.12.7 21:15</t>
  </si>
  <si>
    <t>덕정</t>
  </si>
  <si>
    <t>불광동</t>
  </si>
  <si>
    <t>2025.12.7 12:29</t>
  </si>
  <si>
    <t>함정순(에스케이공인</t>
  </si>
  <si>
    <t>허명숙8799879</t>
  </si>
  <si>
    <t>대신증권</t>
  </si>
  <si>
    <t>종암동</t>
  </si>
  <si>
    <t>홍미자 0185</t>
  </si>
  <si>
    <t>2025.12.7 16:28</t>
  </si>
  <si>
    <t>평택고</t>
  </si>
  <si>
    <t>홍순주 5114</t>
  </si>
  <si>
    <t>2025.12.7 13:49</t>
  </si>
  <si>
    <t>2025.12.7 21:01</t>
  </si>
  <si>
    <t>황남순9282</t>
  </si>
  <si>
    <t>황남순 620808 01045879282</t>
  </si>
  <si>
    <t>황명선3881</t>
  </si>
  <si>
    <t>황명선 610225 01091973881</t>
  </si>
  <si>
    <t>권오중</t>
  </si>
  <si>
    <t>문의724. 아들이 권오중</t>
  </si>
  <si>
    <t>황연자7927</t>
  </si>
  <si>
    <t>황연자 680103 01045487927</t>
  </si>
  <si>
    <t>문경</t>
  </si>
  <si>
    <t>독산동</t>
  </si>
  <si>
    <t>2025.12.7 10:37</t>
  </si>
  <si>
    <t>LEE TAYLOR</t>
  </si>
  <si>
    <t>서초무</t>
  </si>
  <si>
    <t>국지현 이름으로 예매됨, 강정아2138은 시스템삭제, 강정아 환불대상</t>
  </si>
  <si>
    <t>권명순.2453</t>
  </si>
  <si>
    <t>성수동</t>
  </si>
  <si>
    <t>2025.12.7 8:58</t>
  </si>
  <si>
    <t>남성역</t>
  </si>
  <si>
    <t>2025.12.7 9:50</t>
  </si>
  <si>
    <t>부산</t>
  </si>
  <si>
    <t>대청역</t>
  </si>
  <si>
    <t>김옥선 5943</t>
  </si>
  <si>
    <t>아현동</t>
  </si>
  <si>
    <t>김문례 3287</t>
  </si>
  <si>
    <t>서민정</t>
  </si>
  <si>
    <t>도남지</t>
  </si>
  <si>
    <t>2025.12.7 17:40</t>
  </si>
  <si>
    <t>김미영321732</t>
  </si>
  <si>
    <t>김미영3217321</t>
  </si>
  <si>
    <t>김소옥(7139)</t>
  </si>
  <si>
    <t>2025.12.7 9:43</t>
  </si>
  <si>
    <t>주광옥5676</t>
  </si>
  <si>
    <t>2025.12.7 12:16</t>
  </si>
  <si>
    <t>박채빈1199</t>
  </si>
  <si>
    <t>김영련의 중복임금(박채빈이 딸)</t>
  </si>
  <si>
    <t>2025.12.7 9:56</t>
  </si>
  <si>
    <t>ARTHUR</t>
  </si>
  <si>
    <t>김영희5394</t>
  </si>
  <si>
    <t>정상진행, 김영미 추가(입금완)</t>
  </si>
  <si>
    <t>김영희 560815 01054335394 김영미 640215 01084495110</t>
  </si>
  <si>
    <t>김윤아 0369</t>
  </si>
  <si>
    <t>김일4350</t>
  </si>
  <si>
    <t>오현희3509</t>
  </si>
  <si>
    <t>2025.12.7 15:57</t>
  </si>
  <si>
    <t>종로중</t>
  </si>
  <si>
    <t>한국씨티</t>
  </si>
  <si>
    <t>강경희는 김태선의 동반자, 강경희 명의는 환불, 시스템에서 강경희 삭제</t>
  </si>
  <si>
    <t>김현기 7200</t>
  </si>
  <si>
    <t>김혜성(소영)</t>
  </si>
  <si>
    <t>김혜영 5442</t>
  </si>
  <si>
    <t>2025.12.7 20:55</t>
  </si>
  <si>
    <t>2025.12.7 21:34</t>
  </si>
  <si>
    <t>진해</t>
  </si>
  <si>
    <t>노춘화 3729</t>
  </si>
  <si>
    <t>채요한</t>
  </si>
  <si>
    <t>목포종</t>
  </si>
  <si>
    <t>최계희 9993</t>
  </si>
  <si>
    <t>박용준 9993</t>
  </si>
  <si>
    <t>문정점</t>
  </si>
  <si>
    <t>곽진희</t>
  </si>
  <si>
    <t>백은주8636으로 성공 곽진희는 무의미하니 환불요청</t>
  </si>
  <si>
    <t>송도</t>
  </si>
  <si>
    <t>본인은 2회 입금을 주장하는중</t>
  </si>
  <si>
    <t>2025.12.8 14:56</t>
  </si>
  <si>
    <t>2025.12.7 9:59</t>
  </si>
  <si>
    <t>송파</t>
  </si>
  <si>
    <t>서정숙 9863</t>
  </si>
  <si>
    <t>2025.12.7 11:55</t>
  </si>
  <si>
    <t>2025.12.7 9:49</t>
  </si>
  <si>
    <t>김필환0097</t>
  </si>
  <si>
    <t>2025.12.7 17:01</t>
  </si>
  <si>
    <t>2025.12.8 15:54</t>
  </si>
  <si>
    <t>2025.12.7 20:28</t>
  </si>
  <si>
    <t>강동구</t>
  </si>
  <si>
    <t>신동예 2865</t>
  </si>
  <si>
    <t>김지민</t>
  </si>
  <si>
    <t>2025.12.7 9:34</t>
  </si>
  <si>
    <t>2025.12.7 9:48</t>
  </si>
  <si>
    <t>2025.12.7 15:55</t>
  </si>
  <si>
    <t>최수정 9423</t>
  </si>
  <si>
    <t>안예림의 동반인, 최수정 7만원은 환불</t>
  </si>
  <si>
    <t>김대영</t>
  </si>
  <si>
    <t>안은숙5404의 중복입금. 환불대상</t>
  </si>
  <si>
    <t>안은숙 5404</t>
  </si>
  <si>
    <t>유정화(5270)</t>
  </si>
  <si>
    <t>정아란</t>
  </si>
  <si>
    <t>2025.12.7 10:05</t>
  </si>
  <si>
    <t>윤성애 (5812)</t>
  </si>
  <si>
    <t>당감동</t>
  </si>
  <si>
    <t>윤영이9831983</t>
  </si>
  <si>
    <t>배인숙 2748</t>
  </si>
  <si>
    <t>이용원</t>
  </si>
  <si>
    <t>전화이체</t>
  </si>
  <si>
    <t>수내역</t>
  </si>
  <si>
    <t>서소문</t>
  </si>
  <si>
    <t>이정숙 4461</t>
  </si>
  <si>
    <t>이재진</t>
  </si>
  <si>
    <t>김경숙7766(이주연의 동반자)의 아들이 입금</t>
  </si>
  <si>
    <t>이현자 4522</t>
  </si>
  <si>
    <t>과천정</t>
  </si>
  <si>
    <t>이혜원 5193</t>
  </si>
  <si>
    <t>이혜원. 한동훈콘선</t>
  </si>
  <si>
    <t>중복취소요청 35000원</t>
  </si>
  <si>
    <t>이희옥0619</t>
  </si>
  <si>
    <t>서한솔</t>
  </si>
  <si>
    <t>이희옥 560330 01086430619</t>
  </si>
  <si>
    <t>환불신청</t>
  </si>
  <si>
    <t>591 910407 96707</t>
  </si>
  <si>
    <t>연산동</t>
  </si>
  <si>
    <t>임주연(2630)</t>
  </si>
  <si>
    <t>2025.12.7 20:09</t>
  </si>
  <si>
    <t>기흥구</t>
  </si>
  <si>
    <t>장유나 9407</t>
  </si>
  <si>
    <t>차명희1115</t>
  </si>
  <si>
    <t>차명희는 정명진의 딸. 차명희 입금분은 차명희에게 환불</t>
  </si>
  <si>
    <t>용인대</t>
  </si>
  <si>
    <t>정옥화/5039</t>
  </si>
  <si>
    <t>정재영2010</t>
  </si>
  <si>
    <t>안동</t>
  </si>
  <si>
    <t>조재희8391</t>
  </si>
  <si>
    <t>도화동</t>
  </si>
  <si>
    <t>황경선</t>
  </si>
  <si>
    <t>한순실1123</t>
  </si>
  <si>
    <t>김해영2831</t>
  </si>
  <si>
    <t>지은자5295의 동반자. 오입금</t>
  </si>
  <si>
    <t>하대호</t>
  </si>
  <si>
    <t>이귀례1320</t>
  </si>
  <si>
    <t>김형주5673</t>
  </si>
  <si>
    <t>중복입금. 환불</t>
  </si>
  <si>
    <t>정시유 최원현</t>
  </si>
  <si>
    <t>2025.12.7 10:19</t>
  </si>
  <si>
    <t>최유숙 5214</t>
  </si>
  <si>
    <t>2025.12.9 2:38</t>
  </si>
  <si>
    <t>이중빈2139</t>
  </si>
  <si>
    <t>홍유식 7413</t>
  </si>
  <si>
    <t>2025.12.7 15:23</t>
  </si>
  <si>
    <t>황은옥8084</t>
  </si>
  <si>
    <t>제천</t>
  </si>
  <si>
    <t>황은옥 611223 01090588084 황은미 660930 01032843729</t>
  </si>
  <si>
    <t>39행</t>
  </si>
  <si>
    <t>2025.12.7 10:08</t>
  </si>
  <si>
    <t>전북은행</t>
  </si>
  <si>
    <t>김데니스호의 동반인이 중복임금. 김데니스호에게 환불</t>
  </si>
  <si>
    <t>있음</t>
  </si>
  <si>
    <t>확정</t>
  </si>
  <si>
    <t>KIM DENNIS</t>
  </si>
  <si>
    <t>홍예원</t>
  </si>
  <si>
    <t>통화불가</t>
  </si>
  <si>
    <t>110-182-225880</t>
  </si>
  <si>
    <t>대구은행</t>
  </si>
  <si>
    <t>139-08-002728</t>
  </si>
  <si>
    <t>2025.12.7 10:00</t>
  </si>
  <si>
    <t>최영신7030</t>
  </si>
  <si>
    <t xml:space="preserve">   농협은행   </t>
  </si>
  <si>
    <t>82507252143737</t>
  </si>
  <si>
    <t xml:space="preserve">    최영신</t>
  </si>
  <si>
    <t>목진숙9465</t>
  </si>
  <si>
    <t>목진숙</t>
  </si>
  <si>
    <t>010-8907-9465</t>
  </si>
  <si>
    <t>29126620402001</t>
  </si>
  <si>
    <t>하대호0480</t>
  </si>
  <si>
    <t>1002143653378</t>
  </si>
  <si>
    <t>김경축4234</t>
  </si>
  <si>
    <t>깅경축4234</t>
  </si>
  <si>
    <t>농협은행</t>
  </si>
  <si>
    <t>20701352036741</t>
  </si>
  <si>
    <t>김경축</t>
  </si>
  <si>
    <t>안수진2502</t>
  </si>
  <si>
    <t>동마산</t>
  </si>
  <si>
    <t>국민은행</t>
  </si>
  <si>
    <t>84400101571139</t>
  </si>
  <si>
    <t>안수진</t>
  </si>
  <si>
    <t>2025.12.7 9:47</t>
  </si>
  <si>
    <t>김순아4577</t>
  </si>
  <si>
    <t>김순아</t>
  </si>
  <si>
    <t>110 341 754202</t>
  </si>
  <si>
    <t>김종석2572</t>
  </si>
  <si>
    <t>김종석</t>
  </si>
  <si>
    <t>원주종</t>
  </si>
  <si>
    <t>010-4411-2572</t>
  </si>
  <si>
    <t>30380104099047</t>
  </si>
  <si>
    <t>1002-455-337917</t>
  </si>
  <si>
    <t>신귀순7188</t>
  </si>
  <si>
    <t>신귀순</t>
  </si>
  <si>
    <t xml:space="preserve">신한은행
 </t>
  </si>
  <si>
    <t>390-02-236862</t>
  </si>
  <si>
    <t>351-0800-4754-63</t>
  </si>
  <si>
    <t>황우건1142</t>
  </si>
  <si>
    <t>황우건</t>
  </si>
  <si>
    <t xml:space="preserve"> 110-311-586382</t>
  </si>
  <si>
    <t xml:space="preserve"> 황우건</t>
  </si>
  <si>
    <t>한훈6285</t>
  </si>
  <si>
    <t>한훈</t>
  </si>
  <si>
    <t>카카오뱅크</t>
  </si>
  <si>
    <t>3333038062377</t>
  </si>
  <si>
    <t>이지현1846</t>
  </si>
  <si>
    <t>상계역</t>
  </si>
  <si>
    <t xml:space="preserve"> KB국민은행</t>
  </si>
  <si>
    <t>353210016572</t>
  </si>
  <si>
    <t xml:space="preserve"> 이지현</t>
  </si>
  <si>
    <t>조정희1020</t>
  </si>
  <si>
    <t>010-8787-1020</t>
  </si>
  <si>
    <t>10989032816807</t>
  </si>
  <si>
    <t>홍수민7173</t>
  </si>
  <si>
    <t>홍수민</t>
  </si>
  <si>
    <t>7940-0104-</t>
  </si>
  <si>
    <t>83630204225260</t>
  </si>
  <si>
    <t>이현진4548</t>
  </si>
  <si>
    <t>이현진</t>
  </si>
  <si>
    <t>34490104102263</t>
  </si>
  <si>
    <t>장현주0255</t>
  </si>
  <si>
    <t>05321 0514 175</t>
  </si>
  <si>
    <t xml:space="preserve">장현주 </t>
  </si>
  <si>
    <t>김인숙6492</t>
  </si>
  <si>
    <t>주영선</t>
  </si>
  <si>
    <t>이형순8371</t>
  </si>
  <si>
    <t>이형순</t>
  </si>
  <si>
    <t>장시아6446</t>
  </si>
  <si>
    <t>장시아</t>
  </si>
  <si>
    <t>기업은행</t>
  </si>
  <si>
    <t>이금주6975</t>
  </si>
  <si>
    <t>010-5326-6975</t>
  </si>
  <si>
    <t>이금주</t>
  </si>
  <si>
    <t>조성식9450</t>
  </si>
  <si>
    <t>010-6409-9450</t>
  </si>
  <si>
    <t>조성식</t>
  </si>
  <si>
    <t>김기선8430</t>
  </si>
  <si>
    <t xml:space="preserve">
010-9392-8430</t>
  </si>
  <si>
    <t>3333287689323</t>
  </si>
  <si>
    <t>김기선</t>
  </si>
  <si>
    <t>최윤지니엘5967</t>
  </si>
  <si>
    <t>010-5485-5967</t>
  </si>
  <si>
    <t>서순임6148</t>
  </si>
  <si>
    <t>서순임</t>
  </si>
  <si>
    <t>010-7648-6148</t>
  </si>
  <si>
    <t>93712304335</t>
  </si>
  <si>
    <t>이현정1023</t>
  </si>
  <si>
    <t>56291003492707</t>
  </si>
  <si>
    <t>조은영6110</t>
  </si>
  <si>
    <t>조은영</t>
  </si>
  <si>
    <t>신정네</t>
  </si>
  <si>
    <t>010-2705-6110</t>
  </si>
  <si>
    <t>함은순7393</t>
  </si>
  <si>
    <t xml:space="preserve"> im뱅크</t>
  </si>
  <si>
    <t xml:space="preserve"> 213 13 098764</t>
  </si>
  <si>
    <t>신한</t>
  </si>
  <si>
    <t>110 052 059479</t>
  </si>
  <si>
    <t>김호정</t>
  </si>
  <si>
    <t>전화번호 찾을 수 없음</t>
  </si>
  <si>
    <t>2025.12.7 9:39</t>
  </si>
  <si>
    <t>2025.12.7 10:16</t>
  </si>
  <si>
    <t>이선자1675</t>
  </si>
  <si>
    <t>김운자3029</t>
  </si>
  <si>
    <t>3029김운자</t>
  </si>
  <si>
    <t>김옥선2783</t>
  </si>
  <si>
    <t>김옥선 2783</t>
  </si>
  <si>
    <t>이지인</t>
  </si>
  <si>
    <t>김미혜</t>
  </si>
  <si>
    <t>화곡동</t>
  </si>
  <si>
    <t>이영자</t>
  </si>
  <si>
    <t>전정희</t>
  </si>
  <si>
    <t>2025.12.9 0:06</t>
  </si>
  <si>
    <t>최진화5546</t>
  </si>
  <si>
    <t>2025.12.8 23:43</t>
  </si>
  <si>
    <t>현혜영5650</t>
  </si>
  <si>
    <t>2025.12.8 15:35</t>
  </si>
  <si>
    <t>손계영1214</t>
  </si>
  <si>
    <t>하은숙5403</t>
  </si>
  <si>
    <t>엄나라0829</t>
  </si>
  <si>
    <t>오픈이전 입금자</t>
  </si>
  <si>
    <t>입금상태</t>
  </si>
  <si>
    <t>입금여부</t>
  </si>
  <si>
    <t>입금수</t>
  </si>
  <si>
    <t>이건로</t>
  </si>
  <si>
    <t>010-4461-9060</t>
  </si>
  <si>
    <t>대기</t>
  </si>
  <si>
    <t>정선화</t>
  </si>
  <si>
    <t>010-4150-4541</t>
  </si>
  <si>
    <t>010-8507-0427</t>
  </si>
  <si>
    <t>문춘옥</t>
  </si>
  <si>
    <t>010-3698-3207</t>
  </si>
  <si>
    <t>오지수</t>
  </si>
  <si>
    <t>010-4567-1444</t>
  </si>
  <si>
    <t>010-7173-9327</t>
  </si>
  <si>
    <t>박계숙</t>
  </si>
  <si>
    <t>010-9834-5220</t>
  </si>
  <si>
    <t>010-4117-7853</t>
  </si>
  <si>
    <t>이종훈</t>
  </si>
  <si>
    <t>010-9019-9333</t>
  </si>
  <si>
    <t>이수향</t>
  </si>
  <si>
    <t>010-6773-2173</t>
  </si>
  <si>
    <t>018-3634-7037</t>
  </si>
  <si>
    <t>박영순</t>
  </si>
  <si>
    <t>010-2502-5763</t>
  </si>
  <si>
    <t>변종순</t>
  </si>
  <si>
    <t>010-3872-8537</t>
  </si>
  <si>
    <t>황은진</t>
  </si>
  <si>
    <t>010-4789-4253</t>
  </si>
  <si>
    <t>010-4507-1581</t>
  </si>
  <si>
    <t>010-5531-6344</t>
  </si>
  <si>
    <t>박옥선</t>
  </si>
  <si>
    <t>010-7598-3527</t>
  </si>
  <si>
    <t>이정영</t>
  </si>
  <si>
    <t>010-8138-1238</t>
  </si>
  <si>
    <t>안현주</t>
  </si>
  <si>
    <t>010-5629-1388</t>
  </si>
  <si>
    <t>이종순</t>
  </si>
  <si>
    <t>010-5454-1680</t>
  </si>
  <si>
    <t>진현국</t>
  </si>
  <si>
    <t>010-2323-2312</t>
  </si>
  <si>
    <t>윤형국</t>
  </si>
  <si>
    <t>010-3477-9713</t>
  </si>
  <si>
    <t>010-3338-4297</t>
  </si>
  <si>
    <t>정희연</t>
  </si>
  <si>
    <t>010-4755-2981</t>
  </si>
  <si>
    <t>권영희</t>
  </si>
  <si>
    <t>010-6266-2173</t>
  </si>
  <si>
    <t>010-3633-6166</t>
  </si>
  <si>
    <t>손계영</t>
  </si>
  <si>
    <t>010-9350-1214</t>
  </si>
  <si>
    <t>김순이</t>
  </si>
  <si>
    <t>010-3332-4366</t>
  </si>
  <si>
    <t>전주영</t>
  </si>
  <si>
    <t>010-6648-7099</t>
  </si>
  <si>
    <t>정현미</t>
  </si>
  <si>
    <t>010-6425-4577</t>
  </si>
  <si>
    <t>이상범</t>
  </si>
  <si>
    <t>010-6430-4577</t>
  </si>
  <si>
    <t>박주희</t>
  </si>
  <si>
    <t>010-3795-7056</t>
  </si>
  <si>
    <t>장경숙</t>
  </si>
  <si>
    <t>010-8622-9446</t>
  </si>
  <si>
    <t>민선희</t>
  </si>
  <si>
    <t>010-2552-4580</t>
  </si>
  <si>
    <t>김현삼</t>
  </si>
  <si>
    <t>010-9315-4648</t>
  </si>
  <si>
    <t>박판수</t>
  </si>
  <si>
    <t>010-3872-1238</t>
  </si>
  <si>
    <t>김윤자</t>
  </si>
  <si>
    <t>010-5040-3029</t>
  </si>
  <si>
    <t>배강욱</t>
  </si>
  <si>
    <t>010-9351-7436</t>
  </si>
  <si>
    <t>노점숙</t>
  </si>
  <si>
    <t>010-3339-3839</t>
  </si>
  <si>
    <t>문애순</t>
  </si>
  <si>
    <t>010-6287-8514</t>
  </si>
  <si>
    <t>권신자</t>
  </si>
  <si>
    <t>010-8627-0356</t>
  </si>
  <si>
    <t>두의정</t>
  </si>
  <si>
    <t>010-8733-6133</t>
  </si>
  <si>
    <t>서염미</t>
  </si>
  <si>
    <t>010-8958-9500</t>
  </si>
  <si>
    <t>010-2387-6577</t>
  </si>
  <si>
    <t>공춘자</t>
  </si>
  <si>
    <t>010-5338-7373</t>
  </si>
  <si>
    <t>황송민</t>
  </si>
  <si>
    <t>010-8945-7600</t>
  </si>
  <si>
    <t>010-7287-5338</t>
  </si>
  <si>
    <t>박진희</t>
  </si>
  <si>
    <t>010-4779-2845</t>
  </si>
  <si>
    <t>유기순</t>
  </si>
  <si>
    <t>010-3062-1719</t>
  </si>
  <si>
    <t>오권자</t>
  </si>
  <si>
    <t>010-2370-1521</t>
  </si>
  <si>
    <t>임숙자</t>
  </si>
  <si>
    <t>010-4588-7481</t>
  </si>
  <si>
    <t>노용헌</t>
  </si>
  <si>
    <t>010-5917-0238</t>
  </si>
  <si>
    <t>허옥조</t>
  </si>
  <si>
    <t>010-9481-7063</t>
  </si>
  <si>
    <t>010-1211-0936</t>
  </si>
  <si>
    <t>조영민</t>
  </si>
  <si>
    <t>010-3781-5274</t>
  </si>
  <si>
    <t>010-6399-3025</t>
  </si>
  <si>
    <t>안순희</t>
  </si>
  <si>
    <t>010-3450-2985</t>
  </si>
  <si>
    <t>최귀숙</t>
  </si>
  <si>
    <t>010-3949-0012</t>
  </si>
  <si>
    <t>010-5356-3675</t>
  </si>
  <si>
    <t>배난희</t>
  </si>
  <si>
    <t>010-5613-9925</t>
  </si>
  <si>
    <t>장희순</t>
  </si>
  <si>
    <t>010-8576-8681</t>
  </si>
  <si>
    <t>김민경</t>
  </si>
  <si>
    <t>010-5300-2557</t>
  </si>
  <si>
    <t>송희순</t>
  </si>
  <si>
    <t>010-5602-1289</t>
  </si>
  <si>
    <t>이지선</t>
  </si>
  <si>
    <t>010-2081-7559</t>
  </si>
  <si>
    <t>정선태</t>
  </si>
  <si>
    <t>010-9530-4506</t>
  </si>
  <si>
    <t>윤영숙</t>
  </si>
  <si>
    <t>010-9196-3304</t>
  </si>
  <si>
    <t>010-5453-2671</t>
  </si>
  <si>
    <t>황의명</t>
  </si>
  <si>
    <t>010-3640-4115</t>
  </si>
  <si>
    <t>조현정</t>
  </si>
  <si>
    <t>010-4582-4733</t>
  </si>
  <si>
    <t>윤순자</t>
  </si>
  <si>
    <t>010-4948-4462</t>
  </si>
  <si>
    <t>최준영</t>
  </si>
  <si>
    <t>010-6571-3335</t>
  </si>
  <si>
    <t>010-4149-4080</t>
  </si>
  <si>
    <t>정루비</t>
  </si>
  <si>
    <t>010-2329-9605</t>
  </si>
  <si>
    <t>신미진</t>
  </si>
  <si>
    <t>010-2359-3265</t>
  </si>
  <si>
    <t>김민섭</t>
  </si>
  <si>
    <t>010-4676-5910</t>
  </si>
  <si>
    <t>황미희</t>
  </si>
  <si>
    <t>010-9897-2766</t>
  </si>
  <si>
    <t>함형준</t>
  </si>
  <si>
    <t>010-3354-8595</t>
  </si>
  <si>
    <t>010-5871-0683</t>
  </si>
  <si>
    <t>010-2327-6398</t>
  </si>
  <si>
    <t>미완료</t>
  </si>
  <si>
    <t>길미</t>
  </si>
  <si>
    <t>김선경9395</t>
  </si>
  <si>
    <t>노민영</t>
  </si>
  <si>
    <t>010-2992-6536</t>
  </si>
  <si>
    <t>번호</t>
  </si>
  <si>
    <t>문의내용</t>
  </si>
  <si>
    <t>문의일시</t>
  </si>
  <si>
    <t>답변상태</t>
  </si>
  <si>
    <t>답변내용</t>
  </si>
  <si>
    <t>답변일시</t>
  </si>
  <si>
    <t>[취소/환불] 잘못입금하여 취소환불 부탁드립니다
 [환불정보]
 금액: 60000원
 은행: KB국민은행
 계좌: 353210016572
 예금주: 이지현</t>
  </si>
  <si>
    <t>미답변</t>
  </si>
  <si>
    <t>[입금/결제] 좌석번호 아직 확정이 안된건가요?</t>
  </si>
  <si>
    <t>[입금/결제] 신청내역 확인에서 비밀번호 오류라고 뜨고 중복입금 환불절차도 안 보입니다. 01065562831로 전화부탁드립니다.</t>
  </si>
  <si>
    <t>이상희</t>
  </si>
  <si>
    <t>[기타문의] 일요일 아침 9시부터 대기했는데 뭔가 오류였는지 계속 들어가지지않다가 끝나버렸어요.혹시 반자리나시면 을려주실수있으실까요? 부탁드립니당..</t>
  </si>
  <si>
    <t>손병기</t>
  </si>
  <si>
    <t>[기타문의] 배우자 이혜경
 전화번호 010-6286-6721
 생년월일 711021
 배우자는 입금했습니다.
 저의 신청은 취소 되었지만 화면에는 계속신청화면이 나옵니다. 그래서 배우자 화면에선 제가 주신청자라고 동반자 등록이 안되고 있습니다.</t>
  </si>
  <si>
    <t>[취소/환불] 중복 입금으로 환불 신청합니다
 [환불정보]
 금액: 35000원
 은행: 신한은행
 계좌: 110040164025
 예금주: 김혜성</t>
  </si>
  <si>
    <t>이미연</t>
  </si>
  <si>
    <t>[입금/결제] 안녕하세요.
 제가 원래 티켓팅 날에 신청 폼까지 완료했다다 오류가 나서 안됐는데, 혹시나 하고 ‘신청확인’을 여러 번 하였으나 (마감 이후로도 수시로 확인함ㅠㅠ) 신청된 내역이 없는 것을 확인하였습니다.
 그런데 방금 혹시나 하고 또 확인해보니 신청내역과 계좌번호도 보이고 입금대기중이라고 뜨는데 신청이 된걸까요?ㅠㅠ
 공지에 입금기한이 8일까지라 방금 확인해 입금을 못했는데, 시스템상의 오류인지 궁금해서 문의드립니다.
 갑자기 떴지만, 이미 8일이 지났기 때문에 입금해도 안되고 2차 티켓팅을 기다려야 하는 거겠죠?ㅠㅠ
 바쁘실텐데 답변주시면 감사하겠습니다.</t>
  </si>
  <si>
    <t>[기타문의] 취소요청 했는데 죄송합니다만 다시 취소안하면 안되는지요 혹시 환불 아직 안됐으니 그냥 두시면 안될까요</t>
  </si>
  <si>
    <t>[정보변경] 동반인을 김현영으로 신청했으나 동행인을 
 변경하였는데(어제문의)
 변경신청이 
 김현영이 아닌 다른 이름이 변경이 안되면
 전번과 주민번호 변경만으로도 입장이 가능한가요??
 입장시 동반인 이름을 신분증으로 확인하고 입장하는건지요??</t>
  </si>
  <si>
    <t>[정보변경] 동반자 변경부탁드립니당
 630214
 010 - 8984 - 0214</t>
  </si>
  <si>
    <t>답변완료</t>
  </si>
  <si>
    <t>동반자 정보 변경했습니다. 신청내역 확인 화면에서 확인하시기 바랍니다.</t>
  </si>
  <si>
    <t>[정보변경] 답변주신내용 확인 후 다시 문의드립니다.
 직접 정보변경이 안되서요.
 이름 : 하예진
 생년월일, 910215 
 전화번호, 01057951480
 정보변경에 이용해주시기 바랍니다 감사합니다^^</t>
  </si>
  <si>
    <t>하예진님 정보입력 했습니다. 차현주님 신청내역 확인 화면에서 자세한 내용 확인하시기 바랍니다.</t>
  </si>
  <si>
    <t>[기타문의] 일요일 신청완료에 흥분한 나머지
 입금자명 하대호로 한번 하대호0480으로 또 한번 이중으로 출금을 했는데 나중에 알고보니 저희 엄마도 신청에 성공을 하셨더라구요. 
 근데 동반자 정보수정을 오늘 6시까지라고 하던데 이미 하대호 이름으로 동반자 등록이 된지라 다른 신청 정보로 중복 등록이 안된다면서 현재 수정을 하지 못한 상황입니다.
 하대호 예매신청건은 현재 예매는 다른 분들 위해서 취소 및 환불절차 진행중입니다. 
 차현주 01045121480 
 예매성공한 다른 가족입니다.
 꼭 참여하고 싶은데 예매성공에 입금도 마쳤는데 이대로 어찌되는건지... 
 너무 궁금합니다...
 아 그리고 한가지 건의드리고 싶습니다.
 어르신들도 계시고 저같은 경우가 없을거라 생각지 않으니까요
 단 하루 기간동안 정보수정을 하는건 너무 촉박한것 아닌가라는 생각이 들어서 조심스레 말씀드려봅니다!
 위 문의 내용 확인후 꼭 답변부탁드립니다 제발요 감사합니다! 수고하십시요
 꼭 21일 킨텍스서 됩고 싶습니다!!</t>
  </si>
  <si>
    <t>차현주 신청 확인됩니다. 자세한 내용은 차현주 신청내역 확인 화면에서 확인하시기 바랍니다.</t>
  </si>
  <si>
    <t>[취소/환불] 요청하신대로 작성했습니다.
 입금시각은 12/7 09:28:58 입니다
 [환불정보]
 금액: 35000원
 은행: SC제일은행
 계좌: 10020221890
 예금주: 임순빈</t>
  </si>
  <si>
    <t>확인했습니다. 다만, 환불 진행에 시간이 걸림을 양해 부탁드립니다.</t>
  </si>
  <si>
    <t>[취소/환불] 죄송합니다.
 남편이 같이 못가게 됐습니다.
 한국 친구를 대신하는게 공정하지 않는거 같아서 그냥 1명을 취소합니다.
 번거롭게해서 다시 한번 죄송합니다.
 너무 좋아서 입가에 미소가 떠나질 않아요
 ㅎㅎ
 그리고 부탁드리고 싶은게 있는데요!
 큐알코드가 제 폰으로 잘 안올거같아요!
 한국폰이지만 일본이어서 문자 안올때가 많아요 ㅠㅠ
 친구 휴대폰으로도 보내주시면 감사하겠습니다!!
 01033012130(송희영)
 [환불정보]
 금액: 35000원
 은행: NH농협은행
 계좌: 89512234855
 예금주: 김미</t>
  </si>
  <si>
    <t>동반자 취소 하였습니다(2인신청 -&gt; 1인신청) 환불 정보 확인하였습니다. 환불 처리에 시간이 걸림을 이해 부탁드립니다. QR 코드를 미리 보내지 않고 현장에서 확인할 예정입니다. 신분증과 핸드폰 지참 부탁드립니다.</t>
  </si>
  <si>
    <t>[입금/결제] 박선화01081085598
 12월7일 9시15분 입금완료 
 입금자명 박선화</t>
  </si>
  <si>
    <t>[입금/결제] 중복 입금으로 계좌번호 남겨달라는 답변 받았습니다
 기업(한명실)
 377 030347 02 014</t>
  </si>
  <si>
    <t>확인했습니다. 다만 환불 처리에는 시간이 걸리는 점 양해 부탁드립니다.</t>
  </si>
  <si>
    <t>[입금/결제] 입금은 바로 했는데 아직도 입금 대기.좌석대기로 뜨네요
 입금은 됐는지 좌석은 배정된게 맞는지 
 답답하네요
 더구나 2인 신청이라 같이 가실 분 스케줄 조정도 필요해서요</t>
  </si>
  <si>
    <t>현재 입금 확인중이라, 입금 대기로 나오는 것이 정상입니다. 입금 확인이 완료되면, 정보가 변경될 것입니다. 또한 좌석은 추후 배정될 것이니, 양해 부탁드립니다.</t>
  </si>
  <si>
    <t>[정보변경] 대표 참여자
 오효근
 010 -4227-6604
 ~ 동반자 정보 등록 전화번호 정정요청
 신세라
 010-9062-2126 이 아니고
 010-9062-2129 으로 
 정정 요청드립니다(끝번호 9로 정정 요청)
 고맙습니다</t>
  </si>
  <si>
    <t>정보 변경했습니다. 오효근님 신청내역 확인 화면에서 확인 부탁
 드립니다.</t>
  </si>
  <si>
    <t>[입금/결제] 1인 신청자입니다. 7일 신청햏는데
 조회상 아직도 입금대기라고 뜨네요.
 입금때 마음이 급해서
 휴대폰 끝자리 1900을 쓰지 못해서 
 아직도 입금대기로 뜨는걸까요?
 기다립니다.
 권나희입니다</t>
  </si>
  <si>
    <t>현재 입금 확인중입니다. 추후 시스템에 반영이 완료되면 변동 예정입니다. 참고 부탁드립니다.</t>
  </si>
  <si>
    <t>[정보변경] 동반자 변경하려고하는데 마감됏다고 나와요
 어떻게하죠ㅠ</t>
  </si>
  <si>
    <t>동반자 이름 변경은 원칙적으로 불가합니다. 전화번호/생년월일 변경만 가능합니다. 필요하시면, 문의 주시기 바랍니다.</t>
  </si>
  <si>
    <t>[정보변경] 그럼 신청자 아니면 못가는건가요? 제가 큐알코드 받고 엄마가 대신 가는건 안되는건가요?</t>
  </si>
  <si>
    <t>입장시 신분증과 입력된 정보가 일치해야 합니다. 앙해 부탁드립니다.</t>
  </si>
  <si>
    <t>[취소/환불] 중복입긍환불신청합니다.대표신청인이 입금했는데 동반입장인이 중복입금한 상황입니다
 [환불정보]
 금액: 70000원
 은행: 카카오뱅크
 계좌: 3333218403973
 예금주: 강경희</t>
  </si>
  <si>
    <t>현재 강경화님 동반 참석자 정보가 미입력 상태라, 중복 입금 확인이 어렵습니다. 우선 동반 참석자 정보를 입력하시고, 환불 요청을 다시 주시면 진행해 드리겠습니다. 강경화님 신청내역 확인 화면에서 동반 참석자 정보 입력 가능합니다(조치해 두었습니다) 진행하시고, 다시 문의주시면 감사하겠습니다.</t>
  </si>
  <si>
    <t>이상열</t>
  </si>
  <si>
    <t>[기타문의] 양도 여부 알려주세요!! 또 당일 가서 여기에 답변 받았는데 현장은 답변과 다르게 움직이고 이러면 안되니 공지 좀 하세요!! 충분히 나 올 예측 가능한 일 입니다.!!</t>
  </si>
  <si>
    <t>양도는 불가합니다. 우려하시는 점 충분히 이해합니다. 참고하겠습니다.</t>
  </si>
  <si>
    <t>[정보변경] 신청자 이름 변경해주시는 건가요?? 문의 드렸는데 답변이 없으시네요ㅜㅜ</t>
  </si>
  <si>
    <t>원칙적으로 신청자 이름은 변경이 불가합니다. 양해 부탁드립니다.</t>
  </si>
  <si>
    <t>[기타문의] 신청은 25.12.07 09:07분에
 신청완료 했어요.
 나이가 든 탓에 
 좌석배정이 늦어져 
 걱정됩니다.</t>
  </si>
  <si>
    <t>[입금/결제] 금일 11시 50분경 문채영0417 입금했습니다.. 아직 신청완료 상태가 되지않았는데.. 확인 부탁드립니다..</t>
  </si>
  <si>
    <t>현재 입금 확인중입니다. 추후 완료되면 신청내역 화면에서 확인 가능합니다. 참고 부탁드립니다.</t>
  </si>
  <si>
    <t>[기타문의] 신청완료후 입금처리 되었는데요.
 아직도 모두 대기로 떠있네요.</t>
  </si>
  <si>
    <t>입금해주신 분들은 현재 입금 확인이 진행중이라, '입금대기'로 표시되는 것이 정상입니다. 입금데이터 확인 후 별도 공지 예정입니다</t>
  </si>
  <si>
    <t>[취소/환불] 어제 신청 접수 됐는 줄 알고 국민은행 윤석만 계좌로 입금 했는데 환불 부탁드립니다
 [환불정보]
 금액: 35000원
 은행: 신한은행
 계좌: 110213760202
 예금주: 나경희</t>
  </si>
  <si>
    <t>확인했습니다. 다만 환불 처리에 시간이 걸리는 점 양해 부탁드립니다.</t>
  </si>
  <si>
    <t>설다은</t>
  </si>
  <si>
    <t>[기타문의] 2차모집도 열리나요? 만약 다시 열린다면 언제 가능한지 문의드립니다.</t>
  </si>
  <si>
    <t>현재 확인중입니다. 혹, 2차 모집이 실시 되면 별도 공지할 예정입니다.</t>
  </si>
  <si>
    <t>[취소/환불] 번거롭게 해드려서
 죄송합니다
 690830
 지은아
 [환불정보]
 금액: 35000-60000원
 은행: 카카오뱅크
 계좌: 3333091258281
 예금주: 지은아</t>
  </si>
  <si>
    <t>[정보변경] 김정화 01094956109
 이경하 01021236109(동반자) 
 신청확인시 동반자이름과 전번 쓸 시간이없었습니다.</t>
  </si>
  <si>
    <t>[취소/환불] 안녕하세요 신청이 되었다고 떠서 입금했는데 오류였나보네요 환불부탁드려요
 [환불정보]
 금액: 35000원
 은행: 신한은행
 계좌: 110213760202
 예금주: 나경희</t>
  </si>
  <si>
    <t>확인했습니다. 다만 환불 처리에 시간이 걸린다는 점 미리 말씀드립니다. 양해 부탁드립니다.</t>
  </si>
  <si>
    <t>[취소/환불] 중복입금 환불창이 활성화 되지 않습니다
 ( 3회 입금해서 2회 환불 받아야 하는데,
  1회 환불 처리 중이라 그런듯 합니다)
  09 :11 안은숙 5404 환불해 주세요
 계좌번호는 다음과 같습니다
 기업은행 335 002855 03 018 안은숙
 입니다</t>
  </si>
  <si>
    <t>[입금/결제] 어제 신청접수 된 줄 알고 3시32분27초에 국민은행 윤석만 계좌로 35000원 입금 했는데 환불 받을려면 어떻게 해야 하나요? 아직 답변이 없어 다시 보냅니다</t>
  </si>
  <si>
    <t>박서윤</t>
  </si>
  <si>
    <t>[정보변경] 안녕하세요. 처음 안내에서 동반인 바꿀수 있다 해서. 동반인 바꾸려나 이름 바꿀수 없다하고. 주민 번호와 전번만 바꿀수 있다는 안내가 있는데. 그럼 동인 이름과 주민번호 대조 후 일치 해야 하나요? 아니면 동반인 이름은 못 바꾸니 그냥 두고 전번과 주민 번호만으로 입장 가능한가요?</t>
  </si>
  <si>
    <t>입장시 신분증과 입력 정보가 동일해야 합니다. 참고 부탁드립니다.</t>
  </si>
  <si>
    <t>[기타문의] 왜 계속 입금대기라고 뜰까요?</t>
  </si>
  <si>
    <t>[입금/결제] 신청확인후 입금완료했는데 
 신청내역 확인불가입니다. 
 오늘8일(18:00) 까지 문의하라고 공지ㅜ보고 연락합니다.
 김정화, 01094956109
 하나은행(김정화)
 입금시점9:45</t>
  </si>
  <si>
    <t>[입금/결제] 2인티켓 신청해서 7만원을 입금해야하는데 3만5천원씩 입금해서 입금확인시 확인부탁드립니다.
 김나영 5712 09:15:45 
 김옥선 5943 09:18:26 따로 입금함.
 중복아니고..환불 받을건없습니다
 혹시라도 잘못될까봐 걱정이라서요ㅜ</t>
  </si>
  <si>
    <t>확인했습니다.</t>
  </si>
  <si>
    <t>[기타문의] 동반자 등록하려고 하는데 주신청자라서 등록이 안된다고 하는데 어떻게 해야 하나요
 함정순 620819입니다</t>
  </si>
  <si>
    <t>대표 신청자 문현주님에게 한정순님을 동반 참석자로 등록했습니다. 신청 내역 확인에서 확인 부탁드립니다.</t>
  </si>
  <si>
    <t>[입금/결제] 12월7일 9시27분 입금(신지우)
 01044082577</t>
  </si>
  <si>
    <t>[취소/환불] 예약불발이고해서 환불요청합니다
 [환불정보]
 금액: 35000원
 은행: 우리은행
 계좌: 04714260912001
 예금주: 이복남</t>
  </si>
  <si>
    <t>확인했습니다. 다만 환불에 시간이 걸리는 점 양해 부탁드립니다.</t>
  </si>
  <si>
    <t>[입금/결제] 12.8 오후5시기준 아직 입금대기중인건 정상적인거죠??</t>
  </si>
  <si>
    <t>네 정상입니다. 전체 입금 확인 후, 변경될 것입니다.</t>
  </si>
  <si>
    <t>조수빈</t>
  </si>
  <si>
    <t>[취소/환불] 환불받을 계좌 : 국민은행 7027-0101-656-969
 받는사람 : 조수빈
 금액 : 7만원 (6만원,1만원 어제 두번 입금함)-아침9시16분과 9시29분)
 메모에 황은옥8084 메모했습니다
 취소,환불해주세요</t>
  </si>
  <si>
    <t>[입금/결제] 김정화, 010 9495 6109
 하나은행(김정화)
 입금시점(?) 은 9:45..</t>
  </si>
  <si>
    <t>[취소/환불] 환불받을 계좌 : 국민은행 7027-0101-656-969
 받는사람 : 조수빈
 금액 : 7만원 (6만원,1만원 어제 두번 입금함)
 메모에 황은옥8084 메모했습니다
 취소,환불해주세요</t>
  </si>
  <si>
    <t>확인 했습니다. 다만 환불 처리에 시간이 걸리는 점 양해 부탁드립니다.</t>
  </si>
  <si>
    <t>[기타문의] 2차 신청은 언제로 예정되어 있나요?</t>
  </si>
  <si>
    <t>현재 확인중입니다. 혹 2차 모집을 하게 되면 별도 공지 드리겠습니다.</t>
  </si>
  <si>
    <t>[취소/환불] 환불창이 활성화 되지 않습니다
 09 : 11 안은숙5404 환불이 필요합니다
 (09:09분과 중복입금)
 환불계좌는
 기업은행 335 002855 03 018 안은숙
 입니다</t>
  </si>
  <si>
    <t>[기타문의] 환불신청을 했어요
 답변대로 확인 했으나 
 "신청내역을 확인할 수 없습니다" 만 뜨고 하단아래 드래그를
 할 수 없게 나옵니다.
 그냥 거기에 머물러 있습니다.
 환불하기가 안나오니 방법이 없네요.
 빠른 조치 부탁드립니다.</t>
  </si>
  <si>
    <t>환불을 위해, 성함, 연락처, 요청금액, 은행, 계좌번호, 예금주 정보를 남겨 주시기 바랍니다.</t>
  </si>
  <si>
    <t>[기타문의] 메인에 결제취소 가능기한은 14일로 되어 있던데 그때까지 동반자 포함 본인 2명 취소가 가능하다는건지 아니면 본인만 그 기한까지지 취소이고 동반자는 오늘 꼭 취소해야 하는 것인지 알 수 있을까요?</t>
  </si>
  <si>
    <t>전체 취소/부분 취소 모두 직접 하실 생각이시면 오늘 18시까지 신청내역 화면에서 가능합니다. 오늘 18시 이후~14일중 취소를 원하시면, 문의하기를 통해 요청 주시면 됩니다</t>
  </si>
  <si>
    <t>[취소/환불] 당첨으로뜨니 입금까지하였는데 동반자취소를하니 제가 확인이 안되네요,
 7일오전 9시 18분
 주광옥(5676) 2인 6만원
 확인바랍니다,</t>
  </si>
  <si>
    <t>[취소/환불] 하단에서 환불 1회건 신청했어요.
 그리고 확인하기 들어가면 아직도 입금대기라고 뜨네요. ㅠ</t>
  </si>
  <si>
    <t>입금 확인 작업 진행중이라, 현재 임금 대기가 정상입니다. 추후 변경될 예정이오니, 참고 부탁드립니다.</t>
  </si>
  <si>
    <t>[취소/환불] 첫번째 입금할때 서동미 라고만 적어서 입금했어요.
 문의사항에 들어가니 서동미6212로 입금하라고 되어있어서 다시 입금했어요. 두번 입금 되었으니 한건은 환불해 주셔야 합니다. 
 번거롭게 해드려 죄송합니다. ^^</t>
  </si>
  <si>
    <t>손명윤</t>
  </si>
  <si>
    <t>[기타문의] 2차 예약 계획은 없는겁니까요</t>
  </si>
  <si>
    <t>현재 확인중입니다. 혹 2차 모집을 하면, 별도 공지 드리겠습니다. 감사합니다.</t>
  </si>
  <si>
    <t>[정보변경] 신청 취소가 제대로 반영되지 않아 
 동반자 정보에 제대로 된 전화번호를 
 기입할 수가 없습니다ㅠ… 확인 부탁드립니다</t>
  </si>
  <si>
    <t>변경하고자 하시는 동반자 정보를 구체적으로 남겨주시기 바랍니다. 확인후 진행해 드리겠습니다.</t>
  </si>
  <si>
    <t>[입금/결제] 2명 6만원 입금했는데 신청내역에 없습니다 주광옥 1인이라도 신청해주십시요</t>
  </si>
  <si>
    <t>[취소/환불] 환불요청
 농협, 302-0304-4992-41 
 주광옥(5676)
 6만원</t>
  </si>
  <si>
    <t>[취소/환불] 두번입금
 한순실로 동반2인 6만원
 지은아3799-35000
 한순실1123-35000
 카카오뱅크 
 3333.09.1258281</t>
  </si>
  <si>
    <t>[입금/결제] 박승혜6217 이름으로 입금했는데 아직도 입금대기에 좌석배정이 안됐습니다 언제쯤 참석확정이 되나요?</t>
  </si>
  <si>
    <t>답변드립니다.
 현재 시스템 데이터 처리중입니다.
 추후,일괄 처리 될 예정입니다.
 감사합니다.</t>
  </si>
  <si>
    <t>[기타문의] 안녕하세요 문의드려요 제가 기차를 타고 가야는데 토콘이 5시정도에 끝난다는 회원분 말을 자게에 올려진거 보고 알았는데 미리 기차표예약을 해서요 다 끝나려면 5시정도라 생각하면 될까요? 그리고 혹시나 대표님이 사진도 찍어주시는 시간도 있나요 저는 처음뵙거든요 대표님.. 이글은 한컷에 캡쳐해서 따로 안올릴겁니다 바쁘신데 답글해주셔서 감사합니다</t>
  </si>
  <si>
    <t>아직 프로그램 시간은 공표되지 않았습니다. 현장에서 공표될 예정입니다.</t>
  </si>
  <si>
    <t>[취소/환불] 어제 아침 9시 16분과 29분에 각각 6만원 1만원 총 7만원 입금했습니다 환불해주세요 메모에 (황은옥 8084) 2건이고
 계좌는 국민은행 7027-0101-656-969 에서 이체했습니다 계좌주는 조수빈입니다</t>
  </si>
  <si>
    <t>[정보변경] 죄송해서 딱 죽고 싶습니다.
 제 전번을 잘 못 적을 일이 없다고..단정하고 확인을 안했는데..제가 010 7138 0037 인데 01071380837로 동반자손정애1926 
 정말 미치고 팔딱 뛸 거 같습니다.
 입금은 이유주로 9시 14분에 했습니다..
  *결론은 제 번호가 잘못 입력 되었다는 겁니다.
 01071380037 제 전번 입니다.</t>
  </si>
  <si>
    <t>이유주님 전화번호 뒷자리를 0837--&gt; 0037로 변경해 드리겠습니다. 추후 신청내역에서 확인 부탁드립니다.</t>
  </si>
  <si>
    <t>[취소/환불] 계좌번호
 농협 서동미
 197-12-143736
 입니다.</t>
  </si>
  <si>
    <t>신청자내역에 계십니다.
 환불요청 하시면 신청 취소 되실수 있습니다.
 사이트 내 하단에 신청 내역 확인 버튼 클릭 후 전화번호 11자리를 입력해주세요. 그리고 조회하기 버튼을 누르시면 관련 내용을 확인 가능합니다. 하단에 드래그해서 내려보시면 중복입금/환불신청 칸이 있습니다. 관련 정보 기입 후 "환불 신청하기"를 누르시면 확인 후 일괄처리 해드리겠습니다.
 감사합니다.</t>
  </si>
  <si>
    <t>[취소/환불] 처음 입금할 때 서동미 이름만 적었기에 두번째는서동미6212로 다시 입금했습니다. 처음 입금한 금액 환불해주세요. 죄송합니다. ^^</t>
  </si>
  <si>
    <t>사이트 내 하단에 신청 내역 확인 버튼 클릭 후 전화번호 11자리를 입력해주세요. 그리고 조회하기 버튼을 누르시면 관련 내용을 확인 가능합니다. 하단에 드래그해서 내려보시면 중복입금/환불신청 칸이 있습니다. 관련 정보 기입 후 "환불 신청하기"를 누르시면 확인 후 일괄처리 해드리겠습니다.
 감사합니다.</t>
  </si>
  <si>
    <t>[정보변경] 담당자님!!! 동반자 전번이 오기되어 직접 수정을 어제부터 지금까지 수십번 했으나, 수정이 안됩니다. 동반자를 변경하는 게 아니라 동반자 전번 끝4자리 순서를 틀리게 입력해서 동반자는 보내주시려는 QR코드를 받을 수가 없게 됐어요. 대표신청자는[진라희]+동반자명은 [이현정]으로 동일한 사람이고, 전화번호만 변경하면 되는데, "전번 변경 불가"라고 자꾸 나오니 해결 부탁드립니다. 동반자명을 변경하려는 게 아니라, 동반자의 전화번호만 변경해야 하는데, 그게 안된다고요. 계속 같은 답변('직접 수정하라')만 주시니 답답합니다.  
 시스템이 문제인 것 같은데, 언제까지 기다리면 되는 건지, 일간 따로 연락을 주실 건지, 구체적으로 알려주세요. 빠른 회신 부탁드립니다!!!!!</t>
  </si>
  <si>
    <t>답변드립니다.
 현재 시스템 데이터 처리중입니다.
 꼭 필요한 경우 연락드릴 예정입니다.
 감사합니다.</t>
  </si>
  <si>
    <t>[입금/결제] 서동미
 01032596212
 어제 입금했는데 입금 안된걸로 나오네요.
 확인해주세요. ^^</t>
  </si>
  <si>
    <t>현재 시스템상 입금대기 상태가 정상입니다
 추후,일괄처리 할 예정입니다.
 신청자 내역에 계십니다.
 감사합니다</t>
  </si>
  <si>
    <t>[기타문의] 신청내역 확인해도 동반자등록이 하라고 나오고 등록을 하면안됩니다ㅜ
 답변이 등록되어다고 하니 믿고 큐알코드 기다리면 되겠죠</t>
  </si>
  <si>
    <t>대표 신청자 신청내역 확인 화면에서 확인 부탁드립니다.</t>
  </si>
  <si>
    <t>[입금/결제] 신청인 이은령
 입금자 김성일(남편)
 금액 70000원
 입금확인부탁드립니다~~
 입금자를 남편명의로 전화끝자리도 기재하지않고 입금했어요
 확인부탁드립니다~~~
 신청시 급한마음에 동반자 체크없이 입금하면. 자동으로 예매되는줄알았습니다~~~
 동석자 등록도 부탁드립니다~~</t>
  </si>
  <si>
    <t>신청 사이트내에서 직접 동반자 등록이 가능 하십니다.
 사이트 내 하단에 신청 내역 확인 버튼 클릭 후 전화번호 11자리를 입력해주세요. 
 그리고 조회하기 버튼을 누르시면 관련 내용을 확인 가능합니다. 
 동반자칸에 인적사항 기재하시고 저장 하시면 됩니다
 감사합니다.</t>
  </si>
  <si>
    <t>[입금/결제] 아직 입금대기인데
 언제 확인 되나요?</t>
  </si>
  <si>
    <t>답변드립니다.
 현재 시스템 데이터 처리중입니다.
 추후, 일괄처리될 예정입니다.</t>
  </si>
  <si>
    <t>[기타문의] 이미영
 01072791346 두번 입금 했습니다 
 이미영우로 한번 이미영1346으로 한번
 엄마꺼 제가
 대신 예매해드렸네요 ㅠㅠ 
 환불계좌 신한 110 367 273846 이정옥 입니다
 전화번호 010-5115-4913으로 확인전화 주셔도됩니다ㅜ
 그리고 제가 사연을 썼는데 혹시 사연자 이름 공개해도되나요!! 엄마가 서울 가게 되셔서 … 
 사연 혹시나 읽어주면 본인인줄 모르실것 같은데..</t>
  </si>
  <si>
    <t>8일 18시까지 한시적으로 직접, 중복 입금 및 환불 요청 가능합니다. 신청 내역 확인 화면에 들어가셔서, 직접 진행 부탁드립니다.</t>
  </si>
  <si>
    <t>[정보변경] 관리자님~~관리자님~~
 아직도 전화번호 수정이 안됩니다
 계속 동반자가 번호가 다른 신청에서 사용중이라는 메세지 뜨고 수정이 안되요
 저는 이름 수정이 아니라 전화번호 뒷자리 숫자 하나 수정하려는겁니다
 시간이 얼마남지 않았요 ㅠㅠㅠ</t>
  </si>
  <si>
    <t>[정보변경] 아 감사합니다. 동반자는 갈 수 있다는 거죠? 
 그리고 저 대신 제 누나가 가는 건 안 될까요?
 제 신분증 가지고 대신 가면 안 되는 걸까요? 꼭 갔으면 해서요.</t>
  </si>
  <si>
    <t>신분증과 입력정보가 동일하여 합니다. 참고 부탁드립니다.</t>
  </si>
  <si>
    <t>[정보변경] 동반자(배우식) 같이 당첨되어 취소하고 제가(임정임) 당첨된 동반자로 등록하려고하니 "이미 다른신청의 신청자 전화번호로 사용중입니다,,
 라고 나오고 동반자등록이 안됩니다ㅠ
 빠른 해결 방법 알려주세요
 배우식 당첨된거는 취소했습니다ㅠ</t>
  </si>
  <si>
    <t>동반자 정보(배우식) 입력 했습니다. 배우식님 전화번호로 신청내역 확인하시면 확인하실 수 있습니다.</t>
  </si>
  <si>
    <t>[기타문의] 어제 신청 된줄 알고 3시32분27초에 국민은행 윤석만 계좌로 35000원 입금 했는데 환불 받을려면 어떻게 해야 하나요?</t>
  </si>
  <si>
    <t>[기타문의] 안녕하세요 자주 문의드려 죄송합니다. 처음 신청할때 동반자로 노모 이름 넣었는데 그 동반자가 연로하셔서 못 가게 될 거 같아서요ㅜㅜ...다른 이름으로 바꾸고 싶어도 못 바꾸네요. 핸드폰 번호와 생년월일은 수정할 수 있게 되어 있는데ㅜㅜ</t>
  </si>
  <si>
    <t>답변 드립니다.
 신청자와 동반자 성함 변경이 가능하지 않습니다.
 취소,환불을 원하시면 사이트 내 하단에 신청 내역 확인 버튼 클릭 후 전화번호 11자리를 입력해주세요. 
 그리고 조회하기 버튼을 누르시면 관련 내용을 확인 가능합니다.
 하단에 드래그해서 내려보시면 중복입금/환불신청 칸이 있습니다.
 관련 정보 기입 후 "환불 신청하기"를 누르시면 확인 후 일괄처리 해드리겠습니다.
 감사합니다.</t>
  </si>
  <si>
    <t>[기타문의] 혹시 당일에 늦을 경우 중도입장도 가능한가요?
 해외에서 당일 아침 도착편으로 귀국 예정인데 비행기 지연 등 돌발 변수가 있을 수 있을 것 같아 문의드립니다.</t>
  </si>
  <si>
    <t>현경애</t>
  </si>
  <si>
    <t>[정보변경] 2인신청이 1인으로 잘못 등룩되었는데 어떻게 해야하나요</t>
  </si>
  <si>
    <t>변경은 어렵습니다. 혹 2차 오픈시 한번 더 신청 부탁드립니다. 양해 부탁드립니다.</t>
  </si>
  <si>
    <t>[입금/결제] [Web발신]
 농협 출금35,000원
 12/07 09:09 302-****-6006-91 윤석만(샘커 
 12/8 13:22 현재도 입금대기로 조회되고 있습니다. 확인해 주시기 바랍니다.</t>
  </si>
  <si>
    <t>답변드립니다. 
 입금대기상태가 정상입니다. 
 신청자내역에 계십니다.
 감사합니다.</t>
  </si>
  <si>
    <t>박채민</t>
  </si>
  <si>
    <t>[기타문의] 2차예매는 언제 열릴까요?</t>
  </si>
  <si>
    <t>추후 별도 공지드리겠습니다.</t>
  </si>
  <si>
    <t>[입금/결제] [Web발신]
 농협 출금35,000원
 12/07 09:09 302-****-6006-91 윤석만(샘커</t>
  </si>
  <si>
    <t>답변드립니다.
 신청내역에서 확인되십니다.
 감사합니다.</t>
  </si>
  <si>
    <t>[입금/결제] 이날 정신없이 보내서요... 김경숙3178 로 보낸거같은데...  맞게 왔나요?</t>
  </si>
  <si>
    <t>답변드립니다.
 신청자 내역에서 확인 되십니다.
 감사합니다.</t>
  </si>
  <si>
    <t>[기타문의] 동반자 :배우식 (550602)
 010 2377 2555</t>
  </si>
  <si>
    <t>사이트 내 하단에 신청 내역 확인 버튼 클릭 후 전화번호 11자리를 입력해주세요.
 그리고 조회하기 버튼을 누르시면 관련 내용을 확인 가능합니다.
 신청자 확인란에서 동반자 클릭 하시고 인적사항 기재후 저장 하시면 됩니다. 
 감사합니다.</t>
  </si>
  <si>
    <t>[정보변경] 착오가생겨 동반자취소 됐네요, 살려주세요,
 😭😭😭</t>
  </si>
  <si>
    <t>답변드립니다.
 현재 시스뎀상 저희가 도움드릴수없는점 양해부탁드립니다.
 감사합니다.</t>
  </si>
  <si>
    <t>[정보변경] 안녕하세요 
 문의 드립니다
 예약 하기전에 
 동반자를 20일까지는
 변경 가능하다해서
 예약할때 우선 등록을 했는데
 동반자를 바꿀 수 가 없는건가요?</t>
  </si>
  <si>
    <t>답변드립니다.
 예, 동반자 변경은 가능하지 않습니다.
 감사합니다.</t>
  </si>
  <si>
    <t>[기타문의] 신청자.황은옥.61.12.23
 010.9058.8084
 입금자명 황은옥으로 
 KB .70270101656969 으로 
 두번 한번은60000
 또 한번은 10000입금을 했어요
 KB79400104178355(윤석만)
 입금했는데 확인좀 부탁해요 신청란에 조회가 안되는거 보니 신청이 안된건지요?</t>
  </si>
  <si>
    <t>답변드립니다.
 현재 신청내역에서 확인되지 않으십니다.
 감사합니다.</t>
  </si>
  <si>
    <t>[취소/환불] 농협 
 302-0304-4992-41
 6만원, 주광옥(5676) 
 이중입금 되였네요,</t>
  </si>
  <si>
    <t>[정보변경] 제가 못 가게 될 상황인데 혹시 저희 누나가 제 신분증 가지고 가면 안 될까요?
 신청자가 못 가면 동반자도 같이 못 가는 건가요?
 동반자도 같이 못 가게 되면 너무 미안한 상황이라서요.
 선처 좀 부탁드려요.</t>
  </si>
  <si>
    <t>답변드립니다. 
 동반자만 오셔도 전혀 문제없으십니다.
 감사합니다.</t>
  </si>
  <si>
    <t>[기타문의] 티켓성공해서 입금했는데 아무연락이 없네요 어떻게 된것인지 궁금합니다</t>
  </si>
  <si>
    <t>답변드립니다.
 현재 신청자내역에서 확인되십니다.
 입금대기 상태는 정상이며 일괄처리 예정입니다.
 감사합니다</t>
  </si>
  <si>
    <t>[기타문의] 신청확인이 안된다고 뜨는데(조회확인)
 입금(2인) 했는데 혹시 신청이 안되었나요?</t>
  </si>
  <si>
    <t>성함, 연락처, 입금시점, 은행이름, 입금자명을 남겨 주십시오. 확인해 보겠습니다.</t>
  </si>
  <si>
    <t>박채빈</t>
  </si>
  <si>
    <t>[정보변경] 문의사항에도 여러차례 남겼는데 아들.딸이 당첨된것중 아들은 이미 박채빈으로 입금순으로 자리배정된다하니까 동반자 작성도 안하고 박채빈으로 신청 당첨되자마자 09시11분14초에 7만원 입금하고 딸이 당첨된것 지역에 사는 지지자 두명에게 박채빈1199로 입금하고 신청하게 하는 과정에서 오후 4-5시쯤 지지자 정보를 보냈는데 신청하는 과정에서 김영련010-3661-1199 신청자로 등록이되고 주영혜는 동반자로 등록이되여 먼저 아들이 신청자 등록하고 동반자를 마등록하고 7만원 입금한 박채빈 본인의 흔적을 찾을수가 없습니다. 신청접수증과 입금증도 있고 동반자 등록도 해야하는데 어떻게 된건지 확인이 안되니 답답하네요.입금자 신청인 박채빈으로 정보 변경을 해주실수 없나요???</t>
  </si>
  <si>
    <t>[기타문의] 자리 배정이 언제쯤 될까요??</t>
  </si>
  <si>
    <t>답변드릴수 없는 점 양해부탁드립니다.
 현재 시스템에서 자동 배정될 예정입니다.
 감사합니다.</t>
  </si>
  <si>
    <t>[입금/결제] 어제 입금을 했는데 아직 입금대기로 되어있습니다 확인 부탁드려요~</t>
  </si>
  <si>
    <t>답변드립니다.
 현재 입금대기 상태가 정상입니다.
 차후,일괄 처리 예정입니다.
 감사합니다.</t>
  </si>
  <si>
    <t>[기타문의] 콘서트 끝나는 시간이 대략 몇시쯤 될까요??</t>
  </si>
  <si>
    <t>콘서트시간은 14시 시작 17시에 끝날 예정입니다.
 감사합니다</t>
  </si>
  <si>
    <t>[취소/환불] 입금을 잘못했어요 취소환불부탁드립니다 국민은행 353210016572 이지현입니다</t>
  </si>
  <si>
    <t>[취소/환불] 동반자 취소건을 다시 원상복구하면 안될까요 동반자 주광옥은 입금결재된것이 취소처리됐나봐요 번거롭게 해드려 죄송합니다</t>
  </si>
  <si>
    <t>안타깝게도 현재 저희 시스템상으론 도움 드릴수가 없습니다. 양해부탁드립니다.</t>
  </si>
  <si>
    <t>[입금/결제] 12월7일 09시36분에 백은주8636. 으로 2인 60000원 입금.  현시간까지 입금대기로 나옵니다. 언제 좌석배정되는지 부탁드립니다</t>
  </si>
  <si>
    <t>답변드립니다.
 현재 입금 대기상태가 정상입니다.
 추후,일괄처리 예정입니다.
 감사합니다.</t>
  </si>
  <si>
    <t>[입금/결제] 아직 입금 대기로 되어 있던데 괜찮은걸까요?</t>
  </si>
  <si>
    <t>답변드립니다.
 현재 입금대기 상태가 정상입니다.
 감사합니다.</t>
  </si>
  <si>
    <t>[입금/결제] 아니면 이미 입금했는데, 다시 김종환4246 입금명으로 다시 입금을 해드려야하는지.. 오늘까지 입금인것같은데 확인 빠르게 부탁드려요.
 2025.10.07. 09:10:01 김지현으로 7만원입금함 (오기) 원래는 김종환4246으로 해야함</t>
  </si>
  <si>
    <t>확인하겠습니다.</t>
  </si>
  <si>
    <t>[기타문의] 가족들모여서 신청하면서 
 2인신청하려고 버벅대다가
 남편이름으로 예매 성공
 전화번호는 제 번호
 신청자: 남편이름
 입금자: 남편이름 +제핸폰 뒤4자리
 신청자 이름 못 바꾼다는다해서요
 각 신분증이랑 가족관계증명서 가져가면 되겠죠? 제가 찐입니다!</t>
  </si>
  <si>
    <t>[입금/결제] 아뇨! 저는 환불을 원하는게 아닙니다. “김종환4246”으로 입금을 못하고 오기로 “김지현”이름으로 입금드려서 그렇습니다. 입금으로 인정 및 좌석 배정 부탁드립니다.</t>
  </si>
  <si>
    <t>[기타문의] 양영주 우리은행 1002455337917 연락처 01029786549 입금시점 12.7일 오전 9시18분 43초/23분 13초 나중에 해주셔도 됩니다 감사합니다</t>
  </si>
  <si>
    <t>[기타문의] 본인이2인 신청한 내역이 뜨지않습니다 무슨일인가요</t>
  </si>
  <si>
    <t>성함, 연락처, 입금시점, 은행이름, 입금자명을 남겨주시기 바랍니다. 확인해 보겠습니다.</t>
  </si>
  <si>
    <t>[기타문의] 착오가있었네요,
 제가 당첨된줄알고 김영님 동반자신청을 취소하였더니 사라졌네요, 동반자취소 다시 살릴수 없어요?
 😭😭😭</t>
  </si>
  <si>
    <t>김민진</t>
  </si>
  <si>
    <t>[취소/환불] 노고 많으십니다. 제가 딸인데 엄마 표를 끊어주고 싶어서 신청했는데
 신청은 잘 된 것 같은데 알고보니 어머니도 신청하시고 저도 신청하여
 입금이 두번 되었습니다.
 어머니(신청자) 성함은 김소옥 010-3844-7139 입니다.
 입금도 저랑 엄마가 각각 하여 김소옥 7139로 두번 했는데
 이럴경우 어머님(신청자)이름으로 환불신청하면 되나요?  
 환불신청하면 혹시 표가 취소될까 겁이나서 아직 환불신청을 못했습니다.
 이럴 경우 딸이 입금한 금액만 환불신청 하면 되는거지요?
 혹시 전체 표가 취소되는 일은 없는 거죠??</t>
  </si>
  <si>
    <t>대표 신청자 이름으로 신청 내역 화면에 들어가셔서 중복 임금에 대한 환불 신청 하시면 됩니다. 환불 신청은 14일 자정까지이니, 참고하시기 바랍니다.</t>
  </si>
  <si>
    <t>[기타문의] 동반자취소를 변경할수는 없나요? 착각하고 동반자취소를 했더니 제가 취소되였네요, 😭😭😭</t>
  </si>
  <si>
    <t>한번 취소된 신청은 다시 회복이 어렵습니다. 참고 하시기 바랍니다.</t>
  </si>
  <si>
    <t>박진옥</t>
  </si>
  <si>
    <t>[기타문의] 신청 되었는지몰궁금하구
 입급을어디서해야하는지궁금합니다</t>
  </si>
  <si>
    <t>[취소/환불] 계좌번호 우리은행 307 07 043601 로환불처리부탁드립니다</t>
  </si>
  <si>
    <t>확인했습니다. 환불에는 시간이 걸리는 점 양해 부탁드립니다.</t>
  </si>
  <si>
    <t>[취소/환불] 답변감사합니다 
 환불접수: 김순아 
  금액  : 35,000
 신한은행: 110 341 754202
 김순아</t>
  </si>
  <si>
    <t>[정보변경] 덕분에 신청취소 완료했습니다. 다른 곳에 동반자로 등록하려고 하는데 아직도 동반자 전화번호가 이미 다른 신청에서 사용 중입니다. 라고 뜹니다. 확인 부탁드립니다.</t>
  </si>
  <si>
    <t>서윤정 대표 참가자의 동반자로 정보 확인됩니다. 서윤정님 전화번호로 신청내역 확인 화면으로 들어가셔서 확인 부탁드립니다.</t>
  </si>
  <si>
    <t>[취소/환불] 안예림'의 동반인으로 가게되었는데 티켓값을 동반인도 입금해야하는줄 알고 7만원을 중복 입금했습니다 '최수정 9423'으로 입금했습니다 환불 부탁드립니다
 신한 110 461 647703 최수정입니다</t>
  </si>
  <si>
    <t>확인했습니다. 다만, 환불에는 시간이 걸리는 점 양해 부탁드립니다.</t>
  </si>
  <si>
    <t>[입금/결제] 25년12월7일 9시9분 카카오뱅크에서 오금자 이름으로 송금하였습니다</t>
  </si>
  <si>
    <t>[취소/환불] '안예림'의 동반인으로 가게되었는데 티켓값을 동반인도 입금해야하는줄 알고 7만원을 중복 입금했습니다 '최수정 9423'으로 입금했습니다 환불 부탁드립니다</t>
  </si>
  <si>
    <t>[취소/환불] 이름 뒤에 전화번호 미기입으로 송금 해서 다시 재입금 했습니다. 두번째 입급한것을 환불 받고 싶습니다
 신한은행
 김혜성
 110.040.164025</t>
  </si>
  <si>
    <t>[정보변경] 동반자 변경은 언제가능한가요?
 입금후 자석배치는 언제가능한지요</t>
  </si>
  <si>
    <t>동반자 정보는 전화번호와 생년월일만 변경 가능합니다. 이름 변경은 불가입니다. 입금 이후, 좌석 배치될 예정입니다. 추후 공지 드리겠습니다.</t>
  </si>
  <si>
    <t>[입금/결제] 조희진 3990
 12월7일  09:09:11 입금
 전번뒷자리 기재누락으로
 문의사항에 남겨놓습니다
 감사합니다</t>
  </si>
  <si>
    <t>전화번호 단순누락은 관리팀에서 확인 후 승인합니다. 동명이인이 있을시에만 확인 전화를 드릴 예정이며, 그렇지 않은경우 정상적으로 접수처리 됩니다</t>
  </si>
  <si>
    <t>[입금/결제] 2인티켓 신청ㅡ실수로 입금시
 김나영 5712 09:15:45 
 김옥선 5943 09:18:26 따로 입금함.
 동반자 QR 받을 번호가  
 010-7765-6778로 받아야해서 
 체크하실때 확인 부탁드립니다.</t>
  </si>
  <si>
    <t>1. 입금 결제는 확인하겠습니다. 중복 입금에 대해서는 오늘 8일 18시까지 직접 환불 요청가능 하오니, 신청내역 화면에서 직접 신청 부탁드립니다. 2, 동반자 정보는 변경되어 있습니다.</t>
  </si>
  <si>
    <t>[취소/환불] 처음 입금자 노애경으로 입금하였고, 두번째 입금자 노애경5674로  중복 입금하였습니다.
 KB 654-21-0820-269
 예금주 노애경
 저의 실수로 번거롭게해서 죄송합니다^^</t>
  </si>
  <si>
    <t>[입금/결제] 입금확인요청
 성함 : 임묘순
 연락처 : 01052194960
 입금시점 : 2025.12.07 09:10:22
 입금자명 : 임묘순</t>
  </si>
  <si>
    <t>[취소/환불] 신청내역을 찾을수 없다고 하네요
 입금내역 캡쳐를 해났는데 찾을수 업다니 취소 신청합니다 
 계좌번호 12805572012001 입니다 
 우리은행 경현옥</t>
  </si>
  <si>
    <t>확인했습니다. 다만, 환불에는 시간이 걸리는 점 양해 부탁드립니다. 불편을 드려 죄송합니다.</t>
  </si>
  <si>
    <t>[기타문의] 좀전에 문의를 했는데 답변은
 언제 어떻게받나요?</t>
  </si>
  <si>
    <t>순차적으로 답변 진행중입니다. 참고 부탁드립니다.</t>
  </si>
  <si>
    <t>[입금/결제] 어제 오전에 신청하고 오후에 입금 했는데 지금 조회하니까 신청내역 없음으로 떴는데 신청 확인 바랍니다!</t>
  </si>
  <si>
    <t>나경희님께서는 예매가 안되셨습니다. 
 환불은 이체내역과 시간등을 적어 문의하기를 통해 다시접수 부탁드립니다.
 감사합니다.</t>
  </si>
  <si>
    <t>[입금/결제] 신청내역확인이 되지 않습니다. 
 성함 : 이혜은
 연락처 : 010 2313 2027
 입금시점 : 2025/12/07
 입금자명 : 이혜은 2027</t>
  </si>
  <si>
    <t>이혜은(2027)님은 안타깝게도 예매신청이 안되셨습니다.
 환불은 이체정보를(계좌번호.이름.시간 등) 적어 문의하기를 통해 다시 접수해주시기 바랍니다.
 감사합니다.</t>
  </si>
  <si>
    <t>김영진</t>
  </si>
  <si>
    <t>[기타문의] 신청완료가 되었다는 화면을 확인했는데 입금계좌를 확인할수가 없습니다.
 취소가 된건지 확인여부를 알려주세요.
 휴대번호를 잘못입력한것 같기도 합니다.</t>
  </si>
  <si>
    <t>신청은 입금계좌가 보여져야 완성이 됩니다. 김영진님께서는 안타깝게도 예매가 되지 않으셨네요.
 혹시 입금을 하셨다면 문의하기를 통해 환불신청을 해주시기 바랍니다.
 감사합니다.</t>
  </si>
  <si>
    <t>[입금/결제] 12/07 (일) 오전09시11분
 양영애8353 으로 입금하였는데
 금일 조회하여보니 입금대기인 상태입니다
 입금완료 여부 확인 부탁드립니다</t>
  </si>
  <si>
    <t>현재 '입금대기' 상태는 정상입니다. 취소/변경 요청에 따른 입금데이터 취합과 적용에 다소 시간이 걸리고 있어 양해를 부탁드립니다. 정상적으로 신청완료+입금하신 경우는 대부분 정상처리될 예정입니다.</t>
  </si>
  <si>
    <t>[기타문의] 신청자..주청주..59.1006일
 010.8798.9058
 동반자 .김지현으로되어있는데 
 동반자 이름만 수정해주세요
  황은옥.황은옥 .61.12.23
 010
 9058.8084이름 말고는 다맞아요?</t>
  </si>
  <si>
    <t>동반자 이름변경은 불가합니다. 입장시 신분증을 제시하셔야 하고 이름과 같아야합니다.
 감사합니다.</t>
  </si>
  <si>
    <t>[기타문의] 환불요청란에계좌번호 숫자하나를
 잘못입력했는데 어떻게 해야되나요
 문의란에는 계좌정확히. 적었는데 실수를 해서 죄송해요.</t>
  </si>
  <si>
    <t>오늘 18시까지 수정이 가능합니다. 직접 수정해 주시기 바랍니다.</t>
  </si>
  <si>
    <t>[정보변경] 제가 동반자 엄마 이름을 오타가 나서 김정자인데 김정진으로 입력했습니다
 생년월일 전화번호는 올바르게 입력했는데
 이름이 수정이 안되어요 ㅠㅠㅠ</t>
  </si>
  <si>
    <t>정보 수정했습니다. 신청내역 확인 화면에서 확인 부탁드립니다.</t>
  </si>
  <si>
    <t>[취소/환불] 환불은 어떡해 받나요 계좌번호 1002615071630 우리은행 오금순</t>
  </si>
  <si>
    <t>환불 받으실 금액, 이름, 연락처, 은행이름, 계죄번호, 예금주 정보를 남겨주시기 바랍니다.</t>
  </si>
  <si>
    <t>[취소/환불] 신청완료가돼서 돈은입금했는데
  안됐더라구요 그래서 환불
 부탁드립니다~</t>
  </si>
  <si>
    <t>안녕하세요. 환불정보를(환불받을 계좌번호 입금시간 입금자명) 입력하시어 문의하기를 통해 재신청 부탁드리겠습니다.</t>
  </si>
  <si>
    <t>[기타문의] 2건이 예약되었고 예약확인됩니다 1건은 7만원 입금자 "이혜원5193"
 또다른 한건은 35000원 (취소요청) 
 입금자명 "이혜원한동훈콘서트"
 이 예약은 예약내역에 확인되지않고 있어요</t>
  </si>
  <si>
    <t>[기타문의] 신청자 말고 동반자 이름을 잘못썼는데도 들어갈수있나요 .
 전화번호.주민번호는 똑바로썼어요 ,답변 주세요</t>
  </si>
  <si>
    <t>입장시 신분증 확인이 있습니다. 이름이 다를 경우 입장이 안되십니다. 동반인 변경은 불가하오니 단순 오기입이라면 문의를 통해 수정해드리겠습니다.
 수정해야 할 내용을 적어 다시 문의해주시면 감사하겠습니다.</t>
  </si>
  <si>
    <t>[기타문의] 35000원 2회입금하여. 1회 환불 요청
 드립니다</t>
  </si>
  <si>
    <t>안녕하세요. 예매자는 신청내역확인을 통해 환불접수가 가능합니다.
 신청내역확인 창 하단에 정보를 기입하여 환불접수 바랍니다. 감사합니다.</t>
  </si>
  <si>
    <t>[기타문의] 저(홍효정 010-9597-9412)는 2인신청 + 입금완료 했습니다
 동반자로 김정숙(010-2391-6517) 을 입력하려는데 
 김정숙이 주신청자로 등록되어있어 입력이 불가하다는 안내가 나옵니다. 
 (김정숙은 어제저녁에 신청취소 버튼 눌렀고 입금은 안한상황이라 환불은 불필요하여 환불신청은 하지 않았습니다.)
 제 동반자 정보가 기입되지 않으면 제신청도 취소되는것인가요? 
  동반자로 김정숙(010-2391-6517 /생년월일 580415) 꼭 지정부탁드립니다 제 어머니라서 꼭 같이 가야합니다. 어머니께서 한동훈 대표님 콘서트 참석을 매우 고대하고 계십니다. ㅠㅠ</t>
  </si>
  <si>
    <t>김정숙님을 동반 참석자로 정보 입력 했습니다. 홍효정님 신청내역 확인 화면에서 확인 부탁드립니다.</t>
  </si>
  <si>
    <t>[입금/결제] 1인신청됐다고 하길네 입금했습니다 신청이 된건지 문의 드립니다</t>
  </si>
  <si>
    <t>안녕하세요. 아쉽게도 신청자명단에 없으십니다.
 감사합니다.</t>
  </si>
  <si>
    <t>[기타문의] 동반자. 전화번호 주민번호는 맞게해는데 이름 다르게해도 들어갈수 잇나요</t>
  </si>
  <si>
    <t>신분증과 동반자 이름이 동일해야 합니다. 참고 부탁드립니다.</t>
  </si>
  <si>
    <t>[취소/환불] 중복입금중입니다 먼저입금됀건은환불요청드립니다</t>
  </si>
  <si>
    <t>성함, 연락처, 환불 요청금액, 은행이름, 계좌번호, 예금주 정보를 보내주시기 바랍니다. 확인 후 진행하겠습니다.</t>
  </si>
  <si>
    <t>[기타문의] 제가계속 문의드리는건
 이해가 안되서
 그래요ᆢ
 이름과 입금계좌가 떠서
 입금까지했는데
 신청이 안되었다는게
 납득이안가요
 그리고
 어제 문의답변에
 정상적으로 신청이되어서
 공지주신다고
 답변까지해주셨어요</t>
  </si>
  <si>
    <t>[입금/결제] 백창남 으로 신청했구요.한명따로신청했습니다.단지요금은 백창남.따로박재영따로 입금을했네요.
 백창남01053608750 농협251. 12 .163931.으로35,000입금
 박재영01053638750.신한110.109.861663.으로35,000으로보냈습니다.확인부탁 드립니다.</t>
  </si>
  <si>
    <t>[입금/결제] 타인꺼 티켓팅하는 과정에서 제가 티켓팅한게 성공한줄알고 입금 시켰습니다. (김형주 5673) 입금분 취소 부탁드립니다.</t>
  </si>
  <si>
    <t>환불을 위해, 이름, 연락처, 은행이름, 계좌번호, 예금주 정보 보내주시기 바랍니다.</t>
  </si>
  <si>
    <t>[취소/환불] 이름ㅡ신귀순
 연락처ㅡ010 8682 7188
 입금시점ㅡ7일 9시34분
 입금자명ㅡ신귀순
 환불계좌 ㅡ신한은행
 390ㅡ02ㅡ236862</t>
  </si>
  <si>
    <t>확인했습니다. 다만 환불 처리에 시간이 걸림을 이해 부탁드립니다. 감사합니다</t>
  </si>
  <si>
    <t>[기타문의] **차현주 하예진(동반자) 
 참석입니다. 
 취소한 
 **하대호 하예진(동반자)로 되어있어서 
 차현주 ,하예진동반자ㅈ등록이 안돼요.바로잡아 주세요~~please</t>
  </si>
  <si>
    <t>하예진 동반 참석자 이름 입력했습니다. 차현주님 신청내역 화면에 들어가셔서, 하예진님 전화번호와 생년월일 입력 부탁드립니다. 혹 진행이 안되시면 다시 문의해 주시기 바랍니다. 도움드리겠습니다. 감사합니다</t>
  </si>
  <si>
    <t>[입금/결제] 입금계좌는 문자로는 안오나요?</t>
  </si>
  <si>
    <t>[입금/결제] 김춘희3166 두번 입금 확인 한 다음에 환불 하는거 맞죠? 너무 긴장감에 불안함에 계속 문의드립니다.</t>
  </si>
  <si>
    <t>환불 신청 하셨으면 진행될 것입니다. 추후 도움이 더 필요하시면 문의 주시기 바랍니다.</t>
  </si>
  <si>
    <t>[입금/결제] 방금 환불 신청 하였습니다.
 잘 부탁 드립니다. 
 너무 기다리신 순간입니다. 
 얼른 자리 배정과 QR 코드를 받아야 안심될듯합니다!</t>
  </si>
  <si>
    <t>[입금/결제] 국민은행
 291601 04 159071
 이정숙
 일을 번거롭게 해 드려 미안합니다.</t>
  </si>
  <si>
    <t>확인했습니다. 환불 처리에는 시간이 걸리는 점 양해 부탁드립니다.</t>
  </si>
  <si>
    <t>[입금/결제] 김춘희3166 
 2번 입금 되었습니다.
 확인 후 아래 계좌 금액만 환불 부탁 드립니다.
 신한(이윤진) 
 110 337 469160
 김춘희 3166</t>
  </si>
  <si>
    <t>[취소/환불] 동반자가 불참할시
 14일까지만 취소하면 되는거죠?</t>
  </si>
  <si>
    <t>환불 기한은 14일 자정입니다. 다만, 미리 정보를 주시면 처리가 보다 원할하오니 참고 부탁드립니다.</t>
  </si>
  <si>
    <t>[입금/결제] 신청 하자 마자 마감되였다고 뜸니다 신청해주세요</t>
  </si>
  <si>
    <t>[입금/결제] 토크콘서트 많이 기다렸습니다 한동훈 대표님 정말 뵙고싶습니다 꼭 참석하게 해 주세요 감사합니다</t>
  </si>
  <si>
    <t>신청 확인 되십니다. 자세한 내용은 신청내역 확인 화면을 참고하시기 바랍니다. 21일에 뵙겠습니다.</t>
  </si>
  <si>
    <t>[기타문의] 남편과 제가 2인 신청으로 각각 당첨되었는데 서로 동반자 1인 취소하고 둘다 1인신청으로 예매되었습니다. 참가비 입금 시간이 서로 많이 달라 좌석이 떨어져 배정될것 같은데요 혹시 번거로우시더라도 나란히 좌석배정 받을 수 있을까요
 남편은 정성화 01036783705입니다</t>
  </si>
  <si>
    <t>좌석 배정은 입금순으로 진행이 원칙입니다. 양해 부탁드립니다.</t>
  </si>
  <si>
    <t>이중빈</t>
  </si>
  <si>
    <t>[기타문의] 제가 남편이름으로 입금했는데 가족관계 증명서 가져가면 될까요?</t>
  </si>
  <si>
    <t>신청내역 확인 화면에서 확인 부탁드립니다.</t>
  </si>
  <si>
    <t>[입금/결제] 박영순57년4월16일 2명 예약은됐는데 010 2502 5763번호로 확인하기를 해도 신청조회가 안된다고나옵니다..입금시간이 다되가는데 입금계좌도 모르고 입금계좌좀 제번호로 알려주세요~010 6354 1363으로 부탁드립니다~~</t>
  </si>
  <si>
    <t>[취소/환불] 취소 부탁드립니다 
 손영숙  
 국민은행 820401ㅡ01ㅡ061285
 지방 멀리서 오시는분께 양보합니다</t>
  </si>
  <si>
    <t>취소 및 환불 진행하도록 하겠습니다. 다만, 환불 처리에는 시간이 걸리는 점 양해 부탁드립니다.</t>
  </si>
  <si>
    <t>[정보변경] 1인 신청했습니다. 신청자는 저인데요. 가실분은 저희 엄마입니다. 김하나에서 윤점례로 변경부탁드립니다. 전화번호랑 생년월일은 제가 수정하겠습니다</t>
  </si>
  <si>
    <t>박규순</t>
  </si>
  <si>
    <t>[취소/환불] 박규순
 010 7662 5506
 560922
 환불계좌 (우리 1002 732 823895)
 사이트가 정식 오픈하기 전
 카카오뱅크로 송금했음
 재티켓팅을 했는데 
 오류로 인해서인지
 완료 되었다는 메세지가 뜬 후
 금방 사라져서 제대로 되었는지 알 수가 없음 확인하기에서도 확인안됨</t>
  </si>
  <si>
    <t>[정보변경] 수고 많으십니다 문의내용을 잘못 보신거 같은데 답글 주신 내용 동반자 이름 변경이 아니라 전화번호 수정이 안되서 문의 드린거에요 전번 뒷자리 숫자 하나만 수정 하면 되는데(1203 -1023으로) 지금도 (다른신청에서 사용중) 같은 메세지만 뜨고 수정이 안되고 있네요 다시 확인 부탁 드립니다
 수정이 오늘 까지 안되면 입장 못하나요?
 신청내역 있고 생년월일은 정확히 기재 했어요 전번 뒷자리숫자 하나만 뒤바뀐 상태 입니다 번거러우시더라도 시간이 없으니 빠른 답 부탁드립니다</t>
  </si>
  <si>
    <t>동반 참석자 이현정님의 전화번호 뒷자리 수정했습니다. 
 (1203 -&gt;1023). 신청내역 확인 화면에서 확인 부탁드립니다. 
 혹 도움이 더 필요하시면 문의 남겨주시기 바랍니다.</t>
  </si>
  <si>
    <t>[입금/결제] 임급시점:12월8일 오전7시25분경
 입금자명:이경훈 7083
 신청자명:이경훈
 연락처:01048417083
 임금후에도 임금대기,좌석대기,Q코드대기 입니다.</t>
  </si>
  <si>
    <t>[입금/결제] 노영숙 01035346512 노영숙  9시21분 우체국 입니다 확인완료 입금완료 질문에 상세설명에 대한 답변입니다</t>
  </si>
  <si>
    <t>[입금/결제] 어제 오전 9시23분에 김수지0562로 7만원 입금된 거 확인 부탁드립니다!</t>
  </si>
  <si>
    <t>[입금/결제] 아직도 입금대기 상태인데 확인 부탁드립니다 !</t>
  </si>
  <si>
    <t>[기타문의] 제가요 티켓팅 성공했는데 
 정신없다보니 1인신청으로
 접수해서 저 대신 아내가 입장가능
 한지요? 참석 할수있게해주세요ㅠ</t>
  </si>
  <si>
    <t>신청자 이름 정보 변경은 원칙적으로 어렵습니다. 많은 양해 부탁드립니다. 감사합니다</t>
  </si>
  <si>
    <t>[입금/결제] 어제아침 9시7분에 입금완료하였으나 아직도 입금대기로 뜨고있습니다 확인부탁드립니다</t>
  </si>
  <si>
    <t>[취소/환불] 09:09 안은숙 5404
 09:11 안은숙 5404
 중복입금 되었습니다
 09:11 안은숙 5404 입금은 
 다음계좌로 환불 요청드립니다
 기업은행 335 002855 03 018</t>
  </si>
  <si>
    <t>[기타문의] 2명 예약은됐는데 확인하기가 안되서 계좌번호도알수가없고 다음단계로 넘어가서 정보입력도 안돼요~~입금계좌를 문자로받을수는 없나요?</t>
  </si>
  <si>
    <t>[취소/환불] 분명1차접수라고 했는데 증거사진을 안 남긴게 아쉽네요,,,
 환불계좌
 신한은행
 110 244 927617
 김인혜
 35,000</t>
  </si>
  <si>
    <t>확인했습니다. 환불은 순차적으로 진행되어 다소 시간이 걸리는 점 양해 부탁드립니다. 워낙 사람이 몰려서, 신청이 어려웠던 점 죄송하고 양해 부탁드리겠습니다.</t>
  </si>
  <si>
    <t>[정보변경] 수정해주신010 2502 5763으로확인하기를 계속눌러도 안들어가져요..입금을해야되는데 입금계좌좀 알려주세요~~계속 확인이 안되면 어떻게해야되나요?</t>
  </si>
  <si>
    <t>[취소/환불] 빠른 답변감사합니다..여기 파일 첨부가 안 되서 이체 내역을 어떻게 증명해야할지 모르겠는데 12월 7일 오전 9시 15분 우리은행 김민성으로 35,000원 입금하였습니다
  김민성(010 4705 1835)는 신청자 명단에 없어 문의하기 통해 환불요청드려요 
 입금계좌는 우리 1002829019878 (예금주:김민성)입니다..감사합니다</t>
  </si>
  <si>
    <t>[기타문의] 각각의 두사람이 1명의 
 정보로 티켓 당첨이 둘다 
 되었을 경우 1명분 만 
 인정이 되나요?</t>
  </si>
  <si>
    <t>[입금/결제] 신청자명-김미숙
 연락처-010-2211-7611
 입긍시점-2025,127 09시 33분
 입긍자명-김미숙</t>
  </si>
  <si>
    <t>[정보변경] 입금때 (서경숙 9675 ) 표기못했습니다</t>
  </si>
  <si>
    <t>[기타문의] 신청완료하고 입금을 09:17:38 에 입금을 하였고
 근데 확인을 하니 입금대기 라고 나와 있어서 걱정이 되어서
 저녁에 다시 입금을 하였어요
 근데 오전에 입금된게 잘못될까 환불을 나중에 할려고 하는데 괜찮을지요</t>
  </si>
  <si>
    <t>[입금/결제] 입금은 신한 9:25분 입금 입금자 동일 김혜란입니다</t>
  </si>
  <si>
    <t>신창자 내역에서 확인되십니다.감사합니다</t>
  </si>
  <si>
    <t>[정보변경] 신청완료 확인되어 입금했는게 계속 제 전번으로 확인이 안되고 있습니디 ㅠㅠ 김혜란 01047442120 700313 입니다</t>
  </si>
  <si>
    <t>성함, 연락처, 은행 이름, 입금자명, 입금시점을 남겨 주시기 바랍니다. 확인하겠습니다.</t>
  </si>
  <si>
    <t>[취소/환불] 이중입금ㆍ
 번거롭게 해드려 죄송합니다
 임애리ㆍ
 카카오뱅크ㆍ3333 33 6921675</t>
  </si>
  <si>
    <t>[취소/환불] 신청완료 된줄 알고 입금했습니다
 sc제일은행 100-20-221890 임순빈 계좌에서
 12/7 09:28:58 에 입금했습니다.
 위계좌로 35,000원 환불 요청합니다.
 번거롭게 해서 죄송합니다.</t>
  </si>
  <si>
    <t>신청 사이트에 직접 들어 가셔서 신청 내역 확인 하기 누르시고, 전번11자리 입력 후 조회하기 누르시면 관련 내용 확인 가능하십니다. 하단 아래로 드래그 하시면 중복입금/환불신청 칸이 나옵니다. 관련 정보 기입 후 "환불 신청하기"를 누르면 확인 후 일괄처리 해드리겠습니다. 감사합니다.</t>
  </si>
  <si>
    <t>[취소/환불] 이은경 이름으로 9시11분14초에 입금 했고
 이미화 이름으로 9시22분24초에 다시 입금 했는데
 어떤 걸로 확정이 돼서 자리 배정이 되는지 알려주실 수 있나요?
 중복 입금이라 하나는 환불 신청 해야 되는데 멀쩡한거 취소 돼서 잘못 될까봐 (입장 못 할까봐) 취소를 못 하고 있어요</t>
  </si>
  <si>
    <t>안녕하세요. 2인신청으로 예매확인됩니다. 정확한 데이터를 바탕으로 입금하셨으면 둘 중 하나를 환불신청 해주시면 됩니다.
 신청내역확인 창 하단부 중복환불신청을 해주시기 바랍니다. 감사합니다.</t>
  </si>
  <si>
    <t>[기타문의] 안녕하세요 입장시 큐알코드만 확인하는 건가요? 아니면 신분증도 확인하는지요?</t>
  </si>
  <si>
    <t>답변드립니다.신분증 확인도 합니다.</t>
  </si>
  <si>
    <t>[입금/결제] 입금계좌 안나와서요..입금계좌를 알수있을까요?</t>
  </si>
  <si>
    <t>신청내역 확인에서 가능합니다. 모바일 화면 아래의 '확인' 버튼 또는, 중간에 "신청내역 확인" 버튼을 클릭하시면, 계좌번호 확인 가능합니다. 확인 부탁드립니다.</t>
  </si>
  <si>
    <t>[입금/결제] 네 맞습니다. 신청자 010-6221-4246 김종환, 입금자명 오기로 입금했습니다.
 2025.12.07. 09:10:01 우리은행 “김지현”으로 7만원 입금했습니다.
 확인후 꼭 처리부탁드립니다!</t>
  </si>
  <si>
    <t>신청 사이트에 접속하셔서 직접 환불 신청 하실수 있습니다. 신청 사이트 하단의 신청내역 확인하기 누르시고 전화번호 11자리 입력후 조회하기 버튼 누르시면 관련내용 확인가능합니다.드래그하여 하단 보시면 중복입금/환불신청칸이 있습니다. 관련정보 기입후 환불 신청하기를 누르시면 확인후 일괄 처리 해드리겠습니다.</t>
  </si>
  <si>
    <t>[기타문의] 충분히 바쁘신거
 이해합니다
 연로하신 언니를대신해
 제가 티켓팅을
 했습니다
 (한순실
 010.8591. 1123)
 입금까지 모두완료
 하고
 6만원입금후
 35000원씩
 다시 입금했어요
 (35000원이라고
 해서)</t>
  </si>
  <si>
    <t>지은아님 계속해서 문의를 주고 계신데 지은아님과 한순실님 두분 다 안타깝게도 예매자 명단에 없으십니다.
 문의하기에서 환불내역을 적어 환불신청 해주시기 바랍니다.
 감사합니다.</t>
  </si>
  <si>
    <t>[취소/환불] 한컷 명의 김미영 (에밀리아) 입니다. 콘서트 신청인은 김미영 3217로 되어 있습니다.
 "신청완료 후 입금까지 완료하였으나, 현재 신청내역 확인이 되지 않는 분들은 '문의하기'에 성함, 연락처, 입금시점, 입금자명을 남겨주세요. " 메시지 따라 문의 올립니다.
 (성함) 김미영
 (연락처) 010-9727-3217 
 (입금시점) 
 2025.12.07 09:10:41  35,000원  (받는통장 표시) 김미영3217
 2025.12.07 09:23:50 35,000원  (받는통장 표시) 김미영321732173217
 2025.12.07 17:40:48  35,000원  (받는통장 표시) 김미영 32173217
 (입금자명) 김미영
 (환불계좌) 농협은행 302 0908 3919 91 (예금주 : 김미영)
 (환불금액) 70,000원</t>
  </si>
  <si>
    <t>문제 해결을 위해 연락드리도록 하겠습니다.</t>
  </si>
  <si>
    <t>[정보변경] 전화번호 수정해주셨는데 확인하기가 안되요ㅠㅠ박영순57년4월16일 010 2502 5763 으로 수정됐는데 왜확인하기가 안들어가질까요?확인좀부탁드려요~~ㅠㅠ</t>
  </si>
  <si>
    <t>확인하고 폰번호 수정 해드렸습니다. 2인예매 확인되십니다. 신청내역확인은 시간이 조금 필요할 수 있습니다. 감사합니다.</t>
  </si>
  <si>
    <t>[기타문의] 좀전답변에는
 정상이라고
 답변주셨잖아요ㅜㅜ
 공지한다고ᆢ
 어떠케
 이렇겨 미흡할수가있나요ㅜ</t>
  </si>
  <si>
    <t>많은 문의량에도 불구하고 한분도 소홀함 없이 응대중입니다. 성함,연락처 신청내역을 남겨주시면 문제 해결에 최선을 다하도록 하겠습니다.</t>
  </si>
  <si>
    <t>[정보변경] 전화번호 오기입 변경해주셨는데 01025025763으로 확인하기에 들어가지지가 않아요~~왜안들어가지지요?</t>
  </si>
  <si>
    <t>내일 아침에 한번 더 시도해보시고 안되면 문의 남겨주십시요 . 현재 데이터 처리중이라 수정 결과치 반영까진 시간이 좀 걸립니다.</t>
  </si>
  <si>
    <t>[입금/결제] 신청자 : 정경희
 동반자 : 이상준
 예금주 : 정경희 
 계좌정보 : 1002-339-083359 (우리은행)
 이체금액 : 70,000
 예금주 : 정경희4585을 미처 숙지하지 못해서 정경희로 이체했습니다! 확인 바랍니다.</t>
  </si>
  <si>
    <t>[정보변경] 이름이 김경신인데 김성신으로 되어 있어서 안바꿔도 되는지요. 동반자가 아니고 신청자입니다</t>
  </si>
  <si>
    <t>관리자가 수정완료 해드렸습니다. 김성신=&gt;김경신 ,수정완료. 감사합니다.</t>
  </si>
  <si>
    <t>[정보변경] 박영순57년4윌16일2인신청완료됐는데 전화번호입력을 잘못입력해서 확인하기가 안들어가져요~~전호번호를 01025025763으로 변경해주시면안될까요?</t>
  </si>
  <si>
    <t>참가신청자 박영순님의전화번호 오기입 수정,010 6250 2576번을 010 2502 5763번으로 수정완료 해드렸습니다.감사합니다.</t>
  </si>
  <si>
    <t>[기타문의] 죄송합니다 
 제 전화번호가 잘못되었네요
 경현옥 01041147399 입니다</t>
  </si>
  <si>
    <t>안녕하세요 경현옥님은 예매자 명단에 없으십니다.
 이름을 정확히 기입하신건지 확인바랍니다.
 신청내역확인을 클릭하시고 전화번호 입력하여 신청 되었는지 직접 확인하실 수 있습니다.</t>
  </si>
  <si>
    <t>[취소/환불] 중복입금자입니다.
 제 이름으로 신청 후에 신청완료 된 줄 알고 입금을 했습니다. 지은자님이 동반자로 신청을 해 주어서 신청확인으로 조회가 된 거였습니다..
 입금자ㅡ김해영2831
 금액ㅡ70000원
 입금일자ㅡ12월 7일 9시 18분
 환불계좌ㅡ단위농협 741066 52 112601 김해영</t>
  </si>
  <si>
    <t>안녕하세요. 지은자님 김해영님 두 분 다 신청명단에 있습니다. 
 신청내역확인 버튼 클릭하시고 하단에 있는 중복입금/환불절차를 이용해 주시기 바랍니다.</t>
  </si>
  <si>
    <t>[취소/환불] 저는입금은했는대 당첨이댔는지안댔는지잘모르겠습니다 사이트들어가면안댔다고나와요 당첨확인좀부탁드립니다 안됬으면 우리은행 307 07 043601 로 환불부탁드립니다</t>
  </si>
  <si>
    <t>환불 요청 진행하겠습니다. 다만, 환불 처리에 시간이 걸리는 점 양해해 주시기 바랍니다.</t>
  </si>
  <si>
    <t>[취소/환불] 신청완료라고 봤는데
 신청확인 안 되네요
 신청안됐으면 잘못해서 2번 입금했어요 
 환불취소합니다
 신한은행 747-04-053070
 신혜연</t>
  </si>
  <si>
    <t>신혜연님은 신청으로 확인이 되십니다.신청내역확인을 누르시고 전화번호를 기입해 내용 확인 가능합니다.
 확인이 안되면 다시 문의주시기 바랍니다.
 중복입금환불 역시 신청내역확인 창 하단에서 신청하실 수 있습니다.</t>
  </si>
  <si>
    <t>송보라</t>
  </si>
  <si>
    <t>[기타문의] 취소된 표라도 구할수 없을까요?????</t>
  </si>
  <si>
    <t>현재 정리중입니다. 추후 2차에매를 하게되면 공지드리겠습니다. 감사합니다.</t>
  </si>
  <si>
    <t>[기타문의] 신청내역확인에 클릭하면 신청내역을 확인할수 없다라고 계속 뜨네요
 하루종일 &gt;&gt;..ㅠㅠㅠㅠㅠ</t>
  </si>
  <si>
    <t>안녕하세요. 김인혜님(0306)께서는 신청자 명단에 없습니다.
 혹시 입금을 하셨다면 문의하기를 통해 환불내역을 적어 다시 접수해 주시기 바랍니다.</t>
  </si>
  <si>
    <t>[기타문의] 한순실0108591 1123
 언니가연로하셔서
 저에게답변주셔야해요
 한순실이름
 계좌입금했어요ㅜㅜ</t>
  </si>
  <si>
    <t>안녕하세요. 지은아3799. 한순실1123님으로 예매내역이 없습니다.
 환불절차로 다시 문의 주시면 감사하겠습니다.</t>
  </si>
  <si>
    <t>[정보변경] 답변주신 방법으로 전번오기 수정 수십번 했고 방금 또 했으나 같은 메세지 (이미 다른신청에서사용중)만 계속 뜨고 수정이 안되고 있어요 혹시 시스템에 문제가 있는건 아닐까요? 
 수정이 내일 까지 인데 맘이 급해지네요</t>
  </si>
  <si>
    <t>확인중입니다. 불편함을 드려 죄송합니다. 조금 기다려주시면 감사하겠습니다.
 동반자 이름은 바꿀 수 없습니다..그래서 오류가 생긴 것 같습니다.</t>
  </si>
  <si>
    <t>[입금/결제] 신청자;김인혜
 010 3566 0306
 입금시간; 09시25분8초
 입금자; 김인혜
 1자접수확인과 입금확인 부탁드립니다,</t>
  </si>
  <si>
    <t>안녕하세요. 김인혜님(0306)께서는 신청자 명단에 없습니다.
 번거로우시지만 문의하기를 통해 계좌번호와 입금액을 적어 환불접수 해주시기 바랍니다.</t>
  </si>
  <si>
    <t>[기타문의] 동반자 이름표기없이 2인 입금완료함(신청자 : 진승엽,동반자: 신명옥</t>
  </si>
  <si>
    <t>답변드립니다. 사이트내 "신청내역확인" 버튼 클릭하시고 전화번호 11자리 입력하신 다음 "조회하기" 누르시면 관련 정보확인이 가능합니다. 입금완료는 8일중으로 확인하실 수 있습니다.</t>
  </si>
  <si>
    <t>[기타문의] 계좌번호 에
 이름이
 적혀있어요
 ㅜ한순실01085911123
 입금했어요</t>
  </si>
  <si>
    <t>이체내역과 계좌정보 입력 후 환불신청 바랍니다.</t>
  </si>
  <si>
    <t>[기타문의] 결제계좌랑이름이
 확인해주세요
 한순실
 01085911123</t>
  </si>
  <si>
    <t>[기타문의] 신청확인을 확인할수 없다라고 나오네요
 입금했고 1차접수완료라고 했는데 계속 그렇게 뜨네요
 접수가 안된건지 확인이 안된건지 확실하게 답변 부탁드립니다.</t>
  </si>
  <si>
    <t>안녕하세요. 김인혜님(0306)께서는 신청자 명단에 없습니다.
 혹시 입금을 하셨다면 환불문의로 다시 접수해 주시기 바랍니다.</t>
  </si>
  <si>
    <t>[기타문의] 전번넣어도
 신청내역이없다고
 나와요
 ㅜㅜ결제초과되서
 그런가요
 ?
 선생님확인해주세요
 제발요ㅜㅜㅡ</t>
  </si>
  <si>
    <t>네 고객님, 신청 인원수가 모두 마감되었습니다. 또한 확인해 보니 고객님께서는 미신청자입니다.
 1차 신청자 분들 중 미입금 등 누락분이 발생하면 2차 티켓팅을 실시합니다. 진행 순서는 1차 때와 같습니다.
 혹여나 2차 티켓팅이 진행될 시에는 시간대와 날짜는 추후 공지하도록 하겠습니다.
 감사합니다.</t>
  </si>
  <si>
    <t>[취소/환불] 중복입금으로 문의드렸는데요..장현옥(010 5256 4565)로 신청되었고 장현옥 이름으로 저희 오빠가 입금을했어요..근데 제가 확인해보니 입금대기로 나와있어 입금을 다시 김민성으로 했어요..김민성(010 4705 1835)은 신청자 명단에 없습니다..그래서 제가 장현옥 이름으로 환불신청을 하면 저희 엄마것이 신청이 취소되는게 아닌가 싶어서요..이경우 어떻게 제가 중복입금한 것만 환불신청을 해야할까요? 혼선을 드려서 죄송합니다</t>
  </si>
  <si>
    <t>안녕하세요. 장현옥님은 신청이 확인됩니다. 정확히 장현옥님으로 입금을 하셨다면
 환불신청은 김민성으로 하셔야합니다.
 김민성님은 예매자가 아니므로(예매자 환불절차를 이용할 수 없습니다.) 김민성님의 계좌이체내역과 계좌번호를 적어 문의하기를 통해 환불신청 해주시기 바랍니다. 감사합니다.</t>
  </si>
  <si>
    <t>[입금/결제] 예매 1인신청:김세연 010 3376 5736 입니다.
 김세연 5736 
 35,000원(입금시간:9시20분)
 김영희 
 35,000(입금시간:9시13분)
 2번 입금했습니다.
 김영희 35,000 환불 요청합니다
 환불받을계좌(KB국민은행 41940104157510)</t>
  </si>
  <si>
    <t>안녕하세요. 사이트내 하단에 신청내역 확인 버튼 클릭 후 전화번호를 입력하시고 조회하기 클릭 후 하단으로 드래그해서 내려보시면 중복입금/환불 신청 칸에서 환불신청 하실 수 있습니다. 확인 후 일괄 처리 해드리겠습니다. 
 감사합니다.</t>
  </si>
  <si>
    <t>[기타문의] 농협: 207054 52 313045
  금동남</t>
  </si>
  <si>
    <t>사이트 내 하단에 '신청내역 확인' 버튼 클릭 후 전화번호 11자리를 입력하세요. 그리고 '조회하기' 버튼을 누르시면 관련 내용을 확인 가능합니다.
 하단에 드래그해서 내려보시면 '중복입금/환불 신청' 칸이 있습니다.
 관련 정보 기입 후 '환불 신청하기'를 누르시면 확인 후 일괄 처리 해드리겠습니다.
 감사합니다.</t>
  </si>
  <si>
    <t>[기타문의] 제가 처음 입금할때 뒤에 전화번호 안적고 입금해서 
 한번더 입금해서 중복입금이 되었습니다
 첫번째 입금 환불을 받으려면 어떻게 해야하나요?</t>
  </si>
  <si>
    <t>[입금/결제] 입금시 성명뒤에 핸폰뒷자리 붙임 방법 몰라서 국민은행atm 탓만 했습니다 8일 오전 중 지점 방문 창구에서 전표 송금해도 되겠지요?</t>
  </si>
  <si>
    <t>참가 신청 링크에서 첫번째 화면에서 입금 계좌 확인하실 수 있습니다. 신청 매수(1매 또는 2매)를 꼭 확인하시고, 참가비를 송금하시기 바랍니다. 입금 시한은 8일 12시(정오)입니다.
 참고 바랍니다. 
 감사합니다.</t>
  </si>
  <si>
    <t>[기타문의] 선생님
 너무바쁘신건아는데요ㅜ
 입금
 35000원씩 따로따로
 한순실35000
 지은아35000하고
 다시
 6만원 한순실로 입금했는데
 신청내역이
 안떠요ㅜㅜ어떻게된건지
 확인부탁드립니다</t>
  </si>
  <si>
    <t>예매자가 아니십니다. 문의하기 통해 환불신청 해주시기 바랍니다. 환불받을 분 계좌정보 정확히 기재 부탁드립니다. 감사합니다.</t>
  </si>
  <si>
    <t>[기타문의] 동반자신청은 어디에서 하는지요?</t>
  </si>
  <si>
    <t>현재 고객님께서는 '2인 신청자'로 확인됩니다. 김영님께서 신청을 해주셨어요.
 신청내역확인 버튼을 눌러 정보기입 가능합니다.
 감사합니다.</t>
  </si>
  <si>
    <t>[기타문의] 이현정 취소요청을 했는데 타인의 동반자로 제 번호 등록이 안돼요 중복된 이름이라 안된다고 변경불가 메세지 뜹니다 전번 01046261023 신청자가 취소했는데 상기 번호를 타인의 동반자 연락처에 수정 하려니 입력이 안됩니다. 글로 쓰자니 설명이 복잡한데 직접 통화 했음 좋겠습니다</t>
  </si>
  <si>
    <t>깅해영</t>
  </si>
  <si>
    <t>[입금/결제] 신청 후에 신청완료 된 줄 알고 입금을 했는데 지인이 동반자로 신청을 해 주어서 신청확인으로 뜬 거었어요. 
 입금자ㅡ김해영2831
 금액ㅡ70000원
 입금일자ㅡ12월 7일 9시 18분
 환불계좌ㅡ단위농협 741066 52 112601 김해영</t>
  </si>
  <si>
    <t>답변드립니다. 사이트내 신청확인 버튼 클릭후 전화번호11자리 입력하시고 조회하기 누르시면 관련내용 확인이 가능하십니다. 하단에 드레그해서 내려보시면 중복입금/환불신청 칸이 있습니다. 관련 정보 기입후 환불 신청하기를 누르시면 확인후 일괄처리 해드리겠습니다. 감사합니다.</t>
  </si>
  <si>
    <t>[기타문의] 성함: 김순아
 연락처: 010 7450 4577
 입급자: 김순아
 입급시각: 12/7 09:47:33</t>
  </si>
  <si>
    <t>안녕하세요. 김순아님께서는 예매자 명단에 없으십니다.
 번거로우시더라도 문의하기로 계좌정보와 금액을 적어 환불접수 해주시기 바랍니다.
 감사합니다.</t>
  </si>
  <si>
    <t>[취소/환불] 동반자 주광옥은 이중티켓으로 취소한거 환불은 농협 352 1915 518053 김영 계좌로 35000원환불 입금해주시면 됩니다</t>
  </si>
  <si>
    <t>사이트내에 신청내역 확인 버튼 클릭 후 전화번호 11자리 입력하시고 조회하기 버튼 누르시면 관련내용 확인이 가능하십니다.하단에 드레그해서 내려보시면 중복입금/환불 신청칸이 있습니다. 관련 정보 기입후 환불 신청하기를 누르시면 확인후 일괄 처리 해드리겠습니다. 감사합니다.</t>
  </si>
  <si>
    <t>[기타문의] 조회가 왜안되나요ㅜㅜ
 입금을
 두번해서그런가요?</t>
  </si>
  <si>
    <t>성함, 연락처, 입금 시점, 은행이름을 남겨 주시기 바랍니다. 확인후 공지드리겠습니다.</t>
  </si>
  <si>
    <t>[정보변경] 동반인이 변경되어 수정했는데
 이름은 수정이 안되어도 괜찮나요?
 입장시 민증확인때 이름과 주민번호가 틀린데 괜찮나요?</t>
  </si>
  <si>
    <t>입장시 신분증과 입력된 정보가 동일해야 합니다. 참고 부탁드립니다.</t>
  </si>
  <si>
    <t>[정보변경] 동반자 정보변경 직접하려는데 불가하다고 계속 메세지 뜬다고요!!!!
 자꾸 된다고 하지 마시고요. 아래 문의 사항을 제대로 읽어 주세요! 
 8일 18시까지 변경해야 한다고 하시는데 직접 수정이 안됩니다. 시스템 좀 확인해 주세요. 동반자 이현정 전번 010 4626 1023 으로 변경되게 살펴 봐 주세요</t>
  </si>
  <si>
    <t>동반자 전화번호가 이미 사용중인 번호로 확인되므로 수정이 안됩니다. 더 살펴보겠습니다.</t>
  </si>
  <si>
    <t>[취소/환불] 신청된줄 알고
 입금했습니다
 나중에 확인하니 안된거네요ㅜ
 환불계좌
 국민 347 21 0261 158
 금액 70,000 원</t>
  </si>
  <si>
    <t>답변 미등록 상태에서 처리가 가능합니다.
 번거로우시더라도 이체정보.계좌번호를 적어 문의하기를 통해 다시 한 번 환불접수 부탁드리겠습니다.
 감사합니다.</t>
  </si>
  <si>
    <t>[기타문의] 꼭전화번호 수정부탁드려요~~낼까지 입금해야되서요..부모님이 꼭참석하구싶다고 하셔서요..부탁드립니다~~</t>
  </si>
  <si>
    <t>답변드립니다. 사이트내 하단에 "신청내역 확인" 버튼 클릭하시고 전화 번호 11자리 입력하세요. 다음 "조회하기" 버튼 클릭 하시면 관련 내용 확인가능하십니다. 하단에 드레그해서 내려 보시면 신청자 정보 수정 란이 있습니다. 직접 수정 하시면 됩니다.감사합니다.</t>
  </si>
  <si>
    <t>[입금/결제] 저처럼 7만원을 한번에 안넣구
 따로 한 사람은 취소건만 있어서
 수정이 안되어 입금시간,입금자이름 문의에 남겼으니 확인 부탁드리겠습니다ㅜ</t>
  </si>
  <si>
    <t>[취소/환불] 저를 동반자로 신청한 이영표님이 이미 입금하였는데 제가 중복입금하였으므로 이영표님이 대표로 환불신청하였으니 제 문의는 취소하겠습니다 감사합니다</t>
  </si>
  <si>
    <t>[입금/결제] 신청하고 확인까지 눌렀기에 당연히 됐는줄알고 입금했는데 신청이 되지않았다고뜨네요ㅠ확인부탁드립니다</t>
  </si>
  <si>
    <t>안녕하세요. 이복남님은 안타깝게도 예매자 명단에 없음을 알려드립니다.
 번거로우시더라도 환불은 문의하기를 통해 다시 신청해주시기 바랍니다. 감사합니다.</t>
  </si>
  <si>
    <t>[입금/결제] 2인신청했는데 입금시 한번에 7만원을
 입금 안하고ㅜㅜ(1인만 된줄알고..)
 김나영 5712 09:15:45 
 김옥선 5943 09:18:26 
 따로 입금했는데 입장은 가능한거죠?
 ㅜㅜ</t>
  </si>
  <si>
    <t>입금 정보 확인시 고려하겠습니다.</t>
  </si>
  <si>
    <t>[기타문의] 중복 입금이 되어 계좌번호를
 남깁니다 
 국민은행 조재희
 827-21-0161-375</t>
  </si>
  <si>
    <t>[입금/결제] 중복입금 되었습니다 
 권영진 
 기업은행 001-125460-02-017 
 권영진9389
 35,000원 2번 중복입금했어요</t>
  </si>
  <si>
    <t>[취소/환불] 이중입금을했네요 신인호 라고만해서부친것을 환불밭으려합니다SC제일은행 27620262824 신인호 입니다 (01052032015)</t>
  </si>
  <si>
    <t>[정보변경] 동승인 정보변경요청 
 기존 김현영으로 신청했으나, 
 아래로 변경 부탁합니다
 민충식 010 4194 1645
 주민번호 820710</t>
  </si>
  <si>
    <t>답변드립니다. 동반1인의 성함변경은 가능하지 않습니다. 감사합니다.</t>
  </si>
  <si>
    <t>[취소/환불] 계죄번호 수정합니다.
 국민은행 39440204101062 이세현</t>
  </si>
  <si>
    <t>[정보변경] 수고하십니다.
 중복입금 환불은 신청해 뒀습니다.
 입금자명 정보오류 수정 요청드립니다.
 입금자명: '김지민'
 입금시각: 2025.12.07 09:07:08
 변경할 내용: 신영혜1214 
 김지민 =&gt; 신영혜1214
 수고하세요.</t>
  </si>
  <si>
    <t>[취소/환불] 안녕하세요. 
 1인신청했으나 입금자명 이세현 ,이세현2377로 2회 입금했습니다. 아래의 계좌번호로 환불 부탁드립니다. 취소신청 아닙니다. 오입금 금액만 환불 요청합니다.
 급한 마음에 2회 입금해서 불편드려 죄송해요. 감사합니다.
 국민은행 이세현 039440204101062</t>
  </si>
  <si>
    <t>신청 내역 확인 화면에서, 8일 18시까지 한시적으로 직접 중복 입금에 대한 환불 요청 가능하십니다. 신청 내역 확인 화면에 들어가셔서, 직접 진행 부탁드립니다.</t>
  </si>
  <si>
    <t>[취소/환불] 중복환불계좌번호
 기업은행 335 002855 03 018
 입니다
 죄송합니다~~~
 수고하세요~~~^^</t>
  </si>
  <si>
    <t>신청 내역 확인 화면에서, 8일 18시까지 한시적으로 직접 취소 및 환불 요청 가능하십니다. 신청 내역 확인 화면에 들어가셔서, 직접 진행 부탁드립니다.</t>
  </si>
  <si>
    <t>[기타문의] 입금 완료하였는데
 신청접수가 완료되었나요?</t>
  </si>
  <si>
    <t>안녕하세요. 예매가 확인되십니다. 입금확인은 8일중으로 확인가능합니다.</t>
  </si>
  <si>
    <t>[입금/결제] 백광숙으로 70000입금했는데
 0209를 안넣었네요
 죄송합니다</t>
  </si>
  <si>
    <t>[입금/결제] 신청이 된줄 알고 입금을 했는데 신청내역이 없다고 뜹니다
 신청자 : 박현선
 연락처 : 010-4632-0621
 입금시점 : 오전 9시 25분
 입금자명 : 박현선0621
 입니다.
 분명 정보 입력하고 확인까지 눌러서 신청이 된줄 알고 입금을 했는데 신청이 안된듯 합니다.
 다음은 어떻게 해야할지 답변 주시면 감사하겠습니다.</t>
  </si>
  <si>
    <t>내용 확인하겠습니다.</t>
  </si>
  <si>
    <t>[취소/환불] 안녕하세요.
  이아힘/이명우
 취소 요청드립니다.
 계좌 
 카카오뱅크
 3333 05 1400138 (이명우) 
 입니다.
 감사합니다.</t>
  </si>
  <si>
    <t>[입금/결제] 취소아닙니다. 중복입금을 해서 계좌올린거예요.</t>
  </si>
  <si>
    <t>신청 사이트내에서 중복입금/환불신청칸에 신청내역 기입하시고 환불신청하기 누르시면 확인후 일괄 처리 해드리겠습니다. 감사 합니다.</t>
  </si>
  <si>
    <t>[취소/환불] 취소환불입니다
 신한은행
 110434236960
 김호정</t>
  </si>
  <si>
    <t>[취소/환불] 대표신청자 김태선(670324)이름으로 입금한줄 모르고 동반신청자인 강경희(490222)로 중복입금했습니다 강경희로 입금된 금액 환불신청합니다.카카오뱅크3333218403973 강경희</t>
  </si>
  <si>
    <t>신청 내역 확인 화면에서, 8일 18시까지 한시적으로 직접 중복 입금에 대한 환불 요청 가능하십니다. 신청 내역 확인 화면에 들어가셔서, 신청 부탁드립니다.</t>
  </si>
  <si>
    <t>[기타문의] [Web발신] (кв]12/07 09:15 241210****50 윤석만(샘커뮤니 케
 출금
 35,000  접수확인 부탁합니다</t>
  </si>
  <si>
    <t>신청내역 화면에서 확인 부탁드립니다. 입금은 현재 입금 확인이 진행중이라, '입금대기'로 표시되는 것이 정상입니다. 입금데이터 확인 후 별도 공지 예정입니다</t>
  </si>
  <si>
    <t>[기타문의] 2번 입금되서 1건만 환불받을 계좌입니다
 신한은행 110-479-241609 김윤정</t>
  </si>
  <si>
    <t>[입금/결제] 국민한명희 27010104285744  35000원-79400104178355 국민윤석만에 이체함 시간 7일 9시10분31초  01042806290 한명희 입금확인하시고대기풀어주세요추운날씨에고생하셨습니다 감사합니다전번적어드리지않아서확인하시는데번거롭게해드린거죄송합니다잘몰랐어요</t>
  </si>
  <si>
    <t>입금해주신 분들은 현재 입금 확인이 진행중이라, '입금대기'로 표시되는 것이 정상입니다. 입금데이터 확인 후 별도 공지 예정입니다.
 또한, 전화번호 단순누락은 관리팀에서 확인 후 승인합니다. 동명이인이 있을시에만 확인 전화를 드릴 예정이며, 그렇지 않은경우 정상적으로 접수처리 됩니다</t>
  </si>
  <si>
    <t>[취소/환불] 신청완료가 되어 입금할때 김희정으로 입금(오전9시11분)하여 다시 김희정3084(오전9시18분)로 입금하였습니다(중복입금70,000원)
  김희정 (1회, 35,000 원)환불신청합니다. 신한 은행 110-276-711164 
  토크콘서트에서 만나요 ~~ 번거롭게 해드려 죄송합니다 ~</t>
  </si>
  <si>
    <t>[취소/환불] 같이신청한 동석자 주광옥님은 별도신청했답니다 주광옥 1장은 취소해주세요</t>
  </si>
  <si>
    <t>신청 내역 확인 화면에서, 8일 18시까지, 한시적으로 2인 신청에서 1인 신청으로 직접 변경 가능하십니다. 신청 내역 확인 화면에 들어가셔서, 진행 부탁드립니다.</t>
  </si>
  <si>
    <t>[정보변경] 동반자 이름 번호로 신청한 건은 
 신청 취소했는데
 이미 다른 신청에 사용중이라며 동반자 정보 등록이 안됩니다.
 수정등록 부탁드립니다.
 박은희
 010 2896 3573
 660411</t>
  </si>
  <si>
    <t>[취소/환불] 중복입금 환불건 신청내역에 요청했습니다 수고하세요</t>
  </si>
  <si>
    <t>확인 후 일괄처리 해드리겠습니다.
 감사합니다.</t>
  </si>
  <si>
    <t>[입금/결제] 중복 입금했습니다
 농협 김은혜
 485027 56 007064
 좌석 순위는 첫번째 입금한 순서로
 해주시면 안될까요(번호 미기재 )
 번거롭게 해서 죄송합니다</t>
  </si>
  <si>
    <t>신청 내역 확인 화면에서, 8일 18시까지 한시적으로 직접 중복 입금에 대한 환불 요청 가능하십니다. 신청 내역 확인 화면에 들어가셔서, 직접 진행 부탁드립니다. 
 전화번호 단순누락은 관리팀에서 확인 후 승인합니다. 동명이인이 있을시에만 확인 전화를 드릴 예정이며, 그렇지 않은경우 정상적으로 접수처리 됩니다. 또한, 자리배치는 정확한 정보를 기반으로 진행되오니 이점 양해 부탁드립니다.</t>
  </si>
  <si>
    <t>[정보변경] 동반자 정보변경(전번오기)이 안되니 빠른 처리 부탁드립니다 동반자 전번이 이미 다른 신청에서 사용중입니다 (신청자:이현정) 이라고 나오는데, 그래서 이현정(01046261023)이 신청한 것을 취소하고 환불요청한 상태입니다</t>
  </si>
  <si>
    <t>신청내역 확인 화면에서 동반자 정보 오기(이름 제외, 전화번호/생년월일)는 직접 수정 가능합니다. 8일 18시까지 한시적으로 가능하오니, 직접 진행 부탁드립니다. 추후 도움이 더 필요하시면 문의 주시기 바랍니다.</t>
  </si>
  <si>
    <t>[취소/환불] 윤영이9831
 윤영이9831/ 윤영이98319831
 이중입금 환불계좌 안내드립니다.
 우리은행
 1002 534 278098
 윤영이
 번거롭게 해드려서 죄송합니다.
 수고하세요.
 감사합니다^^</t>
  </si>
  <si>
    <t>사이트내 하단에 "신청내역 확인 하기" 버튼을 클릭후 전화번호 11자리를 입력 하세요. 그리고 "조회하기" 버튼 누르시면 관련내용 확인이 가능합니다. 
 하단에 드래그 해보시면 중복 입금/환불 신청 칸이 있습니다. 관련 정보 기입 후 "환불 신청 하기"를 누르시면 확인 후 일괄 처리 해드리겠습니다. 
 감사합니다.</t>
  </si>
  <si>
    <t>[입금/결제] 방금 문자를 받았습니다.
 &lt;중복입금&gt;
 예매취소될까봐 다시 입금했지뭐예요.바쁘신분들께 번거롭게 해드려서 죄송해요.
  *예금자명 : 조유진
  *폰번호 : 010 4522 7299
  *국민은행 607701-04-367776</t>
  </si>
  <si>
    <t>신청 내역 확인 화면에서, 8일 18시까지 한시적으로 직접, 중복입금에 대한 환불 요청 가능하십니다. 신청 내역 확인 화면에 들어가셔서, 직접 진행 부탁드립니다.</t>
  </si>
  <si>
    <t>[취소/환불] 2번 중복 입금했어요
 환불 계좌번호 
 농협 485092-52-130013
 예금주 : 이다현
 환불금액:70,000원 입니다</t>
  </si>
  <si>
    <t>신청 내역 확인 화면에서, 8일 18시까지 한시적으로 직접, 중복 입금에 대한 환불 요청 가능하십니다. 신청 내역 확인 화면에 들어가셔서, 직접 진행 부탁드립니다.</t>
  </si>
  <si>
    <t>[입금/결제] 안녕하세요
 박순화0025로 35000원 입금했는데
 제대로 입금이 된건지 확인차 문의드립니다
 바쁘시겠지만 확인 부탁드립니다</t>
  </si>
  <si>
    <t>[입금/결제] 임희경6534 로 입금했습니다. 반영해주세요.</t>
  </si>
  <si>
    <t>[기타문의] 01029573747 한동훈 토크콘서트 필독 부탁드린다고 문자왔는데 모르는 전화번호라서 토크콘서트 완판됐다고 해서요 저도 해당되는지 궁금합니다</t>
  </si>
  <si>
    <t>신청내역 확인 화면에서 본인 신청 내역을 확인하시기 바랍니다.</t>
  </si>
  <si>
    <t>[입금/결제] 잘못입금한 60.000원 환불계좌입니다 신한
 110.378.205520</t>
  </si>
  <si>
    <t>[취소/환불] 확인해보니 신청하던 중 마감된것같습니다 저는 된건줄알고 양영주/양영주6549로 두번입금 했는데;; 환불은 우리은행 1002-455-337917로 해주시면 될것같습니다 번거롭게 해드려 죄송합니다 감사합니다</t>
  </si>
  <si>
    <t>성함, 은행이름, 연락처, 임금시점 정보를 남겨 주시기 바랍니다. 확인후 공지 드리겠습니다.</t>
  </si>
  <si>
    <t>[기타문의] 안녕하세요 입금대기로 되어있는데 입금은한상태인데. 당첨이된건가요 언제까지 확실한걸 알수있을까요</t>
  </si>
  <si>
    <t>[입금/결제] 입금 하였는데 신청이 완료 된건지
 알고 싶습니다.
 신청자 : 이진숙. 010 9744 9539
 입금 : 12월 07일 21:04:00
 입금자 : 이진숙</t>
  </si>
  <si>
    <t>신청확인 내역 화면에 들어가 우선, 신청 내역을 확인하시기 바랍니다. 또한, 현재 입금 확인이 진행중이라, '입금대기'로 표시되는 것이 정상입니다. 입금데이터 확인 후 별도 공지 예정입니다</t>
  </si>
  <si>
    <t>[정보변경] 수고하십니다.
 중복입금 환불은 신청해 뒀습니다.
 입금자명 정보오류 수정 요청드립니다.
 입금자명: '김지민'
 입금시각: 2025.12.07 09:07:08
 변경내용: 신영혜1214 
 수고하세요.</t>
  </si>
  <si>
    <t>[입금/결제] 입금시점.09:20:25
 입금자명. 경현옥</t>
  </si>
  <si>
    <t>[입금/결제] 중복입금으르 1건은 환불 요청합니다
 전북은행 1021 02 5644449입니다 ^^</t>
  </si>
  <si>
    <t>신청 내역 확인 화면에서, 8일 18시까지 취소 및 환불 요청 직접 가능하십니다. 신청 내역 확인 화면에 들어가셔서, 직접 신청 부탁드립니다.</t>
  </si>
  <si>
    <t>[취소/환불] 중복 송금중 1건 70,000원만
 환불입니다
 우리은행 윤성수
 202-185385-02-101</t>
  </si>
  <si>
    <t>[취소/환불] *중복입금액~~7만원
 *환불받을계좌 : 우리은행
  548-070424-02-101
 *받는사람 : 신혜균</t>
  </si>
  <si>
    <t>[기타문의] 현재 신청자 이름과 동반인 이름이 같게 입력됐는데요
 핸드폰번호와 생년월일은 각자 정확하게 입력되었습니다. 
 이런 경우에도 동반인이 입장 하는데 문제가 없을까요?</t>
  </si>
  <si>
    <t>[입금/결제] 중복 입금 하였습니다.
 김현기/ 하나은행/ 24591009749507</t>
  </si>
  <si>
    <t>신청 내역 확인 화면에서 중복 입금에 대한 환불 요청 직접 가능하십니다. 8일 18시까지 가능하오니, 직접 신청 부탁드립니다</t>
  </si>
  <si>
    <t>[기타문의] 동반자 티켓정보때문에 나의동반자로 등록이 안됩니다
 빠른답변주세요ㅜ</t>
  </si>
  <si>
    <t>[기타문의] [문의 사유 : 번호 미표기 입금함]
 12월 7일 12시 37분 51초 7만 입금.
 입금자 : 최정분(4604) 입니다.</t>
  </si>
  <si>
    <t>[기타문의] 안녕하세요 수고 많으십니다.
 궁금한 부분이 있어서요 티켓 예매 했는데요 혹시 콘서트 몇일 앞두고 아님 콘서트 당일 갑자기 일이 생겨서 갈수없는 상황이 온다면 그땐 어찌해야하나요? 제 생각입니다만 신분이확실한 분이라면 티켓을 양도하게 하는것도 나쁘진않을듯한데요 무조건 티켓 양도 안되고 취소를 하라고 하는건 이해가 되질않아서요 그 부분도 다시 한번 생각해봐 주셨음 합니다. 아무일이 생기질 않길 바라지만 사람일이란 한치 앞을 볼수없으니...</t>
  </si>
  <si>
    <t>[취소/환불] 591 910407 96707 서한솔 하나은행
 중복입금하고 원래 동반자 불참으로 14만원 취소부탁드려요</t>
  </si>
  <si>
    <t>신청내역 확인 화면에서 직접 신청 취소 가능합니다. 8일 18시까지 가능하오니, 신청 취소 하시고, 환불 요청에 필요한 정보 입력 부탁드립니다.</t>
  </si>
  <si>
    <t>[취소/환불] 취소합니다 이형순2명
 국민은행
 585401 01 426589</t>
  </si>
  <si>
    <t>신청내역 화면에서 8일 18시까지 직접 신청 취소 가능하십니다. 신청 취소 및 환불 요청도 가능하오니 진행 부탁드립니다.</t>
  </si>
  <si>
    <t>[정보변경] 동반인 이름 착각으로 인해 오기재 했습니다.
 동반인 이름 '최수정'을 '김화중'으로 변경 부탁드립니다.</t>
  </si>
  <si>
    <t>동반자 성함 변경은 가능하지 않습니다.양해 바랍니다.</t>
  </si>
  <si>
    <t>[입금/결제] 신청자가 직접 오류 정보를 변경할수 있다는 문자메시지를 받았읍니다
 저는 송금시 입금자 명의가 이경희 로 표기 되었는데
 괞찬다고 답변 받았읍니다
 저의 경우는 제가 직접
 1) 이경희 7798 로 변경해야 돠는지요?
 2) 혹시 변경해야 한다면 어느 
 사이트 에서 변경 가능한지요?
 아니면
 3) 변경이 필요치 않은지요?
 관리자님께서 입금자 확인 처리 가능한지요?
 감사합니다</t>
  </si>
  <si>
    <t>직접 변경하실 필요 없습니다. 송금시 전화번호 단순누락은 관리팀에서 확인 후 승인합니다. 동명이인이 있을시에만 확인 전화를 드릴 예정이고, 그렇지 않은 경우 정상적으로 접수처리 됩니다.</t>
  </si>
  <si>
    <t>[입금/결제] 입금할때 이름만쓰고 전화번호 뒷자리를 안썼는데 입금이 안되는건가요?</t>
  </si>
  <si>
    <t>[정보변경] 박영순 57년4월16일로 2인신청했는데 전화번호를 잘못입력했어요~01025025763으로 변경해주세요^부탁드립니다~~</t>
  </si>
  <si>
    <t>변경해드렸습니다.
 감사합니다.</t>
  </si>
  <si>
    <t>[기타문의] 동반자도 티켓팅되어서 동반자는 취소하고 제티켓으로 동반신청하니 등록이 안되네요</t>
  </si>
  <si>
    <t>동반자 정보 (이름, 생년월일, 전화번호)를 남겨 주시기 바랍니다. 확인후 처리하겠습니다.</t>
  </si>
  <si>
    <t>[취소/환불] 환불받을 계좌 올립니다. 
 신한
 110 304 439084
 김은선 입니다. 
 제이름으로 총3회 입금이라 2회꺼 환불받으면되겠네요.</t>
  </si>
  <si>
    <t>신청내역 확인 화면에서, 중복입금/환불 요청 직접 가능합니다. 8일 18시까지 가능하오니, 직접 들어가셔서, 환불 신청 해 주시기 바랍니다. 2회 환불 요청 금액을 정확히 기입하시고, 은행이름, 예금주, 계좌번호등 요청정보 입력 부탁드립니다.</t>
  </si>
  <si>
    <t>[입금/결제] 입금자명에 이름만 썼어요 핸펀번호 기입안했는데 어떡하죠!</t>
  </si>
  <si>
    <t>[입금/결제] 혹시 티켓팅대기인가요?
 안된걸로 알고. 포기중인데. 문자가 들어왔네요
 입금 하면 되나요?</t>
  </si>
  <si>
    <t>신청내역 확인 화면에서 본인 신청 내역 확인 먼저 부탁드립니다.</t>
  </si>
  <si>
    <t>[입금/결제] 일단 중복입금했습니다
 이경희 이경희3632
 그리고 동반자 다른 모든 정보는 잘 입력했는데 엄마 성함이 김정자이시데
 김정진으로</t>
  </si>
  <si>
    <t>[정보변경] 아들 딸과 셋이서 예매하다가 두명이 성공하는 바람에 또 같은장소에 있지않은 관계로...죄송요ㅠ
 *하대호(0480)-동반인에 하예진입력해서  
 *차현주(1480)-동반인으로 하예진이 입력이 안돼요 ㅠ
 차현주.하예진 참석입니다.
 *이름뒤에 전화번호 입력 안해서
 안될까봐 (하대호7만원,차현주7만원 2번 입금) 총 세번을 입금했어요.
 번거롭게 해드려 죄송합니다.
 전화주세요~~^^♡</t>
  </si>
  <si>
    <t>신청내역 확인 화면에서, 8일 18시까지, 신청 취소 및 환불 요청이 직접 가능하오니, 직접 진행 부탁드립니다. 또한, 동반인 정보 수정(이름 제외, 생년월일, 전화번호)도 가능하오니 수정 부탁드립니다. 진행해 보시고, 추후 도움이 더 필요하시면 다시 문의주시기 바랍니다. 감사합니다.</t>
  </si>
  <si>
    <t>[입금/결제] 9시 10분에 2명 70000원 입금완료 했습니다 
 카카오뱅크로 조원석,신혜영 입금 했습니다 
 조원석 이름뒤에 전화번호 8398을 붙이지 않았습니다 확인 부탁드립니다</t>
  </si>
  <si>
    <t>[취소/환불] 환불계좌: 110 461 647703 신한 최수정입니다</t>
  </si>
  <si>
    <t>[취소/환불] 중복입금. 2인예매
 최영미 하나은행 58591037461907
 번거롭게 해드려 너무 지송합니다ㅠ
 기존 예매된거 취소될까 무서워요ㅠ</t>
  </si>
  <si>
    <t>신청 내역 확인 화면에서, 8일 18시까지 중복입금에 대한 환불 요청 직접 가능하십니다. 신청 내역 확인 화면에 들어가셔서, 직접 신청 부탁드립니다.</t>
  </si>
  <si>
    <t>[입금/결제] 죄송해요 
 박정단으로 두번 입급 했습니다
 계좌번호입니다
 국민은행
 548502-01-002309
 박정단</t>
  </si>
  <si>
    <t>[입금/결제] 제가 70,000원 정상입금후
 착오로
 60,000원을 추가입금했어요
 확인부탁드려요
 😀환불계좌 
 신한은행
 신동예
 110 015 463257~~</t>
  </si>
  <si>
    <t>신청 내역 확인 화면에서, 8일 18시까지 추가입금 및 환불 요청 직접 가능하십니다. 신청 내역 확인 화면에 들어가셔서, 직접 신청 부탁드립니다.</t>
  </si>
  <si>
    <t>정은실</t>
  </si>
  <si>
    <t>[취소/환불] 정식오픈전 12월5일 14시30분에 35,000원 입금했습니다. 환불공지를 보고 환불 신청합니다
 이름: 정은실
 전화번호: 010 8540 7372
 계좌번호: 3333017708853 카카오뱅크</t>
  </si>
  <si>
    <t>[입금/결제] 중복입금
 제일은행 620 20 250841
 이현자</t>
  </si>
  <si>
    <t>신청 내역 확인 화면에서, 8일 18시까지 중복 입금에 대한 환불 요청 직접 가능하십니다. 신청 내역 확인 화면에 들어가셔서, 직접 신청 부탁드립니다.</t>
  </si>
  <si>
    <t>[취소/환불] 안녕하세요 중복입금했습니다
 신한은행. 110-221-627727
 길선영</t>
  </si>
  <si>
    <t>[기타문의] 일행이랑 동시에 예약해서
 일행예약을 취소하고 제 예약에 일행 정보를 입력하려고 하는데 
 이미 다른 신청의 주신청자 전화번호로 사용중입니다라고 나와요 
 일행의 예약창에서는 취소된 예약이라고 정상적으로 표시됩니다
 일행 정보
 정두식 01062011414인데 오류 확인부탁드려요</t>
  </si>
  <si>
    <t>동반자 정보 입력 했습니다. 김수옥님 신청내역 확인 화면에서 자세한 내용 확인 부탁드립니다.</t>
  </si>
  <si>
    <t>[취소/환불] 김경애
 환불계좌 947801 01 398921(국민은 35,000원)
 수고 많으십니다</t>
  </si>
  <si>
    <t>신청 내역 확인 화면에서, 8일 18일까지는 한시적으로 취소 및 환불 요청 직접 가능하십니다. 신청 내역 확인 화면에 들어가셔서, 직접 신청 부탁드립니다.</t>
  </si>
  <si>
    <t>[입금/결제] 중복입금 
 제일은행 620 20 250841  
 이현자</t>
  </si>
  <si>
    <t>신청내역 확인 화면에서, 8일 18시까지 한시적으로 직접, 중복 입금에 대한 환불 요청이 가능하십니다. 신청 내역 확인 화면에 들어가셔서, 직접 진행 부탁드립니다.</t>
  </si>
  <si>
    <t>[입금/결제] 급한 마음에 입금시 뒷번호
 없이 입금하였네요~
 그래서 이름(  )하고 적었사오니
 참고바랍니다
 뒷번호:6138번입니다
 강평애</t>
  </si>
  <si>
    <t>[취소/환불] **중북입금 환불건**
 7일 9시 11분 윤성수 
 7일 10시 5분 윤성수6663입금
 환불계좌번호
 우리은행 윤성수
 202-185385-02-101
 수고하세요</t>
  </si>
  <si>
    <t>신청 내역 확인 화면에서, 8일 18시까지 한시적으로 취소 및 환불 요청 직접 가능하십니다. 신청 내역 확인 화면에 들어가셔서, 직접 신청 부탁드립니다.</t>
  </si>
  <si>
    <t>[입금/결제] 입금자명 뒤에 7955를 안넣었어요 ㅜ 2명 신청했어요</t>
  </si>
  <si>
    <t>[기타문의] 박미숙9537로 입급 완료했으나 신청 내역 확인을 들어가니 입금대기로 표기되어 있었습니다.</t>
  </si>
  <si>
    <t>[입금/결제] 부산은행 박영철 112-6556-6331-00계좌에서 2명분 7만원 이체하면서 이름과 전화번호 뒷자리를 기입하지 않았습니다. (박영철6331)입니다.</t>
  </si>
  <si>
    <t>[취소/환불] 덕분에 신청취소 완료했습니다. 다른 곳에 동반자로 등록하려고 하는데 아직도 동반자 전화번호가 이미 다른 신청에서 사용 중입니다. 라고 뜹니다. 확인 부탁드립니다.</t>
  </si>
  <si>
    <t>[취소/환불] 09시09분에 박선영으로 입금, 
 09시15분에 박선영3233으로 입금했습니다.
 이중입금으로 환불 받을 계좌번호는
 농협 477-12-070734 박선영입니다.
 번거롭게 해서 죄송합니다.</t>
  </si>
  <si>
    <t>[기타문의] 윤종분 이름뒤에( 9540)표기를 못했습니다.
 입금완료상태 입니다.</t>
  </si>
  <si>
    <t>[취소/환불] ●입금자명; 이현정1023 
 ●취소 환불계좌;
 하나은행 562-910034-92707
 ●제것을 취소빨리 해주셔야 지인이 중복 당첨된 동반자 연락처를 변경할 수 있습니다. 지인이 동반자 연락처 오기로 수정할 건데 중복 이름 등록이라 변경이 안된다고 창이 뜨면서 수정이 불가해요</t>
  </si>
  <si>
    <t>신청 내역 확인 화면에서, 8일 18시까지 한시적으로 취소 및 환불 요청 직접 가능하십니다. 신청 내역 확인 화면에 들어가셔서, 직접 신청 부탁드립니다. 추후 도움이 더 필요하시면 문의 주시기 바랍니다.</t>
  </si>
  <si>
    <t>[입금/결제] 입금 과정에서 전번 뒷번호 기재하지 않아
 09시10분38초 박정단 09시17분48초에
 박정단1280 으로 두번 보냈습니다</t>
  </si>
  <si>
    <t>신청 내역 확인 화면에서, 8일 18시까지 한시적으로 중복입금/환불요청 직접 가능하십니다. 신청 내역 확인 화면에 들어가셔서, 직접 신청 부탁드립니다.</t>
  </si>
  <si>
    <t>[정보변경] 안녕하세요 윤세현01064243911
 부산입니다 저희딸이 윤신혜인데 저와조금다른시간에 상이트접속성공하여 이름을 입력하며 급한맘에 제이름 윤세현을입력하고 돈을 송금했어요 저는 제이름 윤세현으로 성공하여 송금을했구요
 결과적으로 윤세현으로 돈이 70000원이입금되고말았어요 윤신혜 윤세현2사람갈려고합니다 둘다책임당원입니다 티켓2장해주셔야해요 저혼자는 일산까지못가 안되면 둘다못가는일이 생기거던요 확인해주시길 바래오</t>
  </si>
  <si>
    <t>신청 사이트에 직접 들어 가셔서 따님을 동반자로 입력하시는 방법이 두분 모두 오실수 있는 방법입니다. 신청 사이트 접속 하셔서 신청내역 확인 하기 누르시고, 전번11자리 입력후 조회하기 누르시고 들어가시면 동반자 입력칸이 있습니다. 따님 인적사항 기재하시고 저장 누르시면 됩니다. 감사 합니다.</t>
  </si>
  <si>
    <t>[취소/환불] 중복입금
 농협 601108-52-035604
 서순정0603</t>
  </si>
  <si>
    <t>[입금/결제] 안녕하세요
 중복입금시켜 계좌번호 올립니다
 신한은행 423 04 160716 안영규
 번거롭게 해드려 죄송합니다</t>
  </si>
  <si>
    <t>[취소/환불] 전번을 붙이지 않고 김윤아 로 입금했다가 다시 김윤아 0369로 입금을 했습니다.
 환불받을 계좌는 
 부산은행 046 12 041843 0
 김윤아 입니다</t>
  </si>
  <si>
    <t>[입금/결제] 중복입금 환불계좌. 신한은행 110 098 038626 강정옥</t>
  </si>
  <si>
    <t>[취소/환불] 중복으로 입금했습니다 번거롭게해드려서 죄송합니다 농협 351-0800-4754-63 입니다</t>
  </si>
  <si>
    <t>[입금/결제] 박철 계좌에서
 임인경 0500 기입하고
 입금했습니다.
 별문제 없겠죠?</t>
  </si>
  <si>
    <t>괜찮습니다. 신청자 이름과 송금시 이름이 동일하면 됩니다. (송금시 이름 + 전번 뒷자리)</t>
  </si>
  <si>
    <t>[기타문의] 티켓예매 했는데
 입금대기라고
 계속되는데 언제 확정되는지요
 직장에 연가 신청을 해야되는데
 어떻해야 될지 몰라서요
 꼭 가고싶어요</t>
  </si>
  <si>
    <t>[기타문의] 저는 2인신청하고 입금완료한 상황입니다. 
 동반자에 엄마정보를 쓰려고 합니다
 그런데 엄마도 오전에 동시에 2인으로 신청이 된상황이어서 엄마는 입금을 하지말라고하고 조금전 신청취소도 했습니다.
 제가 동반인에 엄마정보를 기입하려는데 시스템 업데이트가 바로 안되서인지 동반인이 신청자로 되어있어서 입력이 불가하다고 나옵니다. 
 저희엄마 꼭 가셔야하는데 이거 어떻게 해야하나요 ㅠㅠ 도와주세요</t>
  </si>
  <si>
    <t>김정숙(6517)님의 예매취소가 확인되십니다.마지막 문의하기 내용의 대답을 기다려 주세요. 데이터 확인중입니다.</t>
  </si>
  <si>
    <t>방미소</t>
  </si>
  <si>
    <t>[기타문의] 안녕하세요 토크콘 관계자님, 
 부탁드릴 게 있어서 문의드립니다.
 이번에 티켓팅 실패해서 안되신 분들 로비에 모인다고 해서 저도 그럴 생각이었는데, 행사장이 1전시관 3층이더라구요. 아까 다른 분이 올려주신 3층 평면도 보니깐 그랜드불룸을 제외하고 301~9호실이 따로 있던데 공용공간인 로비를 저희가 다 차지해도 되는 것인지 의문이 들었고 혹여나 다른 행사에 방해가 될까 염려스러운 생각이 들었습니다. 그리고 제일 중요한 건, 인파관리 문제인데 콘서트 참여 인원 1,500명에 스태프, 로비에 모인 수백명 인파를 생각하면 총 2,000여명의 사람이 행사에 모일텐데요 대표님의 이동에 따라 저 많은 인원이 한번에 움직이면 안전문제가 발생할까 염려됩니다 행사장이 3층이라 대부분의 사람들은 계단을 이용해서 움직여야 하는데 한번에 많은 사람들이 움직이면 압사, 계단 전도 사고 등이 발생할 우려가 있습니다. 지지층 특성상 고령층의 여성분들이 많아서 더 걱정이 큽니다. 보통 이런 대규모 인파가 모일 경우 로비 점거는 막고 콘서트 참여 인원도 섹터별로 퇴장시킵니다. 가급적 인파관리, 질서유지에 만전을 기해주시길 바랍니다.</t>
  </si>
  <si>
    <t>의견 감사합니다. 참고 하겠습니다.</t>
  </si>
  <si>
    <t>[기타문의] 안녕하세요. 신청취소문의를 해서 제 신청이 취소되었는데
 그런데 아직 제 배우자 신청에서 제가 동반자로 신청이 되지 않습니다.
 여기 신청된 정보가 있다고 계속 나옵니다. 이건 어떻게 해야되나요.
 제건 취소된게 맞습니다.</t>
  </si>
  <si>
    <t>배우자님의 성함과 전화번호, 생년월일을 보내주시기 바랍니다. 확인후 도와드리겠습니다.</t>
  </si>
  <si>
    <t>[정보변경] 수고많으십니다.
 상황을 다시 말씀드리겠습니다.
 저는 언니랑 가려고 하는데요.
 예매가 저도 2인이 되었고
 언니도 2인이 된거에요.
 그래서 동반자 입력을 하려고 보니 이미 신청한 사람이라고 해서 동반자 신청이 안되는거에요. 그래서 문의에 이서경을 취소해달라고 했지만 실시간 반영이 안되어 기다리고 있다가 Q&amp;A를 보니 (오전9:20경) 동반자의 경우 행사 전에 변경가능하다고 해서 일단 언니(이인경)가 아들 인적사항을 넣고 입금을 했지요. 그런데 11시 경에 동반자 변경은 인적사항만 된다고 수정되어 공지가 된거에요 ㅠㅠ 그래서 이와 관련된 문의를 한차례 또 보냈습니다 ㅠ 
 실시간 취소기능이 있었다면 이런 일이 방지 되었을텐데 둘이 동시에 예매가 되다보니 이런 일이 발생한 것 같아요 ㅜ 그래서! 동반자 변경을 기존 공지한대로 허용하거나 1회에 한해 허가하거나 해여하지 않을까 싶습니다 ㅠㅠ 안그러면 저희 자매는 다 못 갈 것 같습니다 ㅠㅠㅠ</t>
  </si>
  <si>
    <t>[정보변경] 박채빈으로 딸,아들이 당첨되여서
 박채빈 아둘이 7만원을 입금 시키고
 딸이 당첨된건 지역 지지자한테 그땐 신청자 이름이 변경 가능이 되여서 저희 딸이 제 핸폰으로 지지자이름으로 신청자를 올려서 이중으로 등록이 되여 중복 신청이되여서 먼저 입금 신청한 제 이름은 뜨지가 않아 동반자 신청도 안했는데 나중에 신청한 김영련 지지자가 제 핸폰을 등록하면 정보가 나오게 되네요. 김영련으로 등록한 7만원은 환불 신청하라해서 신청했습니다. 김영련을 박채빈으로 정보변경 부탁드립니다. 9:11:14초하나은행 박채빈 에서 입금한 7만원확인 하시고 아직 동반자 등록을 못했습니다.</t>
  </si>
  <si>
    <t>[기타문의] 동반자와 함께 신청이 되어 동반자는 취소 완료 하였습니다. 취소 확인 후 동반자 정보 저장 시 주 신청자로 되어 있다고 동반자 정보가 저장이 되지 않네요.. 어떡해야하나요?</t>
  </si>
  <si>
    <t>입력 원하시는 동반자 정보를 알려주시기 바랍니다.</t>
  </si>
  <si>
    <t>최아영</t>
  </si>
  <si>
    <t>[기타문의] 행사장이 3층인걸로 아는데 로비에 많은분들이 모여서 혼잡할때도 그렇고 대표님이 혹시라도 나오셔서 몰려들일이 생길때 일어날수 있는 사고나 안전관련해서 사전에도 그렇고 현장에서 다들 신경써야 할거 같습니다 얼마나 많은 분들이 오실지는 모르지만 안전 사고 대비 철저히 해주세요</t>
  </si>
  <si>
    <t>꼼꼼히 잘 챙기겠습니다. 말씀 감사합니다</t>
  </si>
  <si>
    <t>[기타문의] 김영희 3429로 정상적으로 입금되었나요</t>
  </si>
  <si>
    <t>네 고객님, 입금내역은 정리 중에 있으며 추후 일괄 공지 예정입니다. 
 감사합니다.</t>
  </si>
  <si>
    <t>[취소/환불] 이형순 2명 예약취소합니다</t>
  </si>
  <si>
    <t>사이트 내 하단에 '신청내역 확인' 버튼 클릭 후 전화번호 11자리를 입력하세요. 그리고 '조회하기' 버튼을 누르시면 관련 내용을 확인 가능합니다. 
 하단에 드래그해서 내려보시면 '신청 취소 / 환불' 칸이 있습니다. 
 관련 정보 기입 후 '전체 취소하기'를 누르시면 확인 후 일괄 처리 해드리겠습니다. 
 감사합니다.</t>
  </si>
  <si>
    <t>[기타문의] 김영희 3429로도 올바르게 입금되었나요</t>
  </si>
  <si>
    <t>입금내역은 정리 중에 있으며 추후 일괄 공지 예정입니다. 
 감사합니다.</t>
  </si>
  <si>
    <t>[기타문의] 아들과 제가 동시에 되었는데
 아들이 본인이름으로 입금했고 김영희 본인은 김영희 3429로 입금했는데 신청확인에 
 김영희 3429로 입금하라고뜨는데 다시 입금할까요?</t>
  </si>
  <si>
    <t>네 고객님, 정상적으로 입금 완료하신 것입니다. 추가 입금은 하실 필요 없습니다.
 입금내역은 정리 중에 있으며 추후 일괄 공지 예정입니다. 
 감사합니다.</t>
  </si>
  <si>
    <t>[기타문의] 아직도 입금대기로 뜹니다.
 언제 화인이 되나요?</t>
  </si>
  <si>
    <t>차후에 별도로 공지 할 예정입니다.</t>
  </si>
  <si>
    <t>[취소/환불] 두번 송금했어요(전번을 넣지 않아서) ㅠ
 번거롭게 해드려 죄송합니다
 신한 110-155-399021
 이윤희</t>
  </si>
  <si>
    <t>사이트 내 하단에 '신청내역 확인' 버튼 클릭 후 전화번호 11자리를 입력하세요. 그리고 '조회하기' 버튼을 누르시면 관련 내용을 확인 가능합니다. 
 하단에 드래그해서 내려보시면 '중복입금/환불 신청' 칸이 있습니다. 
 관련 정보 기입 후 '환불 신청하기'를 누르시면 확인 후 일괄 처리 해드리겠습니다. 
 감사합니다.</t>
  </si>
  <si>
    <t>장현주</t>
  </si>
  <si>
    <t>[취소/환불] 사정이생겨서 예매취소 합니다
 환불처리 부탁드립니다 
 죄송합니다ㅠ 
 국민은행- 장현주 (05321 0514 175)</t>
  </si>
  <si>
    <t>[입금/결제] 입금 완료 했는데 아직 좌석을 확인할 수가 없네요~?!</t>
  </si>
  <si>
    <t>입금내역을 순차적으로 정리 중에 있습니다. 처리되는 대로 반영해드리겠습니다. 감사합니다.</t>
  </si>
  <si>
    <t>[입금/결제] 국민 7940 0104 178355(윤석만)
 2인신청확인후 입금완료 했습니다</t>
  </si>
  <si>
    <t>[정보변경] 신청자가 동반인 이름 한 자를 잘못 적었는데 수정되나요?</t>
  </si>
  <si>
    <t>사이트 내 하단에 '확인' 버튼 클릭 후 전화번호 11자리를 입력하세요. 그리고 '조회하기' 버튼을 누르시면 관련 내용을 확인 가능합니다. 
 거기서 정보 수정처리 부탁드리겠습니다.
 감사합니다</t>
  </si>
  <si>
    <t>[입금/결제] 신청확인하고 입금완료했습니다. (2인 7만원) 확인 부탁드리고, OR코드는 언제 받을 수 있나요?</t>
  </si>
  <si>
    <t>네 고객님, QR 코드는 입금내역 일괄 처리 후 자리배정까지 마치면 지급해드릴 예정입니다.
 감사합니다.</t>
  </si>
  <si>
    <t>이수민</t>
  </si>
  <si>
    <t>[입금/결제] 부동산해결체윌세전세</t>
  </si>
  <si>
    <t>차옥경</t>
  </si>
  <si>
    <t>[기타문의] 위드후니 2만명 안될때부터
 한동훈대표님 응원하고,지지하고
 추운데도 나가서 즐거웠는데,
 너무, 슬프고,억울하고, 원망스럽고
 저렇게 답변이나하지말지......
 심리적으로 느슨하게 힘빠지게만들고
 해서 티켓팅 꽈당되고.....
 속상해서 하루종일 분하고
 대표님 응원 나아니라도 많으니
 접어야할까요?  울고싶다...........</t>
  </si>
  <si>
    <t>본 행사와 직접 관련 없는 질문에 대해서는 답변하지 않습니다. 양해 부탁드립니다.</t>
  </si>
  <si>
    <t>[취소/환불] 저는 중복입금환불이 아니라 완전취소입니다. 죄송합니다. im뱅크 213 13 098764</t>
  </si>
  <si>
    <t>[취소/환불] 함은순, 함은순7393으로 두번 입금. 취소합니다 . 제 계좌는 im뱅크(대구은행) 213 13 098764 서진수입니다. 번거롭게 해드려 정말 죄송합니다.고맙습니다.</t>
  </si>
  <si>
    <t>[취소/환불] 안녕하세요?
 오늘 토크콘서트 2인신청하여 티켓팅 성공하고 입금했는데 동반참가자(조영화)가 부득이한 사정으로 참석 못하게 되었습니다.
 저는 참석하고 동반참가자(조영화)는 참석못하는데 동반참가자(조영화) 1명만 취소 환불 가능한지 궁금합니다.</t>
  </si>
  <si>
    <t>신청 사이트내 하단에 신청내역 확인 버튼 클릭 후 전화번호 11자리를 입력하세요.그리고 조회 하기 버튼 누르시면 동반자 취소 가능하십니다. 환불 계좌도 입력 해주시면 순차적으로 처리해 드리겠습니다.</t>
  </si>
  <si>
    <t>[정보변경] 박채빈으로 딸,아들이 당첨되여서
 박채빈 아둘이 7만원을 입금 시키고
 딸이 당첨된건 지역 지지자한테 그땐 신청자 이름이 변경 가능이 되여서 저희 딸이 제 핸폰으로 지지자이름으로 신청자를 올려서 이중으로 등록이 되여 중복 신청이되여서 먼저 입금 신청한 제 이름은 뜨지가 않아 동반자 신청도 안했는데 나중에 신청한 김영련 지지자가 제 핸폰을 등록하면 정보가 나오게 되네요. 중복 입금 환불 신청했으니 김영련 정보변경을 처리 부탁드립니다.</t>
  </si>
  <si>
    <t>사이트내 하단에 "신청내역 확인" 버튼 클릭 후 전화번호 11자리 입력하세요. 다음 "조회하기" 버튼을 누르시면 관련내용 확인이 가능합니다. 하단에 드레그 해서 내려 보시면 동반자 취소와 동반자 정보 변경을 직접 하실 수 있습니다.</t>
  </si>
  <si>
    <t>임샹빈</t>
  </si>
  <si>
    <t>[입금/결제] 토크 콘서트 예약을 하고 입금까지 했는데 계속 입금 대기중으로 뜹니다  
 어떻게 확인을 해야 할까요</t>
  </si>
  <si>
    <t>현재 데이터 처리중입니다. 차후, 이에 대한 별도의 공지를 할 예정입니다.</t>
  </si>
  <si>
    <t>[입금/결제] 9시8분에 입금 하였습니다
 지금 확인히니보니 입금대기라고 되어있는데 또 입금 하고 확인 후 환불 받아야 하는건가요 
 9시6분 예매 신청하고 9시 8분에 입금 했습니다 당연히 예매 완료 되었겠거니 했는데 입금대기가 뜨니 당황스럽습니딘</t>
  </si>
  <si>
    <t>현재 데이터 처리중입니다. 차후, 별도 공지 예정입니다.</t>
  </si>
  <si>
    <t>[정보변경] 조선미9809 2인으로
 입금 했는데
 동반자 이름을 잘못 넣었어요
 조정희를 조정미로 바꿔야해요
 전화번호,생년월일은 맞게 넣었습니다</t>
  </si>
  <si>
    <t>현재 동반자와 신청자의 성함변경은 하실 수 없습니다. 당일날 오셔서 본인 확인 절차를 거치시면 됩니다.</t>
  </si>
  <si>
    <t>[입금/결제] 9시 6분 예매신청 후 바로 입금 했습니다
 입금대기라고 뜨는데 확인바랍니다</t>
  </si>
  <si>
    <t>차후, 이에 대해 일괄 공지 예정입니다.</t>
  </si>
  <si>
    <t>[기타문의] 010-3661-1199 로 박채빈으로 두개가 당첨되서 박채빈은 입금을 마치고 하나를 김영련으로 수정하고 입금했는데 처음 한 박채빈이 사라져버렸습니다
 김영련으로 핸폰 이중 등록하고 중복 입금한것 환불 계좌 문의 남겼으니 김영련을 취소처리해주세요.</t>
  </si>
  <si>
    <t>데이터 처리중입니다.확인후 처리해드리겠습니다. 계좌번호를 남겨주십시요.</t>
  </si>
  <si>
    <t>[취소/환불] 김영련1199로 입금한 35,000원 
 35,000원 해서 70,000원 
 029302-04-204498 국민은행 임의연
 으로 환불 부탁합니다</t>
  </si>
  <si>
    <t>확인후 환불처리 해드리겠습니다.</t>
  </si>
  <si>
    <t>[취소/환불] 중복으로 김영련1199로 입금한 70,000원 화불바랍니다.</t>
  </si>
  <si>
    <t>현재 데이터 처리중입니다. 확인후 환불처리 해드리겠습니다.</t>
  </si>
  <si>
    <t>[취소/환불] 취소할게요.
 중복당첨돼서 취소하려구요.</t>
  </si>
  <si>
    <t>현재 데이터 처리중입니다. 확인후 환불처리 해드리겠습니다.계좌번호를 남겨주십시요.</t>
  </si>
  <si>
    <t>[입금/결제] 아들과 딸이 각각 최유숙 5214로 입금을 했어요.한표 환불계좌
 신한은행 110092749835
 최유숙 입니다.</t>
  </si>
  <si>
    <t>데이터 처리중입니다. 확인후 위 계좌로 환불 처리 해드리겠습니다.</t>
  </si>
  <si>
    <t>최광자</t>
  </si>
  <si>
    <t>[입금/결제] 신청완료 됐다 했는데 계좌번호가
 신청확인 난에도 뜨지 않아서 입금 못하고 있음계좌번호 올려주세요</t>
  </si>
  <si>
    <t>사이트 내 하단에 '확인' 버튼 클릭 후 전화번호 11자리를 입력하세요. 그리고 '조회하기' 버튼을 누르시면 관련 내용을 확인 가능합니다. 
 신청정보 조회 시 정확히 '전화번호 11자리'를 기입하셔야 확인 가능하십니다. 
 입금계좌는 신청자에 한해서 공개되고 있는 점을 알려드립니다.
 감사합니다.</t>
  </si>
  <si>
    <t>[기타문의] 동석자
 김옥이
 590803
 01067114754
 수고하세요~~~</t>
  </si>
  <si>
    <t>네, 현재 고객님께서는 '1인 신청자'이십니다. 2인 신청자로 변경은 불가합니다.
 감사합니다.</t>
  </si>
  <si>
    <t>[입금/결제] 안녕하세요~???
 제가 2명을 신청한다고했는데 나중에 확인해보니 한명만 신청되었네요~~추가해주세요~~~ 기재하는곳이 따로 없어서 못쓰고있어요~~ 입금은. 남편명의로(김성일) 70000원 입금했습니다~~ 제가 익숙하지않아서 제대로 못했습니다. 확인부탁드립니다~~~수고하세요 ~~~</t>
  </si>
  <si>
    <t>네, 현재 고객님께서는 '1인 신청자'입니다. 
 2인 신청으로의 변경은 불가하며 2인분의 입금액은 확인 후 환불 처리 해드리겠습니다.
 감사합니다.</t>
  </si>
  <si>
    <t>[기타문의] 박채빈으로 입금 70,000원하고 동반자 정보등록을 안했는데 동반자 등록을 정희정: 740716(010-6347-7948)을 하려는데 창이 열리지가 않네요. 등록부탁드립니다.죄송합니다.</t>
  </si>
  <si>
    <t>현재 문의주신 고객님 정보로는 확인이 불가합니다.
 신청자 분의 성함이 담긴 문의내역을 한번 더 써주시면 검토 후 처리해드리겠습니다.
 감사합니다.</t>
  </si>
  <si>
    <t>[취소/환불] 2중 입금 환불 부탁드립니다.
 토스뱅크 1000-5784-6333
 예금주: 정은정</t>
  </si>
  <si>
    <t>확인절차를 거쳐 중복된 입금액은 남겨주신 계좌로 환불될 예정입니다.</t>
  </si>
  <si>
    <t>[입금/결제] 예금자를 김성혜로만 입력하고 입금을했네요 
 어떻게 되는지 연락부탁드립니다</t>
  </si>
  <si>
    <t>입금 시 입금자명을 (ex.'홍길동_0000') 형식으로 기입하지 않으셔도 입금 확인은 가능한 상태입니다. 내역 파악 후 처리 도와드리겠습니다.
 감사합니다.</t>
  </si>
  <si>
    <t>[기타문의] 송금은 금일 09시12분 35초
 NH농협
 352 0928 497323 이구요
 송금인은 신동건
 예금주도 신동건 입니다.
 잘 부탁합니다.</t>
  </si>
  <si>
    <t>[입금/결제] 신청내역 확인난에 계좌번호 없네요</t>
  </si>
  <si>
    <t>사이트 내 하단에 '확인' 버튼 클릭 후 전화번호 11자리를 입력하세요. 그리고 '조회하기' 버튼을 누르시면 관련 내용을 확인 가능합니다. 
 신청정보 조회 시 정확히 '전화번호 11자리'를 기입하셔야 확인 가능하십니다.
 계좌번호는 신청자에 한해서 공개되고 있습니다.
 감사합니다.</t>
  </si>
  <si>
    <t>[정보변경] 제 아들과 딸이 각각 신청 하고
 각각 입금을 했어요
 최유숙5214로요.
 동반2인으로 해야 하는데 두 애들 모두 최유숙 5214 1인으로 했다네요.이런 경우 동반인은 어떻게 해야 하나요?</t>
  </si>
  <si>
    <t>이 경우 1인신청 확정되시고 나머지는 환불됩니다. 계좌번호를 남겨주십시요.</t>
  </si>
  <si>
    <t>[입금/결제] 계좌번호를 놓쳤어요
 입금 기회 주세요 꼭요
 계좌번호 올려주세요 기다려요</t>
  </si>
  <si>
    <t>[취소/환불] 이용원.이미희9889.이미희9889 로
 총세건 오입금 하였습니다. 
 중복.오입력 2건에 대해서만 환불부탁드립니다 취소는 절대아니에요!! 환불계좌는
 농협 이용원 71602404785 입니다</t>
  </si>
  <si>
    <t>중복,오입금은 확인후 환불처리됩니다. 남겨주신 계좌로 환불받으십니다.</t>
  </si>
  <si>
    <t>[입금/결제] 입금했는데 아직 입금대기라고
 뜨는데요 어떻게
 된건가요</t>
  </si>
  <si>
    <t>현재 데이터 처리중입니다.</t>
  </si>
  <si>
    <t>[입금/결제] 010-3661-1199 로 박채빈으로 두개가 당첨되서 박채빈은 입금을 마치고 하나를 김영련으로 수정하고 입금했는데 처음 한 박채빈이 사라져버렸습니다</t>
  </si>
  <si>
    <t>중복입금액은 환불될 예정입니다.계좌번호를 남겨주십시요.</t>
  </si>
  <si>
    <t>[정보변경] 귀찮게 해 드려 죄송해요.
 제 아들과 딸이 각각 신청을 해서 모두 각각 입금을 했어요.그런데 동반인 표시를 안 하고 1인으로 접수를 했다네요.이럴 경우 어떻게 해야하나요? 동반인이 갈 수 있는 방법이 없는건가요?</t>
  </si>
  <si>
    <t>동반인 신청하셔야 참석 가능하십니다.</t>
  </si>
  <si>
    <t>[정보변경] 오전에 너무 급하게 요청했는데 정정이요ㅜㅜ
 1.김나영으로 2명 신청했는데 두번 따로 입금ㅡ김나영 5712 09:15:45 
  김옥선 5943 09:18:26 
 2.추가인 정보 변경했는데  
  680119
  010-7765-6778최종 변경 부탁드 
  립니다 (김옥선 5943으로 입금했어 
  요)번거롭게 해드려 죄송합니다</t>
  </si>
  <si>
    <t>내역확인후 처리해드리겠습니다</t>
  </si>
  <si>
    <t>[기타문의] 오전에 입금했는데 입금대기이네요.</t>
  </si>
  <si>
    <t>[입금/결제] 2025.12.07. 09:10:01 우리은행 1002-145-878431 김지현으로 7만원입금하였는데, 신청인이 김지현이아니라 “김종환”입니다. 이름이 아예달라서요. “김지현“이아니라 “김종환4246”으로 처리해주시면 감사드리겠습니다!</t>
  </si>
  <si>
    <t>확인후 처리해드리겠습니다. 신청자란에 김종환님으로 신청하신것인지 확인부탁드립니다.</t>
  </si>
  <si>
    <t>[기타문의] 와이프가 2인 신청하여 입금완료했습니다.
 그런데 동반자를 입력누락해서 입금 후 재입력을 하려하였으나 저도 신청하여 입력이 불가합니다.
 따라서 정두식은 삭제하여주세요.
 김수옥 1841이 동반자 입력을 할 수 있도록해주십시요.</t>
  </si>
  <si>
    <t>고객님께서 신청하신 내역의 삭제 요청인지 아니면 누락된 동반자 입력을 원하시는지 관련해서 재문의 바랍니다.
 감사합니다.</t>
  </si>
  <si>
    <t>[기타문의] 제가 티켓 신청했는데, 그 날 저 대신 아빠가 저 대신 가셔도 되나요?</t>
  </si>
  <si>
    <t>원칙적으로 티켓의 양도는 불가합니다.
 신청자의 정보 수정을 원하시면 관련 내용을 담아 재문의 바랍니다.
 감사합니다.</t>
  </si>
  <si>
    <t>[입금/결제] 1*김은선으로 신청성공하고 입금을 전번끝자리 안적어서 2번을 송금햇습니다. 확인해주시구요 
 2*아들도 김은선으로 신청성공해서 송금완료햇다네요 
  그래서 김은선으로 2번신청성공 3번입금이 되었습니다. 한건은 취소되나요?유효한가요? 확인부탁드립니다.</t>
  </si>
  <si>
    <t>네 고객님, 현재 '1인 신청자'로 파악됩니다.
 총 3번의 입금을 진행하신 거죠? 신청내역은 1건만 파악되니 나머지 2건의 입금 내역은 확인 후 처리해드리겠습니다.
 감사합니다.</t>
  </si>
  <si>
    <t>[입금/결제] 입금자명 김성진 핸드폰 번호 뒷자리 5946를 적지 않고 보냈습니다 확인부탁드립니다 죄송합니다</t>
  </si>
  <si>
    <t>단순누락은 관리팀에서 확인후 승인합니다.동명이인이 있을시에만 확인 전화를 드릴 예정이며 그렇지 않은 경우 정상적으로 접수처리됩니다</t>
  </si>
  <si>
    <t>[취소/환불] 안예림의 동반인으로 가게됐는데 티켓값이 70000원인줄 알고 저도 70000원을 입금해버렸습니다 환불해주십시오...</t>
  </si>
  <si>
    <t>입금내역 확인 후 처리 도와드리겠습니다.
 감사합니다.</t>
  </si>
  <si>
    <t>[입금/결제] 아직까지 입금대기상태 입니다.
 언제 확인 되나요?</t>
  </si>
  <si>
    <t>처리 중에 있습니다. 입금내역이 확인되는 대로 반영해드리겠습니다.
 감사합니다.</t>
  </si>
  <si>
    <t>[입금/결제] 재입금을 해서 계좌번호를 남깁니다.
 MG 새마을금고
 9003-2462-0956-8
 황경미</t>
  </si>
  <si>
    <t>내역확인후 처리 해드리겠습니다.</t>
  </si>
  <si>
    <t>[정보변경] 전화번호 뒷번호를 잘못입력했어요 010 9622 5946인데 5949로 했습니다 
 35000원도 입금했습니다 
 확인 부탁드립니다</t>
  </si>
  <si>
    <t>전화번호 오기입 내역을 수정 처리해드렸습니다. 입금 내역은 파악 후 처리 도와드리겠습니다.
 감사합니다.</t>
  </si>
  <si>
    <t>정연순</t>
  </si>
  <si>
    <t>[기타문의] 티켓 확인부탁드립니다</t>
  </si>
  <si>
    <t>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</si>
  <si>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[정보변경] 신청성공했고 입금도 했는데
 동반인 작성하는 칸이 안뜹니다</t>
  </si>
  <si>
    <t>네 고객님, '2인 신청'으로 해주신 걸로 파악됩니다. 
 그리고 동반자 내용도 기입해주셨네요. 동반자 성함은 '안예림'으로 파악됩니다.
 감사합니다.</t>
  </si>
  <si>
    <t>[기타문의] 09시32분에 7만원 입금했는데 이름뒤에 전화 뒷자리를 못 썼어요 이재민2527입니다 
 동반자는 최수남(010,3382,3313)입니다</t>
  </si>
  <si>
    <t>고객님, 말씀주신 2분의 정보를 조회해보니 미신청자로 파악됩니다.
 신청 유무에 대해 다시 한번 확인하시고 재문의 바랍니다.
 감사합니다.</t>
  </si>
  <si>
    <t>[기타문의] 수고하십니다.
 생방은 아니더라도 유튜버들 촬영은 허용되는지요? 허용된다면 모든 유튜버가 들어가는건 절대적으로 분란이 일어나므로 기준이 있어야 한다 생각합니다.
 처음부터 절대적으로 친한유튜버 몇명만 객관적으로 선발 부탁드립니다. 
 감사합니다.</t>
  </si>
  <si>
    <t>네 고객님, 토크콘서트의 유튜브 생중계는 현재 예정돼 있지 않습니다.
 감사합니다.</t>
  </si>
  <si>
    <t>[기타문의] 신청내역이
 안보여요ㅜ
 입금완료
 두번입금해서
 그런가요?</t>
  </si>
  <si>
    <t>네 고객님, 현재 고객님 정보를 조회해 보니 미신청자로 파악됩니다. 
 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</si>
  <si>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[기타문의] 저의 동반인이 별도로 신청자로 신청을 했습니다. 
 동반인은 입금을 안한상황입니다.
 제가 동반자 정보를 기입하려하니 제동반인이 신청자로되어있다는 문구가 나와 저장이안되는 상황입니다
 8일이후 제 동반인이 입금을 안하고 자동취소가되면 제가 동반인 정보를 입력하면 되는것일지요?</t>
  </si>
  <si>
    <t>신청시 동반인 정보와 입금을 하셔야 확정되십니다.</t>
  </si>
  <si>
    <t>[기타문의] 제가 이름만쓰고 네자리숫자는
 입력못했습니다.
 참고해주세요.</t>
  </si>
  <si>
    <t>입금 시 입금자명을 (ex.'홍길동_0000') 형식으로 기입하지 않으셔도 입금 확인은 가능한 상태입니다. 
 관련 내역 파악 후 처리 도와드리겠습니다.
 감사합니다.</t>
  </si>
  <si>
    <t>[기타문의] 당첨된건어떻게확인이되나요</t>
  </si>
  <si>
    <t>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</si>
  <si>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[정보변경] 동반인을 제 이름으로 하고 입금했어요.
 이 동반인의 경우 이름은 제이름 놔두고 동반인 생년 월일 전화번호만 바꾸면 가능한가요?</t>
  </si>
  <si>
    <t>현재 고객님께서는 '1인'으로 신청하신 것으로 파악됩니다. 관련 내용을 정확히 파악 후 재문의 접수 부탁드립니다.
 감사합니다.</t>
  </si>
  <si>
    <t>[정보변경] 예약자 임희경 010-3625-6534
 동반자 최필순 010-5004-8879
 에서
 예약자 임희경 010-5004-8879
 동반자 최필순 010-3625-6534
 으로 변경합니다.</t>
  </si>
  <si>
    <t>네 문의주신 대로 두분의 정보수정 처리 완료되었습니다.
 감사합니다.</t>
  </si>
  <si>
    <t>[취소/환불] 입금할때 황규동으로35000
 전화번호뒷번호안써서 다시 황규동6218로입금햇습니다</t>
  </si>
  <si>
    <t>입금 시 입금자명을 (ex.'홍길동_0000') 형식으로 기입하지 않으셔도 입금 확인은 가능한 상태입니다. 
 2번 입금하신 부분은 확인 후 처리 도와드리겠습니다.
 감사합니다.</t>
  </si>
  <si>
    <t>[정보변경] 임희경 예약자 연락처변경합니다</t>
  </si>
  <si>
    <t>변경하실 연락처를 재문의 해주시면 처리 도와드리겠습니다.</t>
  </si>
  <si>
    <t>[입금/결제] 입금자란에 (김정미1814)로 입금했는데 계속 입금대기로 뜨네요.입금확인 부탁드릴께요</t>
  </si>
  <si>
    <t>2인 신청하신 '7만원'의 입금내역을 파악 후 처리 도와드리겠습니다.</t>
  </si>
  <si>
    <t>[입금/결제] 오전 10시12분에 입금했는데 아직도 입금대기상태입니다. 확인부탁드립니다.</t>
  </si>
  <si>
    <t>입금 내역 파악 후 처리 도와드리겠습니다.</t>
  </si>
  <si>
    <t>[입금/결제] 폰번호 입력을 안해서 두번 입금 했는데 그냥 2인 구매로 해주시면 안되는지요?</t>
  </si>
  <si>
    <t>참가인 1인으로 신청해주셨기 때문에 인원수 변경은 불가합니다. 추가 입금내역은 확인 후 환불처리 진행해드리겠습니다.</t>
  </si>
  <si>
    <t>최경숙</t>
  </si>
  <si>
    <t>[입금/결제] 1인 눌렀늣데 그다음진행이 안되고
 매진이라고 합니다</t>
  </si>
  <si>
    <t>네 신청 인원수가 모두 마감되었습니다.
 추후 1차 신청자 분들 중 미입금 등 누락분이 발생하면 2차 티켓팅을 실시합니다. 진행 순서는 1차 때와 같습니다.
 혹여나 2차 티켓팅이 진행될 시에는 시간대와 날짜는 추후 공지하도록 하겠습니다.</t>
  </si>
  <si>
    <t>홍진우</t>
  </si>
  <si>
    <t>[기타문의] 2차 티켓 예매 예정이있는지요?</t>
  </si>
  <si>
    <t>현재 확인중에 있습니다.</t>
  </si>
  <si>
    <t>[입금/결제] 오전 9시 07분에 티켓팅되서
 9시10분46초에 2인 7만원 송금했는데
 아직도 입금대기라고 나오는데 확인부탁드려요
 컴터 키보드 오류로
 ㄱㅏㅇㅅㅓㅇㅁㅣ로신청되었고
 입금도 ㄱㅏㅇㅅㅓㅇㅁㅣ3448로 
 입금했습니다
 확인부탁드립니다</t>
  </si>
  <si>
    <t>네 수정해드릴게요</t>
  </si>
  <si>
    <t>[입금/결제] 입금 할때 전화번호 뒷자리를 쓰야 하는제 ᆢ쓰지 않았어요
 괜찮은지요ᆢ?</t>
  </si>
  <si>
    <t>입금 시 입금자명을 (ex.'홍길동_0000') 형식으로 기입하지 않으셔도 입금 확인은 가능한 상태입니다. 내역 파악 후 처리 도와드리겠습니다.</t>
  </si>
  <si>
    <t>[기타문의] 신귀순
 010ㅡ8682ㅡ7188
 신청 완료하고 입금 했는데
 신청내역을 확인할수 없다고 뜹니딘
 전번을 제가 잘못 기입 했을수도ㅈ있을것 같아요
 왜 신청내역을 확인할수 없다고 뜨나요ᆢ? 안되면 환불 받고 싶어요</t>
  </si>
  <si>
    <t>신청정보 조회 시 정확히 전화번호 11자리를 기입하셔야 확인 가능하십니다.
 현재 고객님이 문의주신 성함과 전화번호는 신청 대상자가 아니라고 파악됩니다.</t>
  </si>
  <si>
    <t>[취소/환불] 동생과 같이 신청했고 동생이 제이름으로 입금한 상태입니다 저는실패한줄 알았는데 성공한거 맞죠? 이거 실패한분들을 위해 취소해야하는데 입금안하면 저절로 취소되나요?</t>
  </si>
  <si>
    <t>네 고객님, '1인 신청' 진행하셨고 접수 처리는 완료되었습니다.
 입금 내역 파악 후 확정 처리 도와드리겠습니다.</t>
  </si>
  <si>
    <t>[입금/결제] 정해숙2942 로 입금했는데 아직 입금대기라고 되어있어요 어떡해 된건가요?</t>
  </si>
  <si>
    <t>정상입니다. 입금확인은 내일까지 진행예정입니다</t>
  </si>
  <si>
    <t>[입금/결제] 시간은 자꾸가고있고 애가탑니다
 다시 입금하고 잘못된건 돌려받을까요~?</t>
  </si>
  <si>
    <t>홍지희님으로 처리할 예정입니다. 다시 입금하지 않으셔도 됩니다</t>
  </si>
  <si>
    <t>[입금/결제] 입금자명을 홍지희 1227해야하는데 홍지희로입금하고말았네요
 어떻하죠~?
 다시입금할까요~?</t>
  </si>
  <si>
    <t>[취소/환불] 문의수정이 되지않아 다시 올립니다.
 제딸이 대신 신청했는데 실수로 딸이름(정아란)으로 보내서 새로 다시 제이름(윤민아2010)보냈다고합니다.
 근데 제가 신청확인하러 들어가보니 입금대기로 뜨길래 입금이 안된줄알고 또 (윤민아2010)으로 보냈어요 .
 (정아란)이름으로 입금한거랑 제이름으로 나중에 또 보낸거랑 총 7만원 환불 부탁드립니다.</t>
  </si>
  <si>
    <t>입금내역은 처리 중에 있습니다. 추가 입금건 2건은 확인 후 환불 예정입니다.
 감사합니다.</t>
  </si>
  <si>
    <t>[기타문의] 신청완료하고 바로 입금도 했는데 확인하면 지금도 입금대기로 뜨네요 어떻게 해야되나요? 기다리면 되는건가요? 답변 부탁 드립니다.</t>
  </si>
  <si>
    <t>정상입니다. 입금확인은 내일까지 진행됩니다</t>
  </si>
  <si>
    <t>[취소/환불] 신청 대표자;이현정(1023)이 신청한 2인티켓(동반자;남궁영희 510201)은 취소 부탁드립니다</t>
  </si>
  <si>
    <t>사이트내 하단에 신청 내역 확인하기 버튼 클릭후 전화번호11자리를 입력하세요. 다음 조회하기 버튼을 누르시면 직접 취소 하실 수 있습니다.</t>
  </si>
  <si>
    <t>유수민</t>
  </si>
  <si>
    <t>[기타문의] 9시6분경 신청할수있게 빨간창이떠서 빠르게입력과 신청완료했는데 확인하기 클릭해서 핸폰입력하니 안됐어요 어찌된건가요
 속상하고 화도나네요</t>
  </si>
  <si>
    <t>네 고객님, 내역을 확인 해보니 미신청자로 파악됩니다.
 추후 1차 신청자 분들 중 미입금 등 누락분이 발생하면 2차 티켓팅을 실시합니다. 진행 순서는 1차 때와 같습니다. 
 혹여나 2차 티켓팅이 진행될 시에는 시간대와 날짜는 추후 공지하도록 하겠습니다.</t>
  </si>
  <si>
    <t>[입금/결제] 입금했는데 좌석배정은 언제 되나요?</t>
  </si>
  <si>
    <t>행사 2~3일 전 진행 예정입니다</t>
  </si>
  <si>
    <t>[기타문의] 입금을 2인동반 6만원으로되어있어서 6만원했는데 잘못된거지요??</t>
  </si>
  <si>
    <t>네 이 부분은 따로 연락드릴 예정입니다.</t>
  </si>
  <si>
    <t>조현우</t>
  </si>
  <si>
    <t>[기타문의] 한 가지 더 건의드립니다. 한동훈대표님의 오랜 지지자들은 여러 번거로움이나 티켓팅과 결제 과정 등 불만 사항을 좋게 좋게 생각하고 넘어갈 수 있습니다. 그러나 앞으로 더 넓게 일반인들도 쉽게 접근할 수 있게 이런 토크콘서트 등을 계속 하실 생각이시면 티케팅 과정 개선은 꼭 필요하다고 봅니다. 요즘 시대에 과부하시 오류, 입금, 환불, 좌석 배정 과정 등에서 지금과 같은 수동식(?)은 개선해주십사 건의드립니다. 제가 사는 구에서 진행하는 문화 예술 행사도 네이버 예약 통해서 바로 신청 및 결제(현금/카드), 수정, 취소 등이 이루어집니다.</t>
  </si>
  <si>
    <t>네 의견 감사합니다. 추후 개선토록 하겠습니다.</t>
  </si>
  <si>
    <t>[기타문의] 이름+번호 정확히 쓴 분들만 인정해주시면 좋겠습니다
 일단 동명이인 걸러내기도 힘드실테고,
 말은 8분만에 마감이지만 사실은 1-2분 안에 마감된건데 이름 뒤에 숫자쓰는 그 몇초 사이에 성공 실패가 갈린 분들이 분명히 있을 거예요.
 동일인이 두번 입금했다면 이름+숫자 정확히 쓴 시간으로 인정해주세요.
 감사합니다.</t>
  </si>
  <si>
    <t>네 의견 감사드립니다.</t>
  </si>
  <si>
    <t>[기타문의] 티겟예매 확인하니 자꾸 대기로 나오는데 언제쯤 완료되나요?</t>
  </si>
  <si>
    <t>정상입니다. 입금확인은 내일완료될 예정입니다.</t>
  </si>
  <si>
    <t>[기타문의] 신청자의 전화번호를 잘뭇 기입 했을경우 어떻게 확인할 수 있습니까ᆢ,?</t>
  </si>
  <si>
    <t>문의하기에 다시 남겨주시겠어요?</t>
  </si>
  <si>
    <t>[취소/환불] 2인 7만원 입금했는데 취소하겠습니다.</t>
  </si>
  <si>
    <t>사이트내 하단에 신청 내역 확인하기 버튼 클릭후 전화번호11자리를 입력하세요. 다음 조회하기 버튼을 누르시면 직접 취소 신청이 가능하십니다.</t>
  </si>
  <si>
    <t>[기타문의] 동반자로 신청이 되었습니다. 잘못해서 이름을 잘못 썼는데 현장에서 입장 가능하나요. 정보는 그대로 입니다</t>
  </si>
  <si>
    <t>네 고객님, 변경하실 동반자 분의 성함을 재문의 해주시면 수정 처리 도와드리겠습니다.</t>
  </si>
  <si>
    <t>[취소/환불] 바쁘실텐데 번거롭게해 죄송합니다,
 갑자기 개인 일정이 변동되서 좌석배정되기전에 취소신청합니다.</t>
  </si>
  <si>
    <t>사이트내 하단에 "신청 내역 확인"하기 버튼 클릭후 전화번호11자리를 입력하세요. 다음 "조회하기" 버튼을 누르시면 직접 취소하실 수있습니다.</t>
  </si>
  <si>
    <t>채연희</t>
  </si>
  <si>
    <t>[입금/결제] 신청완료되었나요?
 입금계죄는 어디서 확인하나요?</t>
  </si>
  <si>
    <t>사이트 내 하단에 '확인' 버튼 클릭 후 전화번호 11자리를 입력하세요. 그리고 '조회하기' 버튼을 누르시면 관련 내용을 확인 가능합니다. 
 신청정보 조회 시 정확히 '전화번호 11자리'를 기입하셔야 확인 가능하십니다.
 입금계좌는 신청자에 한해서 공개되고 있는 점을 알려드립니다.</t>
  </si>
  <si>
    <t>[정보변경] 일본 도쿄에서 2명 신청해서 성공했습니다.
 저는 꼭 갑니다만, 남편이 일 조욜해야해서 혹시 못가게되면 한국에 있는 친구와 가려고하는데요. 
 동반인 정보 수정에서 이름은 변경이 안되니
 전화번호, 생년월일만 친구로 수정하면 친구랑 같이 입장 가능할까요?
 동반이 정보에서 남편 일본 휴대폰번호 적어서 통과했는데 큐알코드를 못받을거같아 일단 한국 친구 휴대폰 번호로 수정해뒀습니다!
 질문이 많아 번거롭게해서 죄송합니다!
 잘 부탁드립니다!!</t>
  </si>
  <si>
    <t>동반자의 성함도 변경하고 싶으시면 관련 내용을 재문의 해주시면 수정해드리겠습니다.
 감사합니다.</t>
  </si>
  <si>
    <t>[기타문의] 토크콘서트 남편 이름으로 예매 전번은 제 핸폰이고요
 이럴때 어떻게 해야하나요?
 입금은 남편이름 +제핸폰 뒷번호 이렇게 했어요</t>
  </si>
  <si>
    <t>변경사항을 재문의로 남겨주십시요.</t>
  </si>
  <si>
    <t>[정보변경] 입금자 오전 9시7분 54초 신청자 걍윤진 --&gt; 강윤진 으로 수정바랍니다
 입금도 강윤진3620 입니다</t>
  </si>
  <si>
    <t>수정완료했습니다</t>
  </si>
  <si>
    <t>조정순</t>
  </si>
  <si>
    <t>[기타문의] 신청할때 조정순, 01093485194, 주민번호 앞자리 740202로 신청완료까지했는데 혹시 누락되거나 번호를 급하게 입력하느라 한자리 틀려서 문자가 잘못 발송되었는지 궁금해서 문의드립니다ㅜㅜ</t>
  </si>
  <si>
    <t>신청 내역은 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</si>
  <si>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[정보변경] 죄송합니다. 박현민표 취소안하고 정보변경 하겠습니다. 취소하지 말아 주세요</t>
  </si>
  <si>
    <t>[기타문의] 1인 입금 후 다시 2인 입금했고 동반자 정보 입력했습니다 최종 2인 신청입니다 번거롭게 해드려 죄송합니다</t>
  </si>
  <si>
    <t>확인후 처리해드리겠습니다.</t>
  </si>
  <si>
    <t>[취소/환불] 취소합니다 함은순,함은순7393으로 두번 입금했습니다</t>
  </si>
  <si>
    <t>데이터 처리중입니다. 확인후 중복 입금분은 환불처리됩니다. 계좌번호를 남겨주십시요.</t>
  </si>
  <si>
    <t>[기타문의] 저희 회원이 전화번호 와 생년월일 기재는 바로했는데 이름을 잘못적은경우입니다 괞찮을까요 답변부탁드립니다 수고하세요</t>
  </si>
  <si>
    <t>현재 저희 시스템상 신청자 성함 변경은 불가 합니다. 당일날 신분증 지참하셔서 본인 확인 절차를 거치시기 바랍니다</t>
  </si>
  <si>
    <t>[기타문의] 생월일 전화번호는 정확히 적었는데 이름을 조카이름에서 수정할려하니 수정이 안되요</t>
  </si>
  <si>
    <t>대표 신청자의 신청내역 확인 화면에서 동반자 정보 수정 가능합니다. 꼭 신청 내역을 확인하시고, 도움이 필요하시면 다시 한번 문의 주시기 바랍니다.</t>
  </si>
  <si>
    <t>[취소/환불] 아시는 분이 본인이름으로2인신청을 하셨어요 이런경우 1인환불신청 하면되나요 답변부탁드립니다</t>
  </si>
  <si>
    <t>확인후 처리해드리겠습니다. 문의란에 직접 계좌번호를 남겨주십시요.</t>
  </si>
  <si>
    <t>[입금/결제] 입금시 이한숙으로 7만원입금
 입금자명 이한숙 5133으로 기재를 못했습니다. 입금확인시 참고부탁드립니다.</t>
  </si>
  <si>
    <t>네 확인후 처리하겠습니다.</t>
  </si>
  <si>
    <t>정수진</t>
  </si>
  <si>
    <t>[입금/결제] 심진완으로 신청을 했는데 신청이 된건지 확인부탁드립니다. 
 010 7723 9921 / 심진완 
 추가1인 정병렬도 있습니다.</t>
  </si>
  <si>
    <t>신청내역 확인 화면에서 본인 신청 내역 확인 가능합니다. 동반자 정보도 같은 방법으로 확인 부탁드립니다.</t>
  </si>
  <si>
    <t>[입금/결제] 제가 신청이 되었는데 모르고 입금계좌확인을 못해서 계좌번호 전송부탁드립니다. 은행명과 계좌번호 입금정보확인부탁드립니다. 감사합니다.</t>
  </si>
  <si>
    <t>신청 내역 확인 화면에서 계좌번호 확인 가능합니다. 확인 부탁드립니다.</t>
  </si>
  <si>
    <t>[취소/환불] 신청 내역을 확인 할 수 없습니다
 라고 뜹니다
 신청하고 입금도 했는데ᆢ
 입금자에 전번을 넣지 않았습니다
 이럴때는 취소환불을 해야 하나요ᆢ?</t>
  </si>
  <si>
    <t>성함, 연락처, 입금 시점, 은행이름, 입금자명을 남겨 주시기 바랍니다. 확인후 공지해 드리겠습니다.</t>
  </si>
  <si>
    <t>[정보변경] 정영혜인데 주영혜로 잘못입력했습니다
 수정바랍니다</t>
  </si>
  <si>
    <t>신청내역 확인 부탁드립니다.</t>
  </si>
  <si>
    <t>[기타문의] QR코드로만 입장가능 한가요? 아니면 주민번호 폰번호확인도 하나요?</t>
  </si>
  <si>
    <t>신분증과 핸드폰 지참 부탁드립니다. QR은 현장에서 생성될 것입니다.</t>
  </si>
  <si>
    <t>권현숙</t>
  </si>
  <si>
    <t>[기타문의] 분명히 신청서작성완료했는데 신청확인에서 번호로 확인했는데 없다고 뜨네요 그럼 신청안된거겠죠?ㅠ</t>
  </si>
  <si>
    <t>신청자 확인내역에서 확인이 안됩니다.
 감사합니다.</t>
  </si>
  <si>
    <t>[취소/환불] 35000원 마저 입금했급니다 취소 철회합니다</t>
  </si>
  <si>
    <t>[기타문의] 이름 수정은 불가 하다고 하시는데..어쩜 좋은가요?
 아까도 정보변경으로 문의 드렸지만. .너무 흥분해서 손정애1926 로 해야 하는데..신정애1926로 기입 했습니다.
 1953년생이신 손정애1926님은 저만 믿고 계시는데..확인하시고...꼭 쫌 부탁드립니다.</t>
  </si>
  <si>
    <t>입금 데이타 확인하겠습니다.</t>
  </si>
  <si>
    <t>[기타문의] 신청완료도 봤고 입금했는데 신청내역 확인이 안되네요</t>
  </si>
  <si>
    <t>성함, 연락처, 입금시점, 은행이름, 입금자명을 남겨 주시기 바랍니다. 확인해 보겠습니다.</t>
  </si>
  <si>
    <t>[취소/환불] 저희 부부가 동시에 2매씩 예매되어서 한쪽을 취소해야 할것같아요</t>
  </si>
  <si>
    <t>신청 내역 확인 화면에서, 8일 18시까지 한시적으로 직접, 취소 및 환불 요청 가능하십니다. 신청 내역 확인 화면에 들어가셔서, 직접 진행 부탁드립니다. 전체 취소, 부분 취소(2인 신청 --&gt; 1인 신청)도 가능하니 신중하게 진행 부탁드립니다.</t>
  </si>
  <si>
    <t>[입금/결제] 입금했는데 계속 입금대기가 뜨네요</t>
  </si>
  <si>
    <t>[정보변경] 저랑 엄마랑 각각 성공했는데 돈은 한사람으로 보냈어요 2명이예요 부산에서갑니다 티켓2장있어야해요 어설퍼서 실수가있는것같아요 윤신혜 윤세현입니다</t>
  </si>
  <si>
    <t>[입금/결제] 2인신청 했는데 동반자명을 늦게했더니 남편신청하고 겹쳐진거같아요저는 2인입금했는데 입금대기중입니다
 다시 동반자명 넣었더니 남편과 중복이라는데 남편은 입금안했어요 
 제가 입금한대로 신청되는건가요</t>
  </si>
  <si>
    <t>신청내역 확인 부탁드립니다. 입금에 대해서는, 현재 입금 확인이 진행중이라, '입금대기'로 표시되는 것이 정상입니다. 입금데이터 확인 후 별도 공지 예정입니다</t>
  </si>
  <si>
    <t>[입금/결제] 지금 입금 가능한가요?
 계좌번호를 놓쳤네요</t>
  </si>
  <si>
    <t>아쉽지만 1차 모집이 마감되었습니다.</t>
  </si>
  <si>
    <t>[기타문의] 저는 티켓팅 성공하였습니다, 다른분이 저를 동반자로 입력하여 중복신청되였는데 어떻게 하면 될지 문의드립니다,</t>
  </si>
  <si>
    <t>신청 내역 확인 화면에서, 8일 18시까지 한시적으로 직접, 취소 및 환불 요청 가능하십니다. 신청 내역 확인 화면에 들어가셔서, 직접 진행 부탁드립니다. 전체 취소, 부분 취소(2인--&gt; 1인)도 가능하니, 신중히 고려하셔서 진행 부탁드립니다.</t>
  </si>
  <si>
    <t>[입금/결제] 입금자명 잘못해서 3번 입금했습니다
 1 입금자명 황경선 7만원
 2 입금자명 주청주 7만원
 위 1.2 두번 환불 부탁드립니다
 3 입금자명 주청주8084 정상입금 하였습니다</t>
  </si>
  <si>
    <t>신청 내역 확인 화면에서, 8일 18시까지 한시적으로 직접, 중복 입금에대한 환불 요청 가능하십니다. 신청 내역 확인 화면에 들어가셔서, 직접 진행 부탁드립니다.</t>
  </si>
  <si>
    <t>[취소/환불] 한표취소하려고요 박현민. 01022387927 표 취소합니다</t>
  </si>
  <si>
    <t>[정보변경] 안녕하세요~ 지금 보니
 동반인 변경이 생년월일 이런것만 안된다고 떴던데요;; 
 저희 언니랑 (이서경,이인경) 가려고 동시에 예약을 했는데요
 언니도 되고 저도 되다보니 동반자 입력이 안되고 있는 상황에서
 9시 30분 경에는
 행사 전까지 동반인 변경이 가능하다고 해서
 일단, 이서경 취소해달라고 하고 언니(이인경)에는 일단 가족 중 한분 이름을 쓰고 저(이서경) 취소해달라고 문의 남겨두었습니다. 그런데 지금보니 변경이 안된다고 ㅠㅠㅠ 공지가 사전에 나간게 있으니 예정대로 동반인 변경을 해주셔야할 것 같은데요 ㅠㅠ
 아니면 1회 안에서 가능하도록 해주시던지;</t>
  </si>
  <si>
    <t>[기타문의] 신청시 입금대기 싱태에서 이름폰번호뒷자리4개등록하고 입금처리가 완료되었습니다 신청시 주민번호. 기재했는지 기억이 안나서 신청완료 되었는지 확인요청드립니다</t>
  </si>
  <si>
    <t>정상 신청되었습니다</t>
  </si>
  <si>
    <t>[정보변경] 동반자 정보에서 생년월일 과 전화번호는 맞게 입력 하였으나'
 이름을 잘못 입력 했습니다 변경이 가능한지 ?
 아니면 QR드 핸드폰으로 오면 QR코드만 가지고도 참석 가능한지 
 답변부탁드립니다</t>
  </si>
  <si>
    <t>[취소/환불] 이서경(010-2595-9828) 도 신청되어 입금은 안하고 취소문의함
 이인경(010-2415-9828)이 2인 신청되어 입금함
 이서경동반자 입력안되어서 아들이름으로 우선 입력해놓음
 ( 변경 가능하다고 이미 앞에 게시되어서요)</t>
  </si>
  <si>
    <t>[취소/환불] 동반자 이름변경 불가능한가요? 안되면 취소할께요</t>
  </si>
  <si>
    <t>[취소/환불] 이전에 취소요청 드렸는데 철회요청합니다 
 유지하겠습니다!!</t>
  </si>
  <si>
    <t>[입금/결제] 전번뒷자리 안넣어서,두번째 넣있거든요,확인부탁드립니다</t>
  </si>
  <si>
    <t>전화번호 단순누락은 관리팀에서 확인 후 승인합니다. 동명이인이 있을시에만 확인 전화를 드릴 예정이며, 그렇지 않은경우 정상적으로 접수처리 됩니다. 또한, 8일 18시까지 한시적으로 직접, 중복 입금에 대한 환불 요청 가능합니다. 신청 내역 확인 화면에 들어가셔서, 직접 진행 부탁드립니다.</t>
  </si>
  <si>
    <t>[입금/결제] 신청내역확인이랑 입금계좌 좀 알려주세요</t>
  </si>
  <si>
    <t>[정보변경] 티켓팅이 이중으로 성공됐는데 동반자명이 중복되서 정보변경 할께요
 Q&amp;A에 정보변경 가능하다고 해서 일단 적었는데 갑자기 변경 안된다고 하시면 어떻게 하라는거죠</t>
  </si>
  <si>
    <t>이순이</t>
  </si>
  <si>
    <t>[기타문의] 신청완료 됐는데 티켓팅 된건지요</t>
  </si>
  <si>
    <t>신청내역 확인 화면에서 신청 내역 확인 가능합니다. 확인 부탁드립니다.</t>
  </si>
  <si>
    <t>[기타문의] 안녕하세요 
 티켓입금을 두번했습니다
 35000원이라고해서
 지은아3799/35000
 한순실1123/35000
 한순실로다시6만원입금했습니다
 확인부탁드립니다 
 010,5531,3799입니다
 감사합니다 🙏</t>
  </si>
  <si>
    <t>[기타문의] 안녕하세요
 전서연 01063082869
 성공 맞죠?입금도 했습니다 고맙습니다
 그리고
 죄송합니다
 급한 마음에 이름+폰 뒤번호 작성 못했습니다</t>
  </si>
  <si>
    <t>정상 신청완료 되었습니다.</t>
  </si>
  <si>
    <t>[입금/결제] 입금하면서 핸드폰 뒷자리 안적었습니다 
 어떡해야하나요</t>
  </si>
  <si>
    <t>김인숙</t>
  </si>
  <si>
    <t>[취소/환불] 개인사정으로 급한일정이 생겨 취소환불부탁드립니다.</t>
  </si>
  <si>
    <t>8일 18시까지 한시적으로 직접, 취소 및 환불 요청 가능합니다. 신청 내역 확인 화면에 들어가셔서, 직접 진행 부탁드립니다.</t>
  </si>
  <si>
    <t>[취소/환불] 아내이름 티켓팅되어서 동반자로 이름 올렸는데 ᆢ제티켓은 취소하려하는데 어떻게 해야하나요?</t>
  </si>
  <si>
    <t>[입금/결제] 김춘희3166
 한국 미국 동시에 입금을 하여 
 신청은 1명 1회 하였고 입금만 2회 입니다.
 입금 1회만 환불 가능 할까요? 
 절대 취소하지 말아주세요🙏🙏🙏🙏</t>
  </si>
  <si>
    <t>[입금/결제] 입금시 전화번호를
 기재하지 못해습니다
 홍성기1인신청 
 010 3596 5148 
 입니다</t>
  </si>
  <si>
    <t>정상 신청완료되었습니다</t>
  </si>
  <si>
    <t>[기타문의] 입금확인 하고 자리배치 대기하고 확인했는데 신청조회가 신청내역이 안된다고 뜨네요?</t>
  </si>
  <si>
    <t>동반인으로 정상 접수 되셨습니다. 입금대기, 좌석배정 대기는 아직 진행되지 않아서 정상입니다.</t>
  </si>
  <si>
    <t>[정보변경] 콘서트 동반자 정보변경 해주세요🙏
 010 3667 9000
 주민번호:560824</t>
  </si>
  <si>
    <t>신청내역 확인에 들어가셔서, 직접 동반자 정보 수정 가능합니다. 진행 부탁드립니다.</t>
  </si>
  <si>
    <t>[정보변경] 동반인을 아래 정보로 변경희망합니다
 김화중
 01076334302
 생일 560505</t>
  </si>
  <si>
    <t>동반인 이름 변경은 원칙적으로 불가합니다. 동반인 정보 변경은 생년월일과 전화번호만 변경 가능합니다. 이점 양해 부탁드립니다.</t>
  </si>
  <si>
    <t>[입금/결제] 자녀가 신청했는데요
 제딸이름(정아란)으로 입금을 잘못해서, 제이름(윤민아)으로 다시 재입금 했다고하네요..
 근데 제가 제폰으로 신청한게 실패한줄 알았는데 입금대기로 되어있어서 또 입금(윤민아2010)을 했는데요. 이중으로 입금됐다면 늦게 입금한건 취소하고 싶어요. 잘못입금한것도 환불처리 부탁드려요</t>
  </si>
  <si>
    <t>8일 18시까지 한시적으로 직접, 신청 취소, 중복 입금에 대한 환불 요청도 가능합니다. 신청 내역 확인 화면에 들어가셔서, 직접 진행 부탁드립니다. 추후 도움이 더 필요하시면 문의 남겨 주시기 바랍니다.</t>
  </si>
  <si>
    <t>[취소/환불] 취소 환불 부탁드립니다</t>
  </si>
  <si>
    <t>[정보변경] 입금됐다고 확인 했는데 조회해보니 신청내역을 찾을수가 없다하네요</t>
  </si>
  <si>
    <t>성함, 연락처, 입금 시점, 은행 정보를 남겨 주시기 바랍니다. 확인해 보겠습니다.</t>
  </si>
  <si>
    <t>[정보변경] 너무 정신 없으신데 죄송합니다만
 동반자 정보 수정 할수 있게 만들어 주세요
 주변에 연세 많으신분들을 지인들 통해 여기 저기 부탁해놓으신분들이 많을걸로 압니다 그래서 중복으로 티켓팅이 되신분들이 있을거라 생각되거든요
 어차피 1인2매 티켓팅 한분들중에서 안되신분들과 참여 할수 있도록 정보수정 할수 있게 부탁드립니다
 간절히요</t>
  </si>
  <si>
    <t>[기타문의] 2차티켓예약도 있나요?</t>
  </si>
  <si>
    <t>현재 확인중입니다. 2차 모집은 추후 별도로 공지 예정입니다.</t>
  </si>
  <si>
    <t>[입금/결제] 최문순이름으로 2명 7만원입금했습니다 너무흥분해서 전화번호를 안남겼어요 죄송합니다 번거롭게해서ㅠ</t>
  </si>
  <si>
    <t>[입금/결제] 김성태 1인 신한은행 입금 35,000 완료했는데 김성태 뒤에 전화번호 뒷자리 5730 안썼습니다</t>
  </si>
  <si>
    <t>[정보변경] 죄송한데요  제가 동반인 바꾸고 싶어서요
 한번썼는데 그사람도 안된다고 해서 
 최종으로 
 장지원 01055887951
 생년월일 661015 로 바꿔주세요</t>
  </si>
  <si>
    <t>동반인 이름 변경은 원칙적으로 불가합니다. 동반인 정보는 생년월일과 전화번호만 변경 합니다. 양해 부탁드립니다.</t>
  </si>
  <si>
    <t>[기타문의] 제가 너무 떨려서 1인으로 신청했는데
 입금은 제가 3번이나 실수로 입금했어요</t>
  </si>
  <si>
    <t>[정보변경] 동반자 정보변경을 하려고 합니다</t>
  </si>
  <si>
    <t>대표 신청자의 신청 내역 확인 화면에 들어가셔서, 직접 동반자 정보 수정 가능합니다. 진행 부탁드립니다. 추후 더 도움이 필요하시면 문의 주시기 바랍니다.</t>
  </si>
  <si>
    <t>권경숙</t>
  </si>
  <si>
    <t>[입금/결제] 계좌번호를창에서찾을수없어요</t>
  </si>
  <si>
    <t>신청내역 확인 화면에서 계좌번호 확인 가능합니다. 확인 부탁드립니다.</t>
  </si>
  <si>
    <t>[취소/환불] 안녕하세요. 
 신청하고 입금까지 했는데, 신청내역에서 확인을 할 수 없다고 하네요
 신청된게 아니라면 빨리 환불해주세요
 하나은행 박지영 010-3764- 6373 
 더 이상 이 사이트에 머물고 싶지 않습니다</t>
  </si>
  <si>
    <t>성함, 연락처, 입금 시점, 입금자명을 남겨주시기 바랍니다. 확인해 보겠습니다.</t>
  </si>
  <si>
    <t>[기타문의] 입금자 최말경3739
 전번 뒤 네자리 3739 가
 누락되서 알려드립니다
 수고하세요~~</t>
  </si>
  <si>
    <t>[기타문의] 처음 입금시간으로 자리 배정해주세요  선착순이라 뒤에 재입금한거는  너무 늦게했어요 죄송해요</t>
  </si>
  <si>
    <t>정확한 정보를 기반으로 자리는 배정이 됩니다. 이점 양해 부탁드립니다.</t>
  </si>
  <si>
    <t>[기타문의] 1인 신청 할려고 햇는데 2인 신청이 되었습니다 35,000 입금하였는데 신청되었는지 궁금합니다 35,000 더 입금 할까요</t>
  </si>
  <si>
    <t>8일 18시까지 한시적으로 직접, 부분 취소가 가능합니다. 신청내역 화면에서 직접 진행 부탁드립니다.</t>
  </si>
  <si>
    <t>[취소/환불] 신청자 "이혜원" 010-9144-5193으로 2건 신청되었는데,
 입금명: "이혜원 한동훈토크콘서트" 로 입금된 건 35,000원만 취소부탁드립니다.
 (농협: 이혜원/21505552232321)
 신청자 "이혜원5193" 2인은 유지부탁드립니다. 70,000원 입금 완료하였습니다.</t>
  </si>
  <si>
    <t>[입금/결제] 입금시 전번을 썼는지 기억이 안나요 입금자명은 신청인 이름으로 했어요</t>
  </si>
  <si>
    <t>[취소/환불] 뒷자리번호 기입안하고 입금함</t>
  </si>
  <si>
    <t>[취소/환불] 입금자명 잘못 입력해서 3회 입금했습니다 
 1 입금자명 황경선 잘못밉력 7만원
 2 입금자명 주청주 잘못입력  7만뭔
 위 1.2 두번 잘못 입금 했어요 
 3 입금자명 주청주8084 정상입금 
 1.2 환불 부탁드립니다</t>
  </si>
  <si>
    <t>[입금/결제] 신청완료라 했는데 계좌번호 못봐서 입금 못했음 계좌번호 올려주세요</t>
  </si>
  <si>
    <t>[입금/결제] 입금자명뒤에 전번끝자리 안넣었습니다
 임지우8944</t>
  </si>
  <si>
    <t>[입금/결제] 박철 계좌에서
 임인경 0500 으로 입금했습니다.</t>
  </si>
  <si>
    <t>괜찮습니다. 신청자 이름과 동일한 송금자 이름 + 전화번호 뒷자리면 됩니다.</t>
  </si>
  <si>
    <t>[정보변경] 동반자 정보중 전화번호를 잘못 입력 했어요 동반자 이현정 010 4626 1023으로 수정부탁드려요 뒷자리 1203 에서 1023 으로 수정해주시면 되셔요</t>
  </si>
  <si>
    <t>대표 신청자 신청내역 확인 화면에서 동반자 정보 수정 가능합니다. 직접 진행 부탁드립니다.</t>
  </si>
  <si>
    <t>[입금/결제] 입금자명에 계좌 복붙을 해서
 2025.12.07 09:09:10
 입금자명 7940-0104- 로 잘못 기재하여 한번 더 입금이 됐습니다
 확인하실때 참고해주세요 ㅜㅜ</t>
  </si>
  <si>
    <t>[정보변경] 손이 달달 떨리고. 맘이 급해서 그만
 남편 핸드폰번호(폰이 두개여서~)
 입력을 두번호 조합해서 적는 오류를 저질러 버렸습니다.. 
 제발 동반자 전번 다시 변경할수 있게 부탁. 부탁드릴게요 🙏 
 어렵게 신기하게 당첨된거에요. 제발 부탁드릴게요..
 동반자 정보
 김조년 
 010 2171 5253 /(5289로 잘못기재 됨)
 620527</t>
  </si>
  <si>
    <t>대표 신청자 신청내역 확인 화면에서 직접 동반자 정보 수정 가능합니다. 빠른 진행 부탁드립니다.</t>
  </si>
  <si>
    <t>[정보변경] 동반자 핸드폰 번호를 잘못 넣었습니다.
 변경부탁드립니다.
 박은희 010-2896-3573
 660411</t>
  </si>
  <si>
    <t>대표신청자 신청내역 확인 화면에서 직접, 동반자 정보 수정 가능합니다. 직접 진행 부탁드립니다.</t>
  </si>
  <si>
    <t>[기타문의] 안녕하세요. 티케팅 광탈하고 남겨봅니다. 물론 더 잘 아시겠지만,, 사이트 오류로 5분 정도는 계속 이것 저것 눌러도 오픈 전만 뜨더라구요. 한꺼번에 신청자가 많아서 그렇겠지만 오류로 제대로 신청 버튼도 활성화가 안되서 제대로 신청도 못해보고 끝나버리니 허무하네요. 입금확인 과정도 수작업으로 하시는 거 같은데 이 과정은 주최측도 예약자도 번거로울 듯합니다. 전문티켓팅 사이트가 아니더라도 네이버예약(사업자)를 이용해보시면 결제과정까지 예약자와 주최측 모두 덜 번거울거 같아 남겨봅니다. 수고많으십니다. 감사합니다.</t>
  </si>
  <si>
    <t>[기타문의] 입금순으로 좌석 배치할때 중간부터 외곽으로 배치해주세요 콘서트 예매할때 본인이 자리 선택하는 이유가 앞자리 중앙에서 보고 싶어서 하는건데 입금빨리했는데 외곽으로 빠지거나 입금은 늦었는데 중앙이면 좀 불공평 할거 같아서요</t>
  </si>
  <si>
    <t>[기타문의] 신청내역도 일방적으로 날려보내고,
 저밑의 문의했을때 다시 신청해야된닥고
 말씀해주시는게 맞지않나요?</t>
  </si>
  <si>
    <t>조슌경</t>
  </si>
  <si>
    <t>[입금/결제] 입금완료했는데 입금대기상태라고 나오네요
 확인부탁드립니다</t>
  </si>
  <si>
    <t>[정보변경] 신청자 동반자 정보변경 가능한가요?제발 변경가는하게 해주세요ㅠ</t>
  </si>
  <si>
    <t>별도 연락드리겠습니다</t>
  </si>
  <si>
    <t>[취소/환불] 송금2번했어요 
 처음에 이름만 넣고 7만원송금,
 두번째 추가 7만원 이름+전화번호 끝자리9193송금했습니다
 하나는 환불처리 부탁합니다
 죄송합니다</t>
  </si>
  <si>
    <t>[기타문의] 지난번 앱열리자마자 신청2인했고
 송금은 안했으며, 신청내역은 계속
 살아있길래, 정중하게 2번이나 오늘
 그신청내역으로 오늘 솟금하면 되냐고
 2번이나 문의했는데, 그렇게 입금하면
 된다고 답변받고, 넋놓고 기다리고
 있었는데, 지금보니 문의내용도 일방적으로
 날려버리고,이게 공정을 지향하는
 한동훈 맞아요?????????????</t>
  </si>
  <si>
    <t>[기타문의] 안녕하세요 제가 처음 입금할때. 전화번호를. 안적었는데. 괜찬은건가요?
 혹시몰라서 다시입금하면서. 전화번호 적었어요. 하나는 환불 받을께요
 제 계좌번호. 국민은행424001 01 373803 권명순. 감사합니다</t>
  </si>
  <si>
    <t>전화번호 단순누락은 관리팀에서 확인 후 승인합니다. 동명이인이 있을시에만 확인 전화를 드릴 예정이며, 그렇지 않은경우 정상적으로 접수처리 됩니다. 
 또한, 8일 18시까지 한시적으로 직접, 중복 입금 및 환불 요청 가능합니다. 신청 내역 확인 화면에 들어가셔서, 직접 진행 부탁드립니다</t>
  </si>
  <si>
    <t>[정보변경] 수고많으십니다. 동반인(서우주)과 각각 예약 신청에 성공해서 그 중 한 사람(본인 신청자 서윤정)이 예약을 진행하고 있습니다. 입금(2인)은 완료했는데 동반인 정보 입력을 하려고 하니 '이미 다른 신청의 주 신청자 전화번호로 사용중입니다. 신청자(서우주)' 상태로 입력을 할 수가 없고, 동반인(서우주)은 취소 문의를 해 놓았습니다. 그 취소가 완료될 때까지 기다렸다가 동반인 입력을 할 수 밖에 없는 건지, 동반인 입력이 늦어지면 좌석 배정이 뒤로 밀리게 되는게 아닌지 많이 바쁘시겠지만 빠른 확인을 부탁드려봅니다 고맙습니다.</t>
  </si>
  <si>
    <t>신청 내역 확인 부탁드립니다.</t>
  </si>
  <si>
    <t>[입금/결제] 계좌번호가창 에서뜨지가않아요</t>
  </si>
  <si>
    <t>아쉽게도 참가신청이 완료되지 않았습니다.</t>
  </si>
  <si>
    <t>[입금/결제] 입금을 했는데 아직도 입금대기라고 뜨고 좌석배정은 언제 될까요?</t>
  </si>
  <si>
    <t>네 괜찮습니다. 입금 확인은 내일까지 진행예정입니다. 좌석배정은 행사 직전에 진행됩니다.</t>
  </si>
  <si>
    <t>[기타문의] 신청확인이 됐는데 신청확인이 안되네요.</t>
  </si>
  <si>
    <t>[입금/결제] 중복 입금했어요 ㅠ
 희연과 희연8883 처리하시어 답변부탁드립니다</t>
  </si>
  <si>
    <t>[정보변경] 동반인 연락처를 잘못 기재했습니다. 변경가능할까요?
 변경연락처 010-4202-6787 입니다.</t>
  </si>
  <si>
    <t>대표 신청자 신청내역 확인 화면에서 동반자 정보 직접 수정 가능합니다. 진행 부탁드립니다.</t>
  </si>
  <si>
    <t>[정보변경] 입금자명 옆 전번 안쓰면 무효인가요. 제발 ㅠㅜ</t>
  </si>
  <si>
    <t>네 괜찮습니다. 입금 확인은 내일까지 진행예정입니다.</t>
  </si>
  <si>
    <t>[입금/결제] 안녕하세요.
 너무 급한 마음에, 먼저 이명우로 정보 입력 진행했으나 다음 단계에서 다시 새로운 정보 입력이 나와 이아힘으로 하고 동반자를 이명우로 진행하면서 두 개가 중복되었지도 모른다는 생각에 입금자명을 이아힘2310로 하지 않고 이아힘이명우로 했습니다.
 수고스럽겠지만 확인 등 부탁드립니다.
 감사합니다.</t>
  </si>
  <si>
    <t>[정보변경] 신청한 본인이 표를 양도 할수 있나요. 동반자는 정보변경해서 양도할수 있고 본인거도 할수 있나요</t>
  </si>
  <si>
    <t>신청자= 참석자를 원칙으로 합니다. 동반자 성함 변경 할수없습니다.감사합니다.</t>
  </si>
  <si>
    <t>[정보변경] 제발요ㅠㅠ남푠이 대신 해준건대 변경하게 해주세요ㅠㅠㅠㅠㅠ</t>
  </si>
  <si>
    <t>[입금/결제] 환불계좌를 안적었네요
 카카오뱅크 임정임
 3333 05 1861831</t>
  </si>
  <si>
    <t>8일 18시까지 한시적으로 직접, 환불 요청 가능합니다. 신청 내역 확인 화면에 들어가셔서, 직접 진행 부탁드립니다</t>
  </si>
  <si>
    <t>[입금/결제] 9시10분입금완료
 조혜원 뒤에 1088누락했습니다
 참고부탁드립니다</t>
  </si>
  <si>
    <t>[정보변경] 동반자정보 번호 오타가 있어서 동반자정보변경 요청 드립니다.
 이름 : 고창근
 전화번호 : 01025897306
 생년월일 : 591029</t>
  </si>
  <si>
    <t>확인했습니다. 반영에 시일이 조금 걸릴 수 있습니다</t>
  </si>
  <si>
    <t>[입금/결제] 신청완료라고 떴는데
 신청내역조회하니 없다고 뜨네요
 확인 부탁드립니다</t>
  </si>
  <si>
    <t>[기타문의] 대표님토크콘서트 
 티켓팅 후 입금까지 완료 했으나 
 입금자 이름만 기재 후 전화번호 4자리를 입력하지 못했네요 ㅠ
 이런 상황은 어찌 해야하나유....</t>
  </si>
  <si>
    <t>[입금/결제] 9시14분 이유주 라고만 입금 했네요
 이유주 0037이라고 적었어야 되는데..</t>
  </si>
  <si>
    <t>[입금/결제] 첫번째 입금 시간으로 좌석 부탁드립니딘</t>
  </si>
  <si>
    <t>정확한 정보를 기반으로 좌석은 배정됩니다. 양해 부탁드립니다.</t>
  </si>
  <si>
    <t>[취소/환불] 입금할때 김윤아 이름으로만 입금했다가 다시 김윤아 0369로 입금 다시 했습니다.
 김윤아 이름으로 입금된 건 환불부탁드립니다</t>
  </si>
  <si>
    <t>신청자내역에서 확인되지않습니다.
 감사합니다.</t>
  </si>
  <si>
    <t>서정원</t>
  </si>
  <si>
    <t>[기타문의] 티켓팅 구매못했어요. 마감됐데요</t>
  </si>
  <si>
    <t>여석이 발생하는 경우 2차 오픈이 진행될 수 있습니다.</t>
  </si>
  <si>
    <t>[입금/결제] 입금자 표기 수정
 당첨되자 즉시 09:10:24 에
 이름으로만 입금하엿읍니다
 수정 부탁드립니다
 입금자 : 이경희7798</t>
  </si>
  <si>
    <t>[입금/결제] 정상 입금 되었는지 궁금합니다</t>
  </si>
  <si>
    <t>네 입금 확인은 내일까지 진행예정입니다.</t>
  </si>
  <si>
    <t>[입금/결제] 첫번째 입금시간이 7일
 9시 11분 윤성수로 입금했습니다</t>
  </si>
  <si>
    <t>신청자 내역에 계십니다.</t>
  </si>
  <si>
    <t>홍윤숙</t>
  </si>
  <si>
    <t>[기타문의] 안녕하세요  지금 금방 문의하였는데 다른 방법으로라도 꼭꼭 꼭 입장하고 싶어요 제가 나이가 만 75세라 대리점에  와서 부탁하느라고(오늘이 일요일 이라서 또 혼자 살아서)늦었더니 끝나서 정말로  아쉽네요 경로우대로 갈수 있도록 도와주세요 감사합니다</t>
  </si>
  <si>
    <t>여석이 발생할 경우 2차 오픈이 진행될 수 있습니다.</t>
  </si>
  <si>
    <t>[취소/환불] 입금자 명 뒤 전번뒤 4자리 붙여서 추가입금했습니다
 한건은 환불 받아야하는데
 입금내역은 어디로 보내드리면 될까요
 절차안내 부탁드려요</t>
  </si>
  <si>
    <t>8일 18시까지 한시적으로 직접, 중복 입금 및 환불 요청 가능합니다. 신청 내역 확인 화면에 들어가셔서, 직접 진행 부탁드립니다</t>
  </si>
  <si>
    <t>[정보변경] 동반자정보 핸드폰번호 오타가 있는데 어떻게 수정하나요</t>
  </si>
  <si>
    <t>사이트 내 하단에 신청 내역 확인 버튼 클릭 후 전화번호 11자리를 입력해주세요. 그리고 조회하기 버튼을 누르시면 관련 내용을 확인 가능합니다. 동반자란에서 폰번호 직접 수정 가능하십니다.
 감사합니다.</t>
  </si>
  <si>
    <t>이숙자</t>
  </si>
  <si>
    <t>[입금/결제] 신청내역조회가 안됩니다</t>
  </si>
  <si>
    <t>신청자내역에서 확인되지 않습니다.
 감사합니다.</t>
  </si>
  <si>
    <t>[입금/결제] 신청하고 완료된 줄 알고 입금을 했는데 지인이 동반자로 신청을 해 주어서 신청확인으로 뜬 거었어용
 김해영2831로 입금했으니 
 농협 741066 52 112601 김해영으로 환불부탁드립니다.</t>
  </si>
  <si>
    <t>[기타문의] 입금 했는데 완료가 안뜹니다</t>
  </si>
  <si>
    <t>네 입금 확인은 내일까지 진행예정입니다. 현재 대기로 나오는것이 정상입니다.</t>
  </si>
  <si>
    <t>[정보변경] 입금 후 신예성 7505 입력 해주세요</t>
  </si>
  <si>
    <t>네. 입금 확인은 내일까지 진행예정입니다.</t>
  </si>
  <si>
    <t>최영신</t>
  </si>
  <si>
    <t>[입금/결제] 앞에 입금자뒤에 전번뒷자리 못붙여서 문의드린바 있는데요
 방금 최영신7030으로 다시 보냈습니다
 앞에 보낸 금약을 환불처리해주시면 좋겠지만 불가능하시다면 그냥 두셔도 괜찮아요 저의 부주의라서 ㅠ</t>
  </si>
  <si>
    <t>[취소/환불] 동반1인은 취소해주세요</t>
  </si>
  <si>
    <t>8일 18시까지 한시적으로 직접, 취소 및 환불 요청 가능합니다. 신청 내역 확인 화면에 들어가셔서, 직접 진행 부탁드립니다</t>
  </si>
  <si>
    <t>[기타문의] 죄송해요. 
 이유주 0037 이라고 해야 되는데..
 9시14분에 입금자명에 이유주라고만..번거로이 해 드려 다시금 미안함을 전합니다.</t>
  </si>
  <si>
    <t>[입금/결제] 길미정으로 70,000원,
 길미정7345로 70,000원 ,
 2명인데 입금자 이름뒤 폰번을 안넣어서 중복 입금함
 1회분 70,000은 환불요청(농협 길미정 865 02 127795)</t>
  </si>
  <si>
    <t>[기타문의] 매진되었다고 하는데 혹시 입석으로라도 들어가면 안될까요? 그날 현장에서  입장할수 있는 방법이 없을까요?</t>
  </si>
  <si>
    <t>잔여석이 생길 경우 2차 오픈 진행이 될 수 있습니다. 입석 참가는 어렵습니다. 죄송합니다.</t>
  </si>
  <si>
    <t>[입금/결제] 입금후 예금주 신예성 7505 입력못했습니다</t>
  </si>
  <si>
    <t>[취소/환불] 제가 너무 긴장해서 처음 입금할 때 ‘조재희 5066’으로 보내야 했는데 실수로 ‘조재희 8391’로 입금했습니다. 이후에 다시 ‘조재희 5066’으로 정상 입금했습니다.
 좌석이 입금 순으로 배정된다고 하여, 처음에 잘못 입금한 ‘조재희 8391’ 기준으로 좌석 배정을 부탁드립니다. 가능하시다면 조금이라도 앞자리로 부탁드립니다.</t>
  </si>
  <si>
    <t>8일 18시까지 한시적으로 직접, 중복 입금 및 환불 요청 가능합니다. 신청 내역 확인 화면에 들어가셔서, 직접 진행 부탁드립니다. 자리 배정은 정확한 정보를 기반으로 진행할 예정입니다. 양해 부탁드립니다.</t>
  </si>
  <si>
    <t>[입금/결제] 입금했어요 다만 입금지 이름뒤에 전번 끝자리 네자리 입력을 못했어요 ㅠ</t>
  </si>
  <si>
    <t>[기타문의] 본인 명의로 2매 신청되서. 1매 입금 완료까지했습니다 ㅣ매는취소하면 되나요?아니면그냥입금안하면되나요? 답변주세요</t>
  </si>
  <si>
    <t>[입금/결제] 티켓비를 3번 송금했어요
 한번은 전번 뒷자리를 안쓰고 보내고 한번은 쓰긴 썼는데 메모칸에 쓰고 세번째는 이름뒤에 썼어요 먼저 보낸 두번은 환급 바랍니다.</t>
  </si>
  <si>
    <t>[기타문의] 저는 티켓팅실패했는대 남편이 신청자로 저를 동반자로 해서 당첨됐어요
  남편(신청자)를 다른 사람으로 변경 안될까요? ㅠㅠ
 만약 안되서 저 혼자 가야한다면 부분 취소도 가능한가요?</t>
  </si>
  <si>
    <t>신청자 이름 변경은 불가합니다. 부분 취소는 동반자 취소만 가능하고, 대표 신청자 취소는 불가합니다. 신청 취소 관련 자세한 내용은 대표 신청자 이름으로 신청 내역 확인에 들어가셔서 확인 가능합니다. 확인 부탁드립니다.</t>
  </si>
  <si>
    <t>[정보변경] 동반자 핸드폰번호를 잘못기재했는데 어떻게 하는지요</t>
  </si>
  <si>
    <t>대표 신청자 신청내역 확인에서, 직접 동반자 정보 수정 가능합니다. 진행 부탁드립니다.</t>
  </si>
  <si>
    <t>[입금/결제] [7만원 3번 입금 했어요!! 1회분 제외하고 나머지건은 환불 되나요?]
 안녕하세요 
 토크콘서트 2인동반 신청 후
 - 확인이 되어 첫번째 입금을 하고!
 - 동반자 입력이 안되어 재입력 후 재입금!
 - 입금자명 형식(폰번첨부 오류로) 세번째 입금!
 이렇게 3번 입금했어요 
 14만원은 환불이 되는지 궁금합니다 
 토크 콘서트 열어주셔서 감사합니당</t>
  </si>
  <si>
    <t>[입금/결제] 입금자명 뒤에 전화번호 뒷자리를 쓰지않았습니다. 그리고 동반자핸드폰를 잘잘못기재했는데 어떻게 해야하는지요
 연락부탁드립니다.</t>
  </si>
  <si>
    <t>[정보변경] 동반자변경
 이미영
 710423
 010.2756.9899</t>
  </si>
  <si>
    <t>동반자 이름 변경은 원칙적으로 불가합니다. 동반자 정보 변경은 이름을 제외한 전화번호와 생년월일만 가능합니다. 불편을 끼쳐드려 죄송합니다. 혹 2차 오픈이 된다면 다시 신청해 보시길 권유 드립니다.</t>
  </si>
  <si>
    <t>[입금/결제] 입금자 황광숙0607 로 2인 7만원 입금했습니다</t>
  </si>
  <si>
    <t>신청자 내역에서 확인되십니다.
 감사합니다.</t>
  </si>
  <si>
    <t>[기타문의] 입금자이름에 전화번호을 안써는데 어떻게 할까요?</t>
  </si>
  <si>
    <t>[입금/결제] 전화번호끝자리표시 안했습니다
 국민은행75,000.농협75,000,
 두번 입금했습니다
 확인부탁드립니다
 이정길8004 (동행자 박필란)</t>
  </si>
  <si>
    <t>전화번호 단순누락은 관리팀에서 확인 후 승인합니다. 동명이인이 있을시에만 확인 전화를 드릴 예정이며, 그렇지 않은경우 정상적으로 접수처리 됩니다. 
 또한, 8일 18시까지 한시적으로 직접, 중복 입금 및 환불 요청 가능합니다. 신청 내역 확인 화면에 들어가셔서, 직접 진행 부탁드립니다.</t>
  </si>
  <si>
    <t>[입금/결제] 계좌번호가안떠요
 찾을수없어요</t>
  </si>
  <si>
    <t>신청내역 확인 화면에서 계좌번호 확인 가능합니다. 확인 부탁드립니다</t>
  </si>
  <si>
    <t>[입금/결제] 입금할때 박순정 6766 말고 박순정으로 입금했는데 입금확인 가능할까요?</t>
  </si>
  <si>
    <t>[취소/환불] 다시 문의드립니다
 입금을 2중으로 한거같습니다
 제 딸이 돈을 또 입금한거같아서요
 차명희 1115 그냥1115이 두개로 입금되어 있습니다
 해결을 어찌해야할까요?</t>
  </si>
  <si>
    <t>중복 입금에 대한 환불 요청은 8일 18시까지 직접 가능합니다. 신청 내역 확인 화면에 들어가셔서, 직접 신청 부탁드립니다.</t>
  </si>
  <si>
    <t>[기타문의] 조금잔 8:50분쯤 문의드렸슴니다.
 남편 한국 전화번호 없다고 문의드렸는데요.
 일본 휴대폰 번호 넣었더니 됐습니다!!
 감사합니다!!</t>
  </si>
  <si>
    <t>21일에 뵙겠습니다!</t>
  </si>
  <si>
    <t>[입금/결제] 입금 하였으나 입금대기로 뜨네요?</t>
  </si>
  <si>
    <t>[입금/결제] 죄송해요 친구가 신청해서 동반참가자가 되었는데 제가 모르고 또 입금을 해버렸네요 자꾸 관계자분 귀찮게 해드려서 어쩌나요 넘 죄송해요ㅠ
 근데 친구가 7만원 입금했는데 또 입금안내가 되어있어서ㅠ</t>
  </si>
  <si>
    <t>차명희</t>
  </si>
  <si>
    <t>[입금/결제] 차명희1115로 입금한거 환불받으려구요~
 같은 번호인 정명진1115로 입금을 했는데 착각하고 이름 변경 후 중복입금했습니다</t>
  </si>
  <si>
    <t>중복 입금에 대한 환불 요청이 8일 18시까지 직접 가능합니다. 신청 내역 화면에 들어가셔서 직접 신청 부탁드립니다.</t>
  </si>
  <si>
    <t>[입금/결제] 입금을 두번햇네요
 한번은 이름만쓰고 전번을 안썻어요
 그래서 이름과전번쓰고 또한번햇네요
 이름만 쓴거는 환불가능한가요?
 환불계좌번호 신한 110 018 366360 
 장유나</t>
  </si>
  <si>
    <t>신청 내역 화면에 들어가셔서, 중복 입금에 대한 환불 요청 가능합니다. 8일 18시까지 가능하오니, 들어가셔서 직접 신청 부탁드립니다.</t>
  </si>
  <si>
    <t>[입금/결제] 밑에 너무 정신이 없어서 문의에서
 김옥선 5943으로 입금했어요ㅜ</t>
  </si>
  <si>
    <t>김옥선 5943 입금 확인했습니다.</t>
  </si>
  <si>
    <t>[취소/환불] 이자은
 이자은5331 
 35000 두번 입금되었습니다
 확인 부탁드립니다
 1차 입금분 환불계좌는
 국민은행 825210273258 이자은</t>
  </si>
  <si>
    <t>신청내역 확인 화면에서, 중복입금에 대한 환불 요청을 8일 18시까지 직접 신청 가능합니다. 들어가셔서 직접 신청 부탁드립니다.</t>
  </si>
  <si>
    <t>[입금/결제] 최귀선 5585로동반참가자로돼있는데 이귀례1320 들어가보니까 60.000원입금하라고있어서
 입금했어요 어떻게되는건지확인부탁드립니다</t>
  </si>
  <si>
    <t>최귀선님 동반자로 확인됩니다. 이귀례 1320으로 송금하신 내용은 환불 조치 해 드릴 터이니, 성함, 환불 요청 금액, 은행이름, 계좌번호, 계좌명의자 정보를 남겨 주시기 바랍니다.</t>
  </si>
  <si>
    <t>[입금/결제] 임주연 입금했는데 뒷 전번 못올려서 다시 입금했습니다  환불요청합니다</t>
  </si>
  <si>
    <t>[입금/결제] 어떡해요
 서정숙 으로입금 한번
 서정숙 9863으로
 입금두번되었네요
 죄송합니다 
 총3회
 7만원 환불 처리부탁합니다</t>
  </si>
  <si>
    <t>신청내역 화면에서 중복입금에 대한 환불 요청을 8일 18시까지 직접 가능하십니다. 들어가셔서, 직접 신청 부탁드립니다.</t>
  </si>
  <si>
    <t>[취소/환불] 대표신청자 김태선(670324)이름으로 입금한줄 모르고 동반신청자인 강경희(490222)로 중복입금했습니다 강경희로 입금된 금액 환불신청합니다</t>
  </si>
  <si>
    <t>[입금/결제] 전번 빠뜨려 재입금했어요 이제 어떻게 되나요?</t>
  </si>
  <si>
    <t>[정보변경] 동반자변경
 이미영01027569899
 710423</t>
  </si>
  <si>
    <t>동반자 정보 변경은 이름을 제외한 생년월일과 전화번호만 가능합니다. 동반자 이름 변경은 원칙적으로 불가하오니, 양해 부탁드립니다. 불편을 드려 죄송합니다.</t>
  </si>
  <si>
    <t>[입금/결제] 신청완료는 떴는데 계좌번호 확인 못하고 있던 중 단톡에 계좌번호 올라와서 입금을 했습니다.
 입금하고 신청확인 했더니 조회할 수 없다고 나오네요.
 이런 경우 신청이 안된건가요?</t>
  </si>
  <si>
    <t>성명, 입금 시점, 은행 이름, 연락처를 남겨 주시기 바랍니다. 확인해 보겠습니다.</t>
  </si>
  <si>
    <t>[입금/결제] 1.추가정보 변경요청 
 김옥선 010 4743 5943 / 531218
 2.2인 입금인데 각각 
 김나영5712 09:15:45 입금
 김옥선4743  09:18:26 입금했어요
 제발 취소하지 말아주세요ㅜ</t>
  </si>
  <si>
    <t>1. 신청 내역 화면에 들어가시면, 동반자 정보 (이름제외, 전화번호와 생년월일에 대해서는) 직접 변경 가능합니다. 직접 변경 부탁드립니다.  
 2. 중복임급/환불요청에 대해서도 신청내역 화면에서 8일 18시까지 직접 신청 가능합니다. 직접 신청 부탁드립니다.</t>
  </si>
  <si>
    <t>[입금/결제] 이선이 8958로 입금해야 
 하는데
 이선이로 입금되었어요
 어찌해야 하나요?</t>
  </si>
  <si>
    <t>오서연</t>
  </si>
  <si>
    <t>[기타문의] 혹시 제가 잘못된 전화번호로 신청해서 신청안된걸로 뜨는지 알아봐주시겠어요? 610812</t>
  </si>
  <si>
    <t>신청자 확인 내역에서 확인되지 않습니다. 
 감사합니다.</t>
  </si>
  <si>
    <t>[정보변경] 가슴 떨리고 급한 마음에 동반자 이름을 손정애1926 인데 신정애라고 잘 못 입력했습니다.ㅣ..변경부탁 드립니다.</t>
  </si>
  <si>
    <t>신청자 내역에서 손정애님 확인 되십니다
 감사합니다.</t>
  </si>
  <si>
    <t>[기타문의] 다시 문의 드립니다  입금할때  전번을 안적어서 다시 입금 시켰습니다 2번 입금해서 나중에 환불 신청 하면 되겠죠</t>
  </si>
  <si>
    <t>신청내역 화면에 들어가시면, 8일 18시까지 중복입금에 대한 환불요청을 직접 하실 수 있습니다. 꼭 정보입력 부탁드립니다.</t>
  </si>
  <si>
    <t>[기타문의] 다시한번 올림니다
 2인신청 완료가 되어 입금 했는데요
 경현옥 7377
 박병은 7399 입니다
 남편 이름과 전화번호를 안넣었는데
 어떻게 하나요?</t>
  </si>
  <si>
    <t>성함, 연락처, 은행이름, 입금 시점을 남겨주십시오. 확인해 보겠습니다.</t>
  </si>
  <si>
    <t>[기타문의] 표 양도는 할수 있나요</t>
  </si>
  <si>
    <t>고객님, 표 양도는 원칙상 불가합니다.
 감사합니다.</t>
  </si>
  <si>
    <t>[취소/환불] 이름뒤에 전화번호를 적지않고 계좌입금을 해서 
 다시 입금을 하게되어서 두번 입금 한게 되었 습니다. 당첨 되는데 문제가 없는지요.</t>
  </si>
  <si>
    <t>전화번호 단순누락은 관리팀에서 확인 후 승인합니다. 동명이인이 있을시에만 확인 전화를 드릴 예정이며, 그렇지 않은경우 정상적으로 접수처리 됩니다. 또한 8일 18시까지 한시적으로 직접, 중복 입금 및 환불 요청 가능합니다. 신청 내역 확인 화면에 들어가셔서, 직접 진행 부탁드립니다.</t>
  </si>
  <si>
    <t>[입금/결제] 우리은행계좌에서
 처음에 전화번호 뒷자리 못써서 번호넣고 재입금했습니다
 두번입금 했어요
 환불방법 알려주세요</t>
  </si>
  <si>
    <t>전화번호 단순누락은 관리팀에서 확인 후 승인합니다. 동명이인이 있을시에만 확인 전화를 드릴 예정이며, 그렇지 않은경우 정상적으로 접수처리 됩니다. 중복 입금 환불에 대해서는 8일 18시까지 신청내역 화면에 들어가시면, 중복입금/환불요청을 직접 하실 수 있습니다. 들어가셔서 직접 신청 부탁드립니다.</t>
  </si>
  <si>
    <t>[입금/결제] 다시 올립니다.
 제가 금방 티켓예매 입금을 했습니다.
 그런데 이름뒤에 (박경순) 전번 뒷자리 3275 (01087443275) 숫자를 입력을 안하고 입금을 했는데 어떻게 해야 되나요? 입금 순서대로 좌석배치라 하셔서 문의드립니다. 감사합니다.</t>
  </si>
  <si>
    <t>[입금/결제] 제가 질문한내용수정합니다 
 1번 입금자명을 최원현5775로 해야하는데 정시유 최원현으로 입금했습니다 확인바랍니다  
 2번질분은 답변안하셔도됩니다 잘못했습니다
 바쁘실텐데  귀찮게해서 죄송합니다ㅠㅠ</t>
  </si>
  <si>
    <t>[입금/결제] 입금계좌번호 알려줘요</t>
  </si>
  <si>
    <t>신청내역 확인 화면에서 입금 계좌 확인 가능합니다.</t>
  </si>
  <si>
    <t>[기타문의] 서경숙 입금하며 전번을 깜빡
 안썼는데 어떻게 해야나요?</t>
  </si>
  <si>
    <t>[입금/결제] 아까 입금자명 문의글 올렸던 장현정입니다.
 - 입금시간: 12/7(일) 9시 9분
 - 입금자명: 장현정
 입금자명을 '장현정7953'으로 해야했는데,
 예매 중 너무 떨려서 7953을 못 넣었습니다ㅠ
 입금자명 꼭 변경 부탁드립니다. 
 저 이것 때문에 신청취소되면 같이간다고 좋아하시는 엄마한테 맞아죽어요ㅠ</t>
  </si>
  <si>
    <t>[취소/환불] 입금은 했는데 신청 내역이 없어서 어떡하죠?
 환불 받아야 될 것 같네요
 ㅠㅠ
 진짜 가고 싶은데.
 아쉽네요.</t>
  </si>
  <si>
    <t>성함, 연락처, 입금시점, 입금자명을 남겨주시기 바랍니다. 확인후 공지드리겠습니다.</t>
  </si>
  <si>
    <t>이연옥</t>
  </si>
  <si>
    <t>[입금/결제] 꼭 참석하고싶습니다.</t>
  </si>
  <si>
    <t>[기타문의] 입금자뒤에 박은숙452145214521안적었어요~
 확인부탁드립니다~^^</t>
  </si>
  <si>
    <t>[입금/결제] 입금 할때 전화번호 뒷자리 빼고 넣어,일단 수정하여 두번 넣었어요,확인부탁드립니다</t>
  </si>
  <si>
    <t>전화번호 단순누락은 관리팀에서 확인 후 승인합니다. 동명이인이 있을시에만 확인 전화를 드릴 예정이며, 그렇지 않은경우 정상적으로 접수처리 됩니다. 또한, 신청 내역 화면에서 중복입금/환불요청이 내일 18시까지 직접 가능하십니다. 신청 내역 화면에 들어가셔서 해당 정보 입력 부탁드립니다.</t>
  </si>
  <si>
    <t>[입금/결제] 2명신청했고
 송금했고
 2명정보 입력 완료했읍니다.</t>
  </si>
  <si>
    <t>신청자내역에 계십니다.
 감사합니다.</t>
  </si>
  <si>
    <t>[입금/결제] 너무 기뻐서 번호를 못기입해서 두번 입금했습니다! 번거롭게 해드려서 죄송합니다!! 입금빨리했던 앞전 순서로 해주시면 정말 감사하겟습니다 ㅜㅜ!!</t>
  </si>
  <si>
    <t>신청내역 화면에서 중복입금/환불 요청이 내일(8일) 18시까지 가능합니다. 환불 요청을 위한 정보 입력 부탁드립니다.</t>
  </si>
  <si>
    <t>[입금/결제] 1인신청
 처음 계좌이체할때 홍유식 기입하였습니다
 (환불요청드립니다)
 그래서 두번째 홍유식 7413 기입하였습니다.</t>
  </si>
  <si>
    <t>참가신청 링크로 들어가시면 신청내역 확인 버튼이 있습니다. 해당 화면에서, 중복 입금/환불 요청 가능합니다. 환불 요청을 위한 정보 입력 부탁드립니다.</t>
  </si>
  <si>
    <t>양정희</t>
  </si>
  <si>
    <t>[기타문의] 9시 4분경에 예약했고 확인버튼까지 눌렀는데 나중에 신청확인해보니 없다고 합니다 어이가 없네요?</t>
  </si>
  <si>
    <t>[입금/결제] 토크콘서트 신청하고 입금 했는데 계속 입금대기로 뜨는데,,
 뭘 확인해봐야 할까요?</t>
  </si>
  <si>
    <t>[입금/결제] 처음엔 손전수로 두번째는 손전수 1647로 했어요.
 번거롭게해드려 죄송합니다.처음걸로 인정해주시면 좋겠지만 ..수고하십시오</t>
  </si>
  <si>
    <t>신청 내역 화면에 들어가시면, 중복 입금/환불 신청 직접 가능합니다. 직접 입력 부탁드립니다.</t>
  </si>
  <si>
    <t>[입금/결제] 2025.12.07 09:06:54
 7940-0104-178355 농협계좌로
 추민지8663이 아니라 추민지로 입금했는데요
 취소될까봐 불안해서 추민지8663으로 
 09:23:19에 한 번 더 입금했어요
 이중입금인데 09:06:54에 입금한 첫번째 건으로 좌석배정 가능할까요?ㅜㅜ</t>
  </si>
  <si>
    <t>정확한 정보를 기반으로, 자리 배정을 진행합니다. 참고 부탁드립니다.</t>
  </si>
  <si>
    <t>박소은</t>
  </si>
  <si>
    <t>[기타문의] 정확한 2차 예매 날짜를 빨리 공지해 주시면 좋겠습니다. 연말이라 다른 일정을 짜는 사람들고 많습니다.</t>
  </si>
  <si>
    <t>현재까지는 확인중이며 추후 별도 공지 예정입니다.감사합니다.</t>
  </si>
  <si>
    <t>[정보변경] 예매할때 김경신이라고 작성한거 같은데요
 화면에는 김정신이라고 되어있네요
 수정가능할까요?
 부탁드립니다
 전화번호 생년월일은 맞아요</t>
  </si>
  <si>
    <t>네 고객님, 동반자의 성명은 변경이 원칙적으로 불가합니다.
 감사합니다.</t>
  </si>
  <si>
    <t>최소영</t>
  </si>
  <si>
    <t>[기타문의] 토크콘서트 신청 안된거 확실한가요? 신청창에서 개인정보 입력하고 완료버튼도 눌렀는데, 확인해보니 신청 내역에 없다고 나와요....</t>
  </si>
  <si>
    <t>현재 고객님의 정보로는 미신청자로 파악됩니다.
 그래도 정보 확인을 원하신다면, 사이트 내 하단에 '신청내역 확인' 버튼 클릭 후 전화번호 11자리를 입력하세요. 그리고 '조회하기' 버튼을 누르시면 관련 내용을 확인 가능합니다.
 신청정보 조회 시 정확히 '전화번호 11자리'를 기입하셔야 확인 가능합니다.
 감사합니다.</t>
  </si>
  <si>
    <t>[입금/결제] 입금자명에 전화번호를 안넣어서 두번 입금 했는데 어떻게 해야 되나요</t>
  </si>
  <si>
    <t>신청내역 화면에 들어가시면 중복 입금에 대한 환불 신청 가능합니다. 직접 입력 부탁드립니다.</t>
  </si>
  <si>
    <t>[기타문의] 2인 신청했는데요 동반하는 사람 인적사항 넣어야하나요? 저만 인적사항 들어갔는데요~입금은 완료되었어요</t>
  </si>
  <si>
    <t>신청확인 화면으로 들어가셔서 대표 신청자 신청 내역을 확인하신후, 화면을 내리시면 동반자 정보 입력 부분 확인 가능합니다. 1개의 전화번호당 1개의 입장 QR이 뜨게 되어 있으므로, 동반자 정보 꼭 입력 부탁드립니다.</t>
  </si>
  <si>
    <t>[입금/결제] 입금자명에 오류가 있습니다.
 김경애4674를 김경애로만 기입했습니다.
 확인부탁합니다.</t>
  </si>
  <si>
    <t>[입금/결제] 이번에 신청해서 입금까지 했는데 입금할 때 실수로 이름에 전화번호 뒷자리를 넣지 못했습니다. 어떻게 해야하나요?</t>
  </si>
  <si>
    <t>[기타문의] 이주연과 동반신청 했습니다.
 01035681785
 731112
 김경숙 630215
 01063677766
 이주연 이름으로 7만원
 이재진 이름으로7만원
 14만원 입금입니다
 입금 대기로 나옵니다!?
 김경숙이가ㅜㅜ</t>
  </si>
  <si>
    <t>입금해주신 분들은 현재 입금 확인이 진행중이라, '입금대기'로 표시되는 것이 정상입니다. 입금데이터 확인 후 별도 공지 예정입니다.</t>
  </si>
  <si>
    <t>[입금/결제] 안녕하세요
 2인 7만원으로 알고있었는데
 입금 안내 화면에 2인 60,000원이라고 되어있어서 
 남유정5239로 6만원 송금하였습니다.
 이후 아무리 생각해도 이상해서 잠시후 추가로
 남유정5239로 1만원 송금하였습니다.
 이건 제 잘못이 아니라 전산오류로 발생한 문제이니 
 차질없도록 입금처리 부탁드립니다.
 한가지 부탁드린다면 
 송금건으로 맘 고생한 저를 생각해서
 부디 좋은 좌석배정 부탁드립니다.
 감사합니다</t>
  </si>
  <si>
    <t>네 고객님, 입금 내역은 '2인 신청자' 기준으로 합계처리해서 7만원으로 확인 해드리겠습니다.
 또한 좌석배정은 임의조정은 불가하고, 입금순으로 저희가 명단 정리 후 정해드리는 점 양해 바랍니다.
 감사합니다.</t>
  </si>
  <si>
    <t>채지영</t>
  </si>
  <si>
    <t>[입금/결제] 분명히 신청을 했는데 계좌 번호가 안보이고 신청 내역 확인도 안됩니다. ㅠㅠㅠ 좀 읽어주세요.....</t>
  </si>
  <si>
    <t>사이트 내 하단에 '신청내역 확인' 버튼 클릭 후 전화번호 11자리를 입력하세요. 그리고 '조회하기' 버튼을 누르시면 관련 내용을 확인 가능합니다.
 신청정보 조회 시 정확히 '전화번호 11자리'를 기입하셔야 확인 가능합니다. 또한 계좌번호도 같이 확인이 가능합니다.
 감사합니다.</t>
  </si>
  <si>
    <t>[입금/결제] 09:10:40에 입금했는데 맘이 바빠 김혜경뒤에 6097을 안붙이고 입금했네요.배정순서 밀리지않겠죠?</t>
  </si>
  <si>
    <t>[정보변경] 동반자를 남궁영희510201 -&gt;진라희 691026 으로 변경해 주셨으면 합니다
 진라희 전번은 010 8557 3114 입니다</t>
  </si>
  <si>
    <t>네 고객님, 동반자의 성명은 변경이 원칙적으로 불가합니다. 대신 동반자의 전화번호 및 생년월일 변경 방법은, 사이트 내 하단에 '신청내역 확인' 버튼 클릭 후 전화번호 11자리를 입력하세요. 그리고 '조회하기' 버튼을 누르시면 관련 내용을 확인 가능합니다.
 거기서 관련 정보를 직접 수정 가능합니다.
 감사합니다.</t>
  </si>
  <si>
    <t>이희순</t>
  </si>
  <si>
    <t>[기타문의] 9시에 대기했는데
 9시이후에도 신청대기중이라
 뜨는 바람에 기회를 놓첬어요
 2차에는 기회가 있기를 소망해요~ㅠ</t>
  </si>
  <si>
    <t>네 고객님, 현재 신청 인원수가 모두 마감되었습니다.
 1차 신청자 분들 중 미입금 등 누락분이 발생하면 2차 티켓팅을 실시합니다. 진행 순서는 1차 때와 같습니다.
 혹여나 2차 티켓팅이 진행될 시에는 시간대와 날짜는 추후 공지하도록 하겠습니다.
 감사합니다.</t>
  </si>
  <si>
    <t>[정보변경] 동반자 전번이 오류입니다 ㅠㅡㅠ 
 김조년 
 010 2171 5253
 620527</t>
  </si>
  <si>
    <t>신청내역 화면을 들어가시면 동반 참가자 정보 수정이 가능합니다. 직접 수정 부탁드립니다. 전화번호당 하나씩 QR이 발급되니 꼭 정보변경 부탁드립니다.</t>
  </si>
  <si>
    <t>[입금/결제] 다시 '이인경9828' 로 다시 입금했습니다!! 자리배정때문에요
 (2번 입금했습니다ㅠ 죄송요)</t>
  </si>
  <si>
    <t>재입금하신 경우 확인을 거쳐 중복 입금액은 환불될 예정입니다. 계좌번호를 남겨주세요</t>
  </si>
  <si>
    <t>[취소/환불] 안녕하십니까
 처음 입금시
 남궁호 이름만 입력하고
 뒤에 5360번호는 입력을 안하고 입금해서
 2번째 입금시는 남궁호5360으로 한번더 입금완료했습니다
 그럼
 첫번째 남궁호로 입금한 금액은
 환불해주시는지
 확인부탁드립니다
 감사합니다</t>
  </si>
  <si>
    <t>[기타문의] 혹시 몰라서 아들한데도
 부탁하여 신청했는데 
 운 좋게 둘다 신청이 되었습니다.
 현재는 1인 송금만 되었는 상태고요 혹시 1인 신청분 지인 몫으로 가능한가요?</t>
  </si>
  <si>
    <t>네 고객님, 현재 '1인 신청자'로 확인됩니다. 1인 신청자, 2인 신청자 모두 "신청인 본인"이 각 금액에 맞게 입금처리 해주시면 됩니다.
 감사합니다.</t>
  </si>
  <si>
    <t>[기타문의] 제가 2인을 신청했습니다. 그런데 제 정보 입력란만 있고 외 1인 정보 입력 란은 없어서 함께 신청한 분의 정보는 입력을 못했습니다. 
 원래 그런 건지 아님 잘못된 것인지 궁금합니다. 2인 신청완료가 떴고 입금도 7민원 이체완료했습니다. 신청이 제대로 된 것인지 확인 부탁드립니다</t>
  </si>
  <si>
    <t>신청내역 화면으로 들어가셔서, 대표 신청자 신청 내역을 확인 부탁 드립니다. 또한, 해당 화면을 내리시면 동반자 정보 입력이 가능합니다. 입장시 필요한 QR 코드는 전화번호 1개당 하나씩 발급되오니, 동반자 정보 입력을 꼭 부탁드립니다.</t>
  </si>
  <si>
    <t>[입금/결제] 이름에 번호 기입을 못하고 입금을해서 다시 입금했습니다..! 두번 입금을해서 앞에꺼는 환불해주시면 감사하겠습니다 ㅜㅜ! 강계순 , 강계순5423 으로 두번했습니다!</t>
  </si>
  <si>
    <t>[취소/환불] 다시
 재입금 했습니다 번호달아서요.
 그럼, 처음에 이름으로만 보냈던 금액은 환불 어떻게 받나요?</t>
  </si>
  <si>
    <t>[입금/결제] 신청조회에 들어가니 입금했는데 입금대기라고 되어있어서 입금자명에 폰번호를 안적어서 그런가..티켓신청이 무효가 될까 한번더 계좌이체를 했네요..
 운영자님들 바쁘신데 복잡하게 해드려서 죄송합니다.🙏</t>
  </si>
  <si>
    <t>[입금/결제] 입금 완료했으나 급한 마음에 입금자명 '최경' 으로만 썼습니다. 입금자 '최경 5267'로 변경합니다. 죄송합니다. 혹시 취소되는 건가요??ㅋ;;</t>
  </si>
  <si>
    <t>김재웅</t>
  </si>
  <si>
    <t>[취소/환불] 부득이한 사정으로 신청 취소요청합니다 진심으로 사과드립니다 죄송합니다</t>
  </si>
  <si>
    <t>사이트 내 하단에 '신청내역 확인' 버튼 클릭 후 전화번호 11자리를 입력하세요. 그리고 '조회하기' 버튼을 누르시면 관련 내용을 확인 가능합니다.
 하단에 드래그해서 내려보시면 '신청 취소 / 환불' 칸이 있습니다. 
 빨간색 칸의 '전체 신청 취소' 버튼을 누른 후 남은 절차를 진행하시면 됩니다.
 감사합니다.</t>
  </si>
  <si>
    <t>[입금/결제] 첫입금때 전화번호5101를 못써서 2중으로 입금했습니다
  환불 부탁드립니다 
 (신한)110203237410조경자</t>
  </si>
  <si>
    <t>사이트 내 하단에 '신청내역 확인' 버튼 클릭 후 전화번호 11자리를 입력하세요. 그리고 '조회하기' 버튼을 누르시면 관련 내용을 확인 가능합니다.
 하단에 드래그해서 내려보시면 '중복입금/환불 신청' 칸이 있습니다.
 관련 정보 기입 후 '환불 신청하기'를 누르시면 확인 후 일괄 처리 해드리겠습니다.
 감사합니다.</t>
  </si>
  <si>
    <t>[입금/결제] 송금했는데 이름만 보내고  전번 뒤부분 못 보냈어요. 조정희2248입니다. 송금확인 가능할까요?</t>
  </si>
  <si>
    <t>[입금/결제] 첫번째 입금결제시 전화번호끝자리 안적고입금하고 
 두번째 전화번호끝자리쓰고 다시입금했습니다. 
 2번 입금시 어떻게 처리해야하나요?</t>
  </si>
  <si>
    <t>[입금/결제] 이재월 입금하고 급한마음에 전화번호 안 썼어요 그런것 같아요 
 이재월 2592
 동반자  
 김경식 5505입니다</t>
  </si>
  <si>
    <t>[입금/결제] 안녕하세요! 김유정으로 입금했습니다. 그런데 확인하기 누르니 계속 입금대기 중이라고 떠있네요... 
 아까 급한 마음에 그냥 김유정으로만 입금했습니다. 그래서 좀전에 다시 김유정7290 입금했습니다. 
 입금완료 된 것 맞나요???</t>
  </si>
  <si>
    <t>현재 입금 확인중이라, 입금 대기라고 뜨는 것이 정상입니다. 추후 입금 확인은 별도 공지할 예정입니다. 또한, 중복 입금된 경우는 확인을 거쳐 중복 입금액은 환불될 예정입니다. 계좌번호를 남겨주세요.</t>
  </si>
  <si>
    <t>[기타문의] 두번 입금 했는데 좌석 번호순서를 전화번호 입력 안하고 먼저 입금한거로 해주시면 안될까요</t>
  </si>
  <si>
    <t>네 고객님, 중복 입금건에 대해 문의 주셨습니다. 
 사이트 내 하단에 '신청내역 확인' 버튼 클릭 후 전화번호 11자리를 입력하세요. 그리고 '조회하기' 버튼을 누르시면 관련 내용을 확인 가능합니다.
 하단에 드래그해서 내려보시면 '중복입금/환불 신청' 칸이 있습니다.
 관련 정보 기입 후 '환불 신청하기'를 누르시면 확인 후 일괄 처리 해드리겠습니다.
 또한 입금내역은 정리 중에 있으며 추후 일괄 공지 예정입니다.
 감사합니다.</t>
  </si>
  <si>
    <t>백승옥</t>
  </si>
  <si>
    <t>[취소/환불] 부득이한 사정으로 신청 취소 요청드립니다 죄송합니다</t>
  </si>
  <si>
    <t>[기타문의] 입금하고 전화번호 못적었어요</t>
  </si>
  <si>
    <t>[기타문의] 입금자 명 뒤에 45214521421을 안눌렀습니다
 확인부탁드려요~~^^</t>
  </si>
  <si>
    <t>[입금/결제] 이정길 이름만 표시되었는데
 전번숫자 8004 표시를 못했습니다
 확인부탁드립니다
 감사합니다</t>
  </si>
  <si>
    <t>입금 시 입금자명을 (ex.'홍길동_0000') 형식으로 기입하지 않아도 입금 확인은 가능합니다. 내역 파악 후 처리 도와드리겠습니다.
 감사합니다.</t>
  </si>
  <si>
    <t>[입금/결제] 입금할때 이름만 적고 전화번호 네자리를 못적었어요 입금은 했고요</t>
  </si>
  <si>
    <t>[입금/결제] 입금을 두번했네요
 한번은 입금자만 쓰고 두번째 이름뒤에 숫자를 쓰고 입금했습니다</t>
  </si>
  <si>
    <t>[입금/결제] 유병용 010-5730-3101 2인예매했는대요 유희춘 농협에서입금했는대 입금확인후 처리 부탁드립니다..</t>
  </si>
  <si>
    <t>[기타문의] 9시10분에 35000원 입금했는데
 이름두에 7286을 입력안해서
 9시15분에 다시 윤영미7286으로
 입금 했어요(2번한셈) 좌석배정할때 먼저입금한
 순번으로 해주시고 환불계좌는
 부산은행 092120388888 입니다
 번거롭게 해드려서 죄송합니다ㅜ
 환불은</t>
  </si>
  <si>
    <t>[입금/결제] 티켓값을 두번 보냈어요
  첨에보낼때 뒤에 전번 안찍어서 다시 보냈거든요 첨에 보낸35000원 환불 가능 하죠?</t>
  </si>
  <si>
    <t>[입금/결제] 처음 입금했을때 이름뒤에 전화번호를 쓰지 못해서 다시 입금했어요.
 전화번호를 넣지 못해서 확인부탁드린다는 문의를 먼저 했었습니다.
 먼저 입금한 금액 환불 확인부탁드립니다.</t>
  </si>
  <si>
    <t>[기타문의] 박정민 9시12분입금후 뒤에 숫자 6603 입력하지 않았습니다 확인부탁드립니다</t>
  </si>
  <si>
    <t>[기타문의] 입금하고 전화번호 못적었는데요.</t>
  </si>
  <si>
    <t>김태기</t>
  </si>
  <si>
    <t>[취소/환불] 지인이 2인으로 신청해서 갈것 같습니다.
 그래서 취소 부탁합니다</t>
  </si>
  <si>
    <t>[입금/결제] 도남지 이름으로 1차 입금 잘못보내사 김미숙9582로 2차 입금 하여 . 처음 1차 입금 환불 요청합니다. 바쁘실텐데 번거롭게해드려 죄송합니다. 신한은행 110442550323 도남지</t>
  </si>
  <si>
    <t>네 고객님, 중복 입금으로 인한 환불 요청을 해주셨습니다.
 사이트 내 하단에 '신청내역 확인' 버튼 클릭 후 전화번호 11자리를 입력하세요. 그리고 '조회하기' 버튼을 누르시면 관련 내용을 확인 가능합니다.
 하단에 드래그해서 내려보시면 '중복입금/환불 신청' 칸이 있습니다.
 관련 정보 기입 후 '환불 신청하기'를 누르시면 확인 후 일괄 처리 해드리겠습니다.
 감사합니다.</t>
  </si>
  <si>
    <t>[입금/결제] 입금하고 보낸사랑에 이름만 넣었네요 끝자리 전화번호 못넣었어요 어떻하나요</t>
  </si>
  <si>
    <t>전화번호 단순 누락은 관리팀에서 확인 후 승인합니다. 동명이인이 있을시에만 확인 전화를 드릴 예정이며, 그렇지 않은경우 정상적으로 접수처리 됩니다</t>
  </si>
  <si>
    <t>[입금/결제] 제가. 입금계좌 확인이 불가능한데
 어디서 확인할 수 있을까요. 링크를 보내주세요.</t>
  </si>
  <si>
    <t>신청내역 확인 화면에서 계좌정보 확인 가능합니다.</t>
  </si>
  <si>
    <t>[취소/환불] 이미희9889로 두건오입금 하여서
 한건에 대해서만 환불요청드립니다 취소는절대아닙니다!!</t>
  </si>
  <si>
    <t>[입금/결제] 이혜승 으로 처음에 입금하고 이혜승7794로 다시 입금해서 두번했습니다. 어떻게 진행될까요?</t>
  </si>
  <si>
    <t>[취소/환불] 어머니가 마음이 불편해서 2번 보내셨다고 하시네요
 1매 35,000원 환불 부탁드립니다!</t>
  </si>
  <si>
    <t>재입금하신 경우 확인을 거쳐 중복 입금액은 환불될 예정입니다. 송금시 이름과 금액, 은행이름을 알려주시고, 환불 받으실 계좌번호를 남겨주세요</t>
  </si>
  <si>
    <t>조민숙</t>
  </si>
  <si>
    <t>[기타문의] 신청이 된는지 알고싶어요</t>
  </si>
  <si>
    <t>신청내역 화면에서 신청 내역 확인 가능합니다.</t>
  </si>
  <si>
    <t>[정보변경] 동반인 변경요망.
 양미경.
 610714.
 01021686946.</t>
  </si>
  <si>
    <t>네 고객님, 동반자의 성명은 변경이 원칙적으로 불가합니다. 대신 동반자의 전화번호 및 생년월일 변경 방법은, 사이트 내 하단에 '신청내역 확인' 버튼 클릭 후 전화번호 11자리를 입력하세요. 그리고 '조회하기' 버튼을 누르시면 관련 내용을 확인 가능합니다.
 거기서 직접 수정 가능합니다.
 감사합니다.</t>
  </si>
  <si>
    <t>[입금/결제] 입금자명 방종숙9193으로 입금했는데언제 확인이되나요?</t>
  </si>
  <si>
    <t>입금해주신 분들은 현재 입금 확인이 진행중입니다. 입금확인은 추후 별도 공지 예정입니다</t>
  </si>
  <si>
    <t>[취소/환불] 같이 가는 분도 성공해서 이티켓은 취소 부탁드려요 수고하세요</t>
  </si>
  <si>
    <t>[입금/결제] 2번입금 했어요
 1번째는 이다현  70,000원
 2번째는 이다현0161 70,000원
 이런식으로 입금했습니다</t>
  </si>
  <si>
    <t>[취소/환불] 입금할때 전번을 빠뜨려 두번 입금했습니다. .  농협.정윤숙
 775. . 02. . 022.  151
 죄송해요</t>
  </si>
  <si>
    <t>[입금/결제] 입금자명 뒤에 번호입력을 못했어요
 신청자와 입금자명은 동일하구요
 정상처리 되죠?</t>
  </si>
  <si>
    <t>[기타문의] 중복 신청을 해서 동반자 정보가 입력이 되지 않습니다.</t>
  </si>
  <si>
    <t>네 고객님, 현재 중복 신청 관련한 문의를 주셨습니다.
 사이트 내 하단에 '신청내역 확인' 버튼 클릭 후 전화번호 11자리를 입력하세요. 그리고 '조회하기' 버튼을 누르시면 관련 내용을 확인 가능합니다.
 하단에 드래그해서 내려보시면 '신청 취소 / 환불' 칸이 있습니다. 
 빨간색 칸의 '전체 신청 취소' 버튼을 누른 후 남은 절차를 진행하시면 됩니다.
 또한 '2인 신청자'로 판단되니 동반자의 성함, 전화번호, 생년월일을 "꼭" 기입 후 2인분의 입금을 진행 바랍니다.
 감사합니다.</t>
  </si>
  <si>
    <t>[입금/결제] 뒤에 전번을 안적었는데 취소되나요? 입금은 했어요</t>
  </si>
  <si>
    <t>[정보변경] 김진자 핸드폰 번호 변경이 가능하면 
 동반자 정보도 
 권소랑 010-2288-5290으로 변경부탁드립니다</t>
  </si>
  <si>
    <t>네 고객님, 동반자의 전화번호와 생년월일은 변경 가능하나 성함은 변경이 원칙적으로 불가합니다.
 동반자의 전화번호 및 생년월일의 변경은 사이트 내 하단에 '신청내역 확인' 버튼 클릭 후 전화번호 11자리를 입력하세요. 그리고 '조회하기' 버튼을 누르시면 관련 내용을 확인 가능합니다.
 감사합니다.</t>
  </si>
  <si>
    <t>[기타문의] 입금시 이름뒤에 전화번호 끝자리2649 안썼는데 괜찮은가요?</t>
  </si>
  <si>
    <t>[기타문의] 입금할때 김윤정 이름만쓰고 입금했는데 보니까 김윤정7615 이렇게 쓰고 입금하라고 써있어서 다시 입금해서 2번 입금 됬는데
 1건은 환불 받을수 있나요</t>
  </si>
  <si>
    <t>[기타문의] 대표자 입력 하단에 동반자 입력란이 없는데 괜찮은걸까요?</t>
  </si>
  <si>
    <t>신청내역 확인 화면으로 들어가서, 대표 신청자의 신청 내역 확인을 하신후, 화면을 내리면 동반자 정보 입력란이 있습니다. 입력 부탁드립니다.</t>
  </si>
  <si>
    <t>[입금/결제] 같은 이름으로 두번 입금 되었습니다. 
 김춘희3166 입니다. 
 어떻게 될까요? 
 한국 미국에서 동시에 신청하다보니 이렇게 되었네요~^^</t>
  </si>
  <si>
    <t>[기타문의] 전화번호로 신청확인은 타인이 조회가능합니다. 비밀번호라도 있어야 할것 같아요 ㅜㅜ</t>
  </si>
  <si>
    <t>본 사이트는 고객님들의 개인정보를 함부로 공개하지 않습니다.
 개개인의 전화번호를 타인에게 공유하지 않으시길 권고드립니다.</t>
  </si>
  <si>
    <t>[정보변경] 동반자 정보 변경 해 주세요 
 최영성 01093003219 
 생년월일 761203</t>
  </si>
  <si>
    <t>네 고객님, 동반자의 성명은 변경이 원칙적으로 불가합니다. 대신 전화번호 및 생년월일은 사이트 내 하단에 '신청내역 확인' 버튼 클릭 후 전화번호 11자리를 입력하세요. 그리고 '조회하기' 버튼을 누르시면 관련 내용을 확인 가능합니다.
 거기서 직접 수정 가능합니다.
 감사합니다.</t>
  </si>
  <si>
    <t>[취소/환불] 다른 분을 위해 취소합니다.</t>
  </si>
  <si>
    <t>[입금/결제] 입금했는데 입금대기로뜹니다 언제 확인가능할까요?</t>
  </si>
  <si>
    <t>[기타문의] 입금완료 입니다
 동반2인으로 추가 등록이 되지않았습니다.
 김경숙 01063677766
 630215 꼭 부탁드립니다.
 이재진이름으로7만원 이름을 잘못보내 ..
 이주연이름으로7만원</t>
  </si>
  <si>
    <t>네 고객님, 현재 '2인 신청자'로 파악됩니다. 추가 정보 기입은 사이트 내 하단에 '신청내역 확인' 버튼 클릭 후 전화번호 11자리를 입력하세요. 그리고 '조회하기' 버튼을 누르시면 관련 내용을 확인 가능합니다.
 거기서 직접 입력 부탁드립니다.
 또한 하단에 드래그해서 내려보시면 '중복입금/환불 신청' 칸이 있습니다.
 관련 정보 기입 후 '환불 신청하기'를 누르시면 확인 후 일괄 처리 해드리겠습니다.
 감사합니다.</t>
  </si>
  <si>
    <t>[입금/결제] 이름 폰번 안써서 두번 입금 했는데 입금완료 안떠요 이현자 4522</t>
  </si>
  <si>
    <t>[입금/결제] 안녕하세요. 신청자명을 잘못 적어서 송금한 건이 있어서 정정하여 총 두번 송금했습니다. 오류 건 환불 요청드립니다.</t>
  </si>
  <si>
    <t>오류건에 대한 송금인 성명과 금액, 은행 이름을 알려 주시기 바랍니다. 또한, 환불 받으실 계좌번호 부탁드리겠습니다.</t>
  </si>
  <si>
    <t>[입금/결제] 입금시 이름만쓰고 전화번호 뒷자리안썼어요 ㅠ
 ㅠ 어떻게하죠?</t>
  </si>
  <si>
    <t>[정보변경] 동반자 전번을 잘못 입력했는데 수정하는 곳은 없나요? 어떡해요? ㅠㅠ</t>
  </si>
  <si>
    <t>네 고객님, 사이트 내 하단에 '신청내역 확인' 버튼 클릭 후 전화번호 11자리를 입력하세요. 그리고 '조회하기' 버튼을 누르시면 관련 내용을 확인 가능합니다.
 거기서 동반자의 전화번호 수정을 직접 하실 수 있습니다.
 감사합니다.</t>
  </si>
  <si>
    <t>성언정</t>
  </si>
  <si>
    <t>[기타문의] 예매할 때 신청완료까지 눌렀는데 신청이 되었는지 알 수가 없네요.
 방법이 있을까요?</t>
  </si>
  <si>
    <t>신청내역 확인 화면에서 신청 내역 확인 가능합니다.</t>
  </si>
  <si>
    <t>[입금/결제] 입금자명 뒤에 번호른 못적었어요
 어찌해야하나요</t>
  </si>
  <si>
    <t>[입금/결제] 입금된줄 모르고 
 09:11 안은숙 5404 
 중복 입금 했습니다~~~</t>
  </si>
  <si>
    <t>[정보변경] 국민은행 입금자명에 보내는 사람명후에 폰번 끝자리 누락
 당초 길미정----길미정7345  변경부탁드림</t>
  </si>
  <si>
    <t>[정보변경] 대표는 김나영이고
 추가인에 김옥선 이름은 맞는데
 번호와 생년월일 수정 가능한가요?
 010 4743 5943
 531218
 입금도 각각 했는데ㅜㅜ 취소아니죠?
 엄마 입금에 5943 입니다!</t>
  </si>
  <si>
    <t>네 고객님, 전화번호와 주민번호 앞자리는 고객님께서 직접 수정 가능하십니다.
 사이트 내 하단에 '신청내역 확인' 버튼 클릭 후 전화번호 11자리를 입력하세요. 그리고 '조회하기' 버튼을 누르시면 관련 내용을 확인 가능합니다.
 또한 입금은 신청자 한분만 2명분의 금액을 입금하면 되는 방식으로 공지해드린 바 있습니다.
 감사합니다.</t>
  </si>
  <si>
    <t>[입금/결제] 조재희 5066이 맞는데,
 처음에는 조재희 8391로 잘못 송금했고,
 그 다음에 조재희 5066으로 정상 송금했습니다.
 또한 확인 과정에서 한 번 더 조재희 5066으로 송금하여
 총 3번 송금되었습니다.
 따라서 두 번째로 송금된 조재희 5066 건이 정상 송금이며,
 첫 번째(조재희 8391)와 세 번째(조재희 5066) 송금 건은 환불이 필요합니다.</t>
  </si>
  <si>
    <t>윤옥</t>
  </si>
  <si>
    <t>[기타문의] 콘서트 티겟팅은 명백히 서버오류입니다.
 9시부터 오픈되지도 않았고
 잠깐 풀렸을 그 순간 접속해서 신청정보를 12번도 더 입력했는데 계속 처음 단계로 돌아갔습니다. 
 그런데 신청 마감이요? 너무 억울합니다.
 처음부터 추첨제를 하셨어야죠.
 명백한 서버오류로 신청자들의 희비가 갈렸고 공정한 티켓팅이 아니었습니다.
 적절한 후속조치 부탁드립니다.</t>
  </si>
  <si>
    <t>네 고객님, 불편함을 끼쳐 죄송합니다.
 신청 인원이 많이 몰려 트래픽 급증으로 인해 서버의 문제가 생긴 점이 있습니다.
 추후 행사 진행 시 피드백한 내용 잘 반영해보겠습니다.
 감사합니다.</t>
  </si>
  <si>
    <t>[입금/결제] 중복입금 동반자포함2명 티켓
 한은숙
 착오입금으로 
 한은숙7899</t>
  </si>
  <si>
    <t>[입금/결제] 입금자명에 이유미 이름만 적혔어요 
 이유미 9053 9053입니다 
 수고하세요!!</t>
  </si>
  <si>
    <t>[정보변경] 김진자 010 9441 7591 로 2인 신청했는데요 
 핸드폰 번호 가운데가 9441이 아니라 9444에요 ㅜㅜ 
 변경가능할까요?</t>
  </si>
  <si>
    <t>사이트 내 하단에 '신청내역 확인' 버튼 클릭 후 전화번호 11자리를 입력하세요. 그리고 '조회하기' 버튼을 누르시면 관련 내용을 확인 가능합니다.
 번호 수정은 직접 하실 수 있게 시스템 설정이 돼있습니다. 직접 변경 부탁드립니다.
 감사합니다.</t>
  </si>
  <si>
    <t>[입금/결제] 계좌번호알려줘요 모르고 입금 못했어요</t>
  </si>
  <si>
    <t>신청내역 화면에서 계좌번호 확인 부탁드립니다.</t>
  </si>
  <si>
    <t>[입금/결제] 이미화 6748 이름으로 입금 했어야 했는데 이은경으로 잘못 기재 했어요 9시11분14초에 입금 했는데 이은경 이름 입금 시점으로 좌석 배치 부탁드립니다. 신청 확정 안 될까봐 이미화 이름으로 9시22분24초에 또 입금 했는데 나중에 환불 신청하면 될까요? 감사합니다</t>
  </si>
  <si>
    <t>입금 시 입금자명을 오기입 하신 걸로 파악됩니다. 입금내역 파악 후 처리 도와드리겠습니다.
 또한 사이트 내 하단에 '신청내역 확인' 버튼 클릭 후 전화번호 11자리를 입력하세요. 그리고 '조회하기' 버튼을 누르시면 관련 내용을 확인 가능합니다.
 하단에 드래그해서 내려보시면 '중복입금/환불 신청' 칸이 있습니다.
 관련 정보 기입 후 '환불 신청하기'를 누르시면 확인 후 일괄 처리 해드리겠습니다.
 감사합니다.</t>
  </si>
  <si>
    <t>[정보변경] 동반자 이름을 잘못기재해서 이름만 고치고싶은데 가능할까요? 전번 주민번호는 정확히 기재했습니다</t>
  </si>
  <si>
    <t>네 고객님, 동반자 이름 변경은 원칙적으로 변경이 불가합니다.
 감사합니다.</t>
  </si>
  <si>
    <t>[입금/결제] 안녕하세요. 입금시 전화번호 뒤 4자리를 입력하지 못해서 번호 입력하고 한번 더 이체한 상태입니다. 전화번호 뒤 네자리 입력을 못하고 입금한 금액은 환불신청을 어떻게 하는지 문의드립니다.</t>
  </si>
  <si>
    <t>재입금하신 경우 확인을 거쳐 중복 입금액은 환불될 예정입니다. 계좌번호를 남겨주세요.</t>
  </si>
  <si>
    <t>[기타문의] 입금자명도 동일해요</t>
  </si>
  <si>
    <t>중복입금에 대해 환불처리를 원하시는 건지 입금처리가 완료된 건지 정확한 내용을 다시 재문의 바랍니다.
 감사합니다.</t>
  </si>
  <si>
    <t>[입금/결제] 입금할때 전화뒷번 안적었는데 어떡해하나요~ 그래서 다시 이름전화뒷번 으로 다시 입금했어요. 두번 입금한거에요</t>
  </si>
  <si>
    <t>[입금/결제] 신청자 신영혜 / 010-5832-1409 입금할때 핸드폰 뒷번호를 못넣었어요.
 입금명 신영혜로 되어 있을거에요. 신영혜 1409 입니다. 수고하세요.</t>
  </si>
  <si>
    <t>[입금/결제] 송금2번했어요
 처음에 이름만 넣고 송금해서
 다시 이름+전화번호 끝자리 넣어 송금했어요</t>
  </si>
  <si>
    <t>[정보변경] 1115 로 입금자 명의를 안써서 보냈습니다
 1115의 입금자는 정명진입니다
 정보변경 부탁드립니다</t>
  </si>
  <si>
    <t>[취소/환불] 신청취소요청합니다 아내와함께 2인신청하겠습니딘</t>
  </si>
  <si>
    <t>[기타문의] 2인 신청완료 했는데요
 남편 이름과 전화번호 입력을 안했는데요
 입금 완료 했구요</t>
  </si>
  <si>
    <t>현재 고객님의 정보로는 미신청자로 파악됩니다.
 사이트 내 하단에 '신청내역 확인' 버튼 클릭 후 전화번호 11자리를 입력하세요. 그리고 '조회하기' 버튼을 누르시면 관련 내용을 확인 가능합니다.
 신청정보 조회 시 정확히 '전화번호 11자리'를 기입하셔야 확인 가능합니다.
 감사합니다.
 신청정보 조회 시 정확히 '전화번호 11자리'를 기입하셔야 확인 가능합니다.</t>
  </si>
  <si>
    <t>[입금/결제] 같은이름으로2번 결제 했는데요.처음에 이름뒤에 전화번호4자리를 안 적어서요.이게 처리 안 되면 한자리가 다른 분께 돌아갈수 있지 않을까요.</t>
  </si>
  <si>
    <t>[취소/환불] 신청자 "이혜원" 010-9144-5193으로 2건 신청되었는데,
 입금명: "이혜원 한동훈토크콘서트" 로 입금된 건 35,000원만 취소부탁드립니다.
 신청자 "이혜원5193" 2인은 유지부탁드립니다. 70,000원 입금 완료하였습니다.</t>
  </si>
  <si>
    <t>백승숙</t>
  </si>
  <si>
    <t>[기타문의] 접수진행될때 전번 주민번회 6자리입력해서신청완료떴는데요 
 조금지나서확인눌러보니 확인이안된대요 입금도못하고있어요</t>
  </si>
  <si>
    <t>신청내역 확인 화면에서 신청내역 확인 부탁드립니다.</t>
  </si>
  <si>
    <t>[입금/결제] 빨리입금할려다 실수로 입금할때 이름뒤에 전화번호 입력 안하고 입금해서 취소될까봐 다시 이름뒤에 전화번호 입력하고 다시 입금했습니다</t>
  </si>
  <si>
    <t>[기타문의] 장애인분이 해달라고 부탁하셔서 제가 시도했는데,,
 안됐습니다.
 이런분들 배려가 필요합니다.</t>
  </si>
  <si>
    <t>네 좋은 의견 감사합니다. 추후 행사 진행 시 고려사항으로 꼭 참고해서 넣도록 하겠습니다.
 감사합니다.</t>
  </si>
  <si>
    <t>[입금/결제] 입금을 두번했어요  
 정영림
 정영림 7246</t>
  </si>
  <si>
    <t>정태호</t>
  </si>
  <si>
    <t>[취소/환불] 정태호 예약취소부탁드립니다. 와이프가 동시예약으로 확답을 기다리고 있습니다...</t>
  </si>
  <si>
    <t>[기타문의] 김명렬 010-8882-8380
 1인 티켓 -각각 동일인으로 2개 모두 성공했는데 1개는 입금 완료! 다른 1인 티켓은 예약자
 변경하고 입금하면 입장 가능한가요?</t>
  </si>
  <si>
    <t>예약자의 성명은 변경 불가합니다. 대신 전화번호나 주민번호 앞자리는 변경을 직접 하실 수 있습니다.
 관련 내용은 사이트 공지를 참고 바랍니다.
 감사합니다.</t>
  </si>
  <si>
    <t>[취소/환불] 안녕하세요. 어머니 티켓팅을 도와드리려했는데 어머니도 성공하셔서 입금이 중복 되었어요. 근데 제가 실수로 입금자명을 신청자명으로 변경 하지않아 제이름(김은비)으로 입금을 하였습니다. 박희영5696으로 넣은 입금내역은 남겨주시고 9시 6분경에 김은비로 들어간 내역만 환불처리 부탁드립니다. 
 환불계좌: 국민352602-01-155244 김은비</t>
  </si>
  <si>
    <t>[기타문의] 입금 했는데 전화 번호를 안썼어요 4234 입니다</t>
  </si>
  <si>
    <t>[입금/결제] 1 입금자명에 정시유5125로 해야하는데 정시유 최원현으로 적었습니다
 2최원현과 동시에 진행하다 정시유가 연결되어 제가입금을했는데 동반자 정보입력에 최원현이주신청자로 되어 정보입력이 안되네요 최원현은입금하지 않았습니다 취소방법알려주세요</t>
  </si>
  <si>
    <t>[기타문의] 남편도 당첨되고 저도 당첨됐어요
 당첨자 동반자 정보가 동일한데
 혹시 하나를 취소하면 나머지
 하나도 취소되는건 아닌지요?
 입금도 둘 다 완료했구요</t>
  </si>
  <si>
    <t>현재 고객님께서는 '2인 신청자'로 확인됩니다. 2인 신청 시에는 취소 처리는 하실 필요 없습니다.
 감사합니다.</t>
  </si>
  <si>
    <t>김재석</t>
  </si>
  <si>
    <t>[입금/결제] 입금계좌를 확인못했습니다.
 010-3699-4827
 김영진
 입니다. 확인부탁드리겠습니다.
 감사합니다.</t>
  </si>
  <si>
    <t>신청내역 화면에서 계좌번호를 확인 하실 수 있습니다. 확인 부탁드립니다.</t>
  </si>
  <si>
    <t>[기타문의] QR코드 어찌 확인하나요??</t>
  </si>
  <si>
    <t>QR 코드는 입장시 확인합니다. 신분증과 핸드폰 지참 부탁드립니다.</t>
  </si>
  <si>
    <t>[정보변경] 동반자 정명희
 폰번호 앞자리 010으로 변경부탁드립니다</t>
  </si>
  <si>
    <t>사이트내 하단에 "신청내역" 확인정보 버튼 클릭 후 전화번호 11자리 입력하세요. 다음 조회하기 누르시면 신청자와 동반자 정보가 뜹니다 확인하시고 관련내용 변경 하시면 됩니다.</t>
  </si>
  <si>
    <t>[입금/결제] 조회하니 입금대기 계속되어 2번 중복해서 입금했는데도 "입금대기"상태입니다.
 2025.12.07 09:10:41  35,000원 김미영3217
 2025.12.07 09:23:50 35,000원 김미영321732173217
 "1차 마감 완료되었다"는 메시지만 뜹니다.</t>
  </si>
  <si>
    <t>입금해주신 분들은 현재 입금 확인이 진행중이라, '입금대기'로 표시되는 것이 정상입니다. 입금데이터 확인 후 별도 공지 예정입니다. 또한, 재입금하신 경우 확인을 거쳐 중복 입금액은 환불될 예정입니다. 계좌번호를 남겨주세요.</t>
  </si>
  <si>
    <t>[입금/결제] 입금 드렸는데 계속 입금 대기로 되어 있어서
 국민은행 796202-01-240931 민도선5057(채요한)
 12.07.(일) 70,000원 (09:16:35) 입금 내역 확인 부탁드립니다.</t>
  </si>
  <si>
    <t>[입금/결제] 참가하기에서 입금대기라고 되어있어서 송금했는데 계속 입금대기로 나옵니다.
 신청이 된건가요?</t>
  </si>
  <si>
    <t>신청 내역 화면에서 신청 내역을 확인해 주시기 바랍니다. 입금에 대해서는, 현재 입금 확인이 진행중이라, '입금대기'로 표시되는 것이 정상입니다. 입금데이터 확인 후 별도 공지 예정입니다</t>
  </si>
  <si>
    <t>[입금/결제] 1.핸펀번호를 이름 뒤에 안쓰고 입금해서 다시 이름 +핸펀뒤번호 써서 입금했어요
 처음입금한것 환불은 어떻게 될까요?
 2.입금대기, 배정대기로 뜨는데 신청이 안된것인가요?</t>
  </si>
  <si>
    <t>1. 재입금하신 경우 확인을 거쳐 중복 입금액은 환불될 예정입니다. 계좌번호를 남겨주세요.
 2.현재 입금 확인중이라, 입금 대기가 정상입니다. 입금 데이타 확인 되면, 별도 공지 드리겠습니다.</t>
  </si>
  <si>
    <t>[정보변경] 입금시
 전화번호를 안적고
 이름 이완세 만적어서
 이완세 2160 으로
 확인바랍니다</t>
  </si>
  <si>
    <t>[입금/결제] 안녕하십니까
 입금시
 남궁호 이름만 입력하고
 뒤에 5360번호는 입력을 안했는데
 입금확인 가능하신지 문의드립니다
 확인부탁드립니다
 감사합니다</t>
  </si>
  <si>
    <t>[정보변경] 입금자 이름에 차명희를 않넣고 전화번토 뒷자리 1115 로 입금했습니다</t>
  </si>
  <si>
    <t>전화 번호 단순 누락은 관리팀에서 확인 후 승인합니다. 동명이인이 있을시에만 확인 전화를 드릴 예정이며, 그렇지 않은경우 정상적으로 접수처리 됩니다</t>
  </si>
  <si>
    <t>[입금/결제] '이인경 9828' 인데 '이인경'으로만 입금했습니다 ㅜ</t>
  </si>
  <si>
    <t>[취소/환불] 안녕하세요? 신청이 안됐는데 김민성 이름(우리은행)으로 입금했어요. 오빠가 엄마걸 신청하고 입금했는데 제가 확인해보니 입금이 안 된걸로 나와서 제 이름으로 다시 입금했거든요,.김민성으로 입금한것만 환불 부탁드립니다..</t>
  </si>
  <si>
    <t>[입금/결제] 정보입력시 급하게 하다보니 핸드폰 뒷자리가 아니라 전체번호를 입력했어요. 확인 부탁드립니다.</t>
  </si>
  <si>
    <t>전화 번호 단순 오류는 관리팀에서 확인 후 승인합니다. 동명이인이 있을시에만 확인 전화를 드릴 예정이며, 그렇지 않은경우 정상적으로 접수처리 됩니다</t>
  </si>
  <si>
    <t>[취소/환불] 정태호 예약건 취소부탁합니다. 다른분이 입금했는데 예약확답을 못받고 있습니다^^</t>
  </si>
  <si>
    <t>[입금/결제] 입금 했는데 입금대기로 나와서 확인하려구여</t>
  </si>
  <si>
    <t>[정보변경] 동반자. 전화번호 잘못 입력했요 
 입금은 했는데 수정 어뗳게 하나요? 제발요ㅠㅠㅠ</t>
  </si>
  <si>
    <t>사이트 내 하단에 '신청내역 확인' 버튼 클릭 후 전화번호 11자리를 입력하세요. 그리고 '조회하기' 버튼을 누르시면 관련 내용을 확인 가능합니다.
 동반자 전화번호 수정은 직접 가능하십니다.
 감사합니다.</t>
  </si>
  <si>
    <t>[기타문의] 신청 화면에서 확인을 하고 입금했는데 왜 확인하기에서 찾을수 없다고 나올까요?ㅠㅠ</t>
  </si>
  <si>
    <t>사이트 내 하단에 '신청내역 확인' 버튼 클릭 후 전화번호 11자리를 입력하세요. 그리고 '조회하기' 버튼을 누르시면 관련 내용을 확인 가능합니다.
 감사합니다.</t>
  </si>
  <si>
    <t>[입금/결제] 입금 환불하고 다시 입금 해야하는지 답변좀 빨리 부탁드려요</t>
  </si>
  <si>
    <t>입금을 진행할 때 정확한 정보로 입력하셨다면 추가 입금은 안 하셔도 됩니다.
 관련해서 더 궁금하신 부분이 있으면 재문의 바랍니다.
 감사합니다.</t>
  </si>
  <si>
    <t>[취소/환불] 예약취소 정태호부탁합니다. 가족동반 함께 신청되었습니다</t>
  </si>
  <si>
    <t>사이트 내 하단에 '신청내역 확인' 버튼 클릭 후 전화번호 11자리를 입력하세요. 그리고 '조회하기' 버튼을 누르시면 관련 내용을 확인 가능합니다. 
 하단에 드래그해서 내려보시면 '신청 취소 / 환불' 칸이 있습니다. 
 빨간색 칸의 '전체 신청 취소' 버튼을 누른 후 남은 절차를 진행하시면 됩니다. 
 감사합니다.</t>
  </si>
  <si>
    <t>[입금/결제] 1인신청완료했는데계좌번호가안보입니다</t>
  </si>
  <si>
    <t>신청내역 확인 화면에서 계좌번호 확인 부탁드립니다.</t>
  </si>
  <si>
    <t>신태수</t>
  </si>
  <si>
    <t>[기타문의] 2차는 언제하나요
 현장 예매도 가능한가요</t>
  </si>
  <si>
    <t>2차 모집은 추후 별도 공지 예정입니다. 현장 예매는 하지 않습니다.</t>
  </si>
  <si>
    <t>[기타문의] 돈 입금할때  전화번호를  안적었어요  어떻하죠 ? 2262전화번호 끝자리입니다</t>
  </si>
  <si>
    <t>[입금/결제] 입금시 백종숙으로 되어 다시,백종숙5760으로 2번 송금이 되었습니다 확인 부탁드립니다</t>
  </si>
  <si>
    <t>[입금/결제] 안녕하세요. 
 콘서트 티켓 1인 예매하고 입금까지 마쳤는데, 입금자명에 번호를 덧붙이지 않아서 확인 요청 드립니다.
 이름은 김혜성이고 계좌번호는 신한은행 110-040-164025 입니다. 
 확인 부탁드립니다.
 감사합니다.</t>
  </si>
  <si>
    <t>[입금/결제] 저가 성은숙2525로 입금했는데 입금 완료로 바뀌지 않습니다. 확인 부탁드립니다.</t>
  </si>
  <si>
    <t>[정보변경] 신청자 이남애 010-9781-0991 
  770815
 동반자 박진수 010-2327-6398 
  741115입니다. 수정해 주세요 
 입금은 이남애로 했습니다.</t>
  </si>
  <si>
    <t>네 고객님, 신청자와 동반자의 성함 모두 수정이 불가합니다.
 대신 신청자, 동반자의 전화번호와 주민번호 앞자리는 변경 가능함을 알려드립니다.
 감사합니다.</t>
  </si>
  <si>
    <t>[입금/결제] 안녕하세요! 중복 입금을 했습니다.
 신청자: 신영혜
 폰번호: 010-3731-1214 입니다.
 입금명: 김지민 / 입금시간: 09:07:08 / 이게 맞습니다
 입금명: 신영혜1214 / 입금시간: 09:09 / 이건 취소환불 요청드립니다
 신청 후 입금시 '김지민' 이름으로 입금을 했습니다. 
 변경요청드려야 하는데 정신없이 한번더 입금했습니다. 
 두번째 입금한걸 취소 요청드립니다.  
 두 건 중 2분 더 빠르게 입금한 것으로 좌석배정 부탁드립니다. 꼭! 꼭! 꼭!
 (김지민 = 신영혜1214)
 확인이 필요하시면 이체증을 첨부드리고 싶은데 지금 이곳에는 방법이 없네요.
 필요시 바로 보내겠습니다. 고맙습니다.
 답변 기다리겠습니다.</t>
  </si>
  <si>
    <t>[입금/결제] 계좌이체를 완료했으나 이름과 전화번호 입력을 깜빡 했습니다. 어떡하면 될까요?</t>
  </si>
  <si>
    <t>고객님, 입금 처리는 하였는데 정보 누락에 대해서 문의주셨습니다.
 정확한 확인을 위해 입금 내역이 담긴 것을 재문의 해주시면 확인 후 처리 해드리겠습니다.
 감사합니다.</t>
  </si>
  <si>
    <t>[입금/결제] 입금자에 전번뒷자리를 입력못하고 보냈어요 그냥 이름만 ㅠㅠㅠㅠㅠ 아아아 저 입급했어요 자리주세요</t>
  </si>
  <si>
    <t>[기타문의] 신청완료 했는데 신청내역이 안되네요.</t>
  </si>
  <si>
    <t>현재 고객님의 정보로는 미신청자로 파악됩니다. 
 사이트 내 하단에 '확인' 버튼 클릭 후 전화번호 11자리를 입력하세요. 그리고 '조회하기' 버튼을 누르시면 관련 내용을 확인 가능합니다. 
 신청정보 조회 시 정확히 '전화번호 11자리'를 기입하셔야 확인 가능하십니다.</t>
  </si>
  <si>
    <t>[취소/환불] 죄송합니다 
 입금자 성명뒤에 번호를 안부쳐서 두번 입금했습니다
 2025년12월7일 09시09분 입금된
 최문희 환불부탁드려요
 입금계좌 기업은행 202 067558 01 011 
 감사합니다</t>
  </si>
  <si>
    <t>[입금/결제] 입금했는데 QR코드가 없는데 언제뜨나요?</t>
  </si>
  <si>
    <t>QR 코드 생성은 신청자 분들의 입금내역 확인 후 처리가 완료되는 대로 일괄 공지 예정입니다.
 감사합니다.</t>
  </si>
  <si>
    <t>[정보변경] 입금자뒤에 숫자를 기입못했는데 어떻게 해야하나요?</t>
  </si>
  <si>
    <t>[기타문의] 신청자명 하대호 동반자 등록후
 다른 신청자 차현주가 신청이 된걸 알고
 또 다시 동반자 등록하려고 하니까 
 중복 등록 안된다고해서요
 하대호 신청건 취소 후 다른 분들에게 기회를 주시기 바랍니다
 빠른 확인부탁드립니다</t>
  </si>
  <si>
    <t>[기타문의] 입금시 이름뒤에 전번을 빠트렸어요 어떡하나요</t>
  </si>
  <si>
    <t>[취소/환불] 안녕하세요?
 제 이름으로 신청했을 때 계속 오류가 나서 남편 이름으로 다시 신청하고 입금 완료했습니다.
 저를 동반자로 등록하려니 이미 주 신청자로 등록되어 있어 등록이 안된다고 합니다.
 제가 신청한 것 취소 부탁드려요.</t>
  </si>
  <si>
    <t>[입금/결제] 이름+뒷번호로 입금해야하는데 이름으로만 입금을 해서요. 확인이 가능한가요?</t>
  </si>
  <si>
    <t>[입금/결제] 라광수 / 010 3352 1795 입금완료 했는데 다음으로 안 넘어가네요</t>
  </si>
  <si>
    <t>[입금/결제] 입금했는데 전화번호 01042806290 중 끝자리 적으라는걸 깜박하고 이체했네요 화인은 되겠죠?</t>
  </si>
  <si>
    <t>[기타문의] 이재진 이름으로 잘못 보내서 7만원 입금이 되었고 이주연. 김경숙 630215 동반 했는데 
 동반자가 등록이 안된다고 나오네요. 이주연 이름으로 신청하고 다시 7만원 입금 했습니다
 합14만원 입금이 되었습니다</t>
  </si>
  <si>
    <t>[정보변경] 2인신청을 1인으로 변경원합니딘</t>
  </si>
  <si>
    <t>네 고객님, 말씀주신 대로 정보변경 처리해드렸습니다.
 감사합니다.</t>
  </si>
  <si>
    <t>[기타문의] 신청완료 떴더니 왜 오류로 나오는지요?</t>
  </si>
  <si>
    <t>현재 고객님 정보를 확인해 보니 미신청자로 확인됩니다.
 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</si>
  <si>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[정보변경] 입금자명 김지원 ㅡ김지원0505로 해야하는데 김지원으로만 입금완료가되었습니다
 김지원0505입니다
 수고하세요
 감사합니다</t>
  </si>
  <si>
    <t>[입금/결제] 좀전에 입금했는데 제이름만 입금했어요 0706  미안합니다</t>
  </si>
  <si>
    <t>[입금/결제] 2번 입금 됐는데 1건은 돌려 받을수있나요</t>
  </si>
  <si>
    <t>[입금/결제] 9시12분 이혜경 으로 입금 했는데 전화번호 뒷자리를 안적었네요
 뒷자리 5362 입니다</t>
  </si>
  <si>
    <t>[입금/결제] 1인 신청 완료(황문숙, 010-8487-9910)되었고,
 입금을 12/07 오전 9시17분에 하였는데,
 보내는 사람을 제 이름으로 못하고, 아들 명의로 입금되었습니다(권오중, 케이뱅크)
 확인 부탁드립니다.</t>
  </si>
  <si>
    <t>입금 시 입금자명을 오기입 하신 걸로 파악됩니다. 내역 파악 후 처리 도와드리겠습니다.
 감사합니다.</t>
  </si>
  <si>
    <t>[입금/결제] 입금했는데
 마음이 급해서 입금자뒤에 전번을 안적었습니다</t>
  </si>
  <si>
    <t>[입금/결제] ㅣ인신청 완료 뜨는데 계좌번회 안열여요</t>
  </si>
  <si>
    <t>[입금/결제] 입금 했는데 입금 대기 되어 있습니다.확인 부탁합니다.</t>
  </si>
  <si>
    <t>[입금/결제] 당첨돼어입금했습니다
 입금자 이름에 핸펀번호 뒷자리를 미입력했습니다.
 그래서 입금확인이 안되나요??</t>
  </si>
  <si>
    <t>송서영</t>
  </si>
  <si>
    <t>[입금/결제] 신청했는데 내역이 없디고 하네요</t>
  </si>
  <si>
    <t>현재 고객님 정보로는 미신청자로 파악됩니다.
 정보 확인은 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</si>
  <si>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심소연</t>
  </si>
  <si>
    <t>[기타문의] 1차완료라고 뜨는데 2차예매도 있나요?</t>
  </si>
  <si>
    <t>현재 확인중이며, 2차 모집은 추후 별도 공지 예정입니다.</t>
  </si>
  <si>
    <t>[입금/결제] 김지현으로 입금했는데 전화번호를 안적었네요. 김지현6461. 계좌 거래점은 상록수 입니다. 스마트 입금 입니다.</t>
  </si>
  <si>
    <t>조영진</t>
  </si>
  <si>
    <t>[입금/결제] 계좌는 어디서 확인하나여?</t>
  </si>
  <si>
    <t>[입금/결제] 2인신청하고 각자 입금했는데 
 입금대기상태로 뜨면 다시 입금하나요?</t>
  </si>
  <si>
    <t>[입금/결제] 구좌번호 통보 요망</t>
  </si>
  <si>
    <t>[입금/결제] 입금자 명 옆에 유남희 2008 쓰는걸 잊었네요. 괜찮은지요?</t>
  </si>
  <si>
    <t>[입금/결제] 신청접수로 떴는데 접수가 되었는지 궁금합니다</t>
  </si>
  <si>
    <t>[입금/결제] 두번 입금이 되었습니다. 
 어떻게ㅜ처리 되나요?</t>
  </si>
  <si>
    <t>[입금/결제] 입금할때 전화번호 없이 이름만 적고 입금했는데 이름만 적어도 되나요?</t>
  </si>
  <si>
    <t>전화 번호 단순 누락은 관리팀에서 확인 후 승인합니다. 동명이인이 있을시에만 확인 전화를 드릴 예정이며, 그렇지 않은경우 정상적으로 접수처리 됩니다"</t>
  </si>
  <si>
    <t>[정보변경] 서정숙9863을 입력못했어요
 어떻게 해야할까요
 알려주세요</t>
  </si>
  <si>
    <t>전화번호 단순 누락은 관리팀에서 확인 후 승인합니다. 동명이인이 있을시에만 확인 전화를 드릴 예정이며, 그렇지 않은경우 정상적으로 접수처리 됩니다. 다른 사항이면 문의를 남겨 주시기 바랍니다.</t>
  </si>
  <si>
    <t>[입금/결제] 대표자 박용준으로 다시 입금했습니다
 박용준 9993</t>
  </si>
  <si>
    <t>이중 입금하신 부분은 내역 파악 후 처리 도와드리겠습니다.
 감사합니다.</t>
  </si>
  <si>
    <t>[입금/결제] 입금 했는데 2600 전번 입력을 못했는데 처리될까요?</t>
  </si>
  <si>
    <t>[입금/결제] 정화진 4683 을 안썼습니다</t>
  </si>
  <si>
    <t>[입금/결제] 홍유식 으로만 기입해서 이체되었습니다
 홍유식 7413 수정해주시고 배정부탁드립니다
 연락처: 010-9106-7413</t>
  </si>
  <si>
    <t>이지순</t>
  </si>
  <si>
    <t>[기타문의] 안녕하세요? 9시부터 열린다고 해서 미리 들어와서 계속 보고있었지만 안타깝게도 "곧 오픈 예정입니다" 란이 비활성화 되어있어 신청을 못하고 기다리다 보니 1차마감이 완료되엇다고 뜨네요 문의하기를 무조건 눌러야만 하는 시스템인가요? 일흔 넘은 어머니 대신 아들이 신청및 작성해 봅니다. 고맙습니다.</t>
  </si>
  <si>
    <t>네 고객님, 현재 신청 인원수가 모두 마감되었습니다.
 추후 1차 신청자 분들 중 미입금 등 누락분이 발생하면 2차 티켓팅을 실시합니다. 진행 순서는 1차 때와 같습니다. 
 혹여나 2차 티켓팅이 진행될 시에는 시간대와 날짜는 추후 공지하도록 하겠습니다.
 감사합니다.</t>
  </si>
  <si>
    <t>[정보변경] 대표참가자 김갑례 (010-8743-6061)의 동반자 '루미라'를 '류미라'로 수정 요청합니다.</t>
  </si>
  <si>
    <t>네 고객님, 문의주신 대로 정보 수정 하였습니다.
 감사합니다.</t>
  </si>
  <si>
    <t>[입금/결제] 입금완료했는데
 계속 입금대기로 되어있네요
 확인부탁드립니다
 감사합니다</t>
  </si>
  <si>
    <t>[기타문의] 입금결제 했는데 내역이 주순복 3132를 안했어요</t>
  </si>
  <si>
    <t>입금 시간대와 금액 관련한 내용을 재문의 해주시면 확인 후 처리 해드리겠습니다.
 감사합니다.</t>
  </si>
  <si>
    <t>최성호</t>
  </si>
  <si>
    <t>[기타문의] 입력해서 신청완료까지 떴는데 왜 신청확인이 안되는지 궁금합니다.</t>
  </si>
  <si>
    <t>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</si>
  <si>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[입금/결제] 12월7일 09시21분 이영옥으로 입금했어요 이름뒤에 4880이 빠져서 문의드립니다</t>
  </si>
  <si>
    <t>전화번호 단순 누락은 관리팀에서 확인 후 승인합니다. 동명이인이 있을시에만 확인 전화를 드릴 예정이며, 그렇지 않은경우 정상적으로 접수처리 됩니다"</t>
  </si>
  <si>
    <t>[입금/결제] 입금자명에 입금자만 표기하고 전화번호 추가하는 것을 빼먹었는데 어떻게 될까요?</t>
  </si>
  <si>
    <t>전호 번호 단순 누락은 관리팀에서 확인 후 승인합니다. 동명이인이 있을시에만 확인 전화를 드릴 예정이며, 그렇지 않은경우 정상적으로 접수처리 됩니다.</t>
  </si>
  <si>
    <t>[기타문의] 신청확인까지 했는데 조회가 안되네요.</t>
  </si>
  <si>
    <t>[입금/결제] 입금했는데 전번뒷번호를 안넣어서, 급한김에 전번 넣고 두번째 입금했네요. 어쩐대요? 번거롭게 해드려 죄송해요.</t>
  </si>
  <si>
    <t>[입금/결제] 급하게 입금 하느라 입금자명 표기에 이름 뒤에 폰번호 둿자리 0615를 안 적었어요 ㅠㅠ
 괜찮을까요?</t>
  </si>
  <si>
    <t>[입금/결제] 입금을 했는데 이름뒤에 적었어야 할 전화번호를 안적었습니다.
 취소되나요? 제발 완료로 해주세요🙏</t>
  </si>
  <si>
    <t>[입금/결제] 2025.12.07 09:06:54
 7940-0104-178355 농협계좌로
 추민지8663이 아니라 추민지로 입금했는데요
 취소될까봐 불안해서 추민지8663으로 
 09:23:19에 한 번 더 입금했어요
 이중입금인데 첫번째 건은 환불될까요?</t>
  </si>
  <si>
    <t>[기타문의] 송금시 이름뒤에 김태영6577로 해야하는데 급해서 김태영으로만 했어요..어떻게 해야 할까요?</t>
  </si>
  <si>
    <t>[취소/환불] 2인접수했는데 1인으로하려 하는데 되는지요?</t>
  </si>
  <si>
    <t>네 고객님, 현재 '2인 신청자'로 파악됩니다. 2인 -&gt; 1인으로 인원수 변경은 불가합니다.
 감사합니다.</t>
  </si>
  <si>
    <t>[정보변경] 신청은됐는데...전화번호입력을잘못했어요~~</t>
  </si>
  <si>
    <t>네 고객님, 전화번호 오기입을 하신 상태라면 변경하실 전화번호를 재문의 내용에 추가해주시면 수정하겠습니다.
 감사합니다.</t>
  </si>
  <si>
    <t>[기타문의] 1인 신청 할려고 햇는데 2인 신청이 되었습니다 35,000 입금하였는데 신청되었는지 궁금합니다</t>
  </si>
  <si>
    <t>네 고객님, 문의주신 대로 반영해서 수정 완료 됐습니다.
 입금내역은 순차적으로 확인 후 처리해드리겠습니다.
 감사합니다.</t>
  </si>
  <si>
    <t>[입금/결제] 유병용010_5730_3101입니다.
 2인신청했는대 입금을 유희춘 농협계좌로 입금됐으니 찿아서 처리부탁드립니다..</t>
  </si>
  <si>
    <t>[입금/결제] 처음 입금때 전화번호를 못적어서
 두번째 입금할때는 전화번호 뒷번호를 
 적어서 한번더 입금을 했습니다 
 두번 입금이 되었습니다</t>
  </si>
  <si>
    <t>[입금/결제] 잘못 입금한거 취소 요청드립니다.
 입금자명 : 강주은
 금액 : 70,000원</t>
  </si>
  <si>
    <t>[입금/결제] 입금되면 성공한거 맞나요</t>
  </si>
  <si>
    <t>네 고객님, 현재 '1인 신청자'로 파악됩니다. 입금내역은 순차적으로 파악 후 차리해드리겠습니다.
 감사합니다.</t>
  </si>
  <si>
    <t>김은의</t>
  </si>
  <si>
    <t>[기타문의] 대기 시간을 30분전부터 대기했는데 창이 아예 열리지않는데 마감이라네요 식구3명이 신청했는데 ㅠ</t>
  </si>
  <si>
    <t>[정보변경] 손정자를 솟정자로 잘못 입력하여 입금도 솟정자3113 70000원입금했는데 손정자3113으로 수정 안될까요??</t>
  </si>
  <si>
    <t>[입금/결제] 안녕하세요
 1인신청하고 9:13에 권혜주7104로 35000원 입금하였는데 신청내역확인하니 입금대기로 나오네요 신청할때 신청오류?라고 뜨길래 한번 다시하였는데 혹시 중복신청되었는지 봐주시면 감사하겠습니다 제가 확인할 방법은 없네요
 수고에 감사드립니다</t>
  </si>
  <si>
    <t>네 고객님, 현재 중복신청은 되지 않은 상태로 파악됩니다.
 입금내역은 순차적으로 파악 후 처리 도와드리겠습니다.
 감사합니다.</t>
  </si>
  <si>
    <t>[입금/결제] 김경숙3178  보냈는데...  입금확인했더니 입금대기로 되어있네요</t>
  </si>
  <si>
    <t>이서곁</t>
  </si>
  <si>
    <t>[취소/환불] 입금 전 취소로 바로 처리 부탁드려요;;;</t>
  </si>
  <si>
    <t>이현미</t>
  </si>
  <si>
    <t>[기타문의] 2차 모집도 하나요?</t>
  </si>
  <si>
    <t>지금 확인중이며, 2차 모집은 추후 별도 공지 예정입니다.</t>
  </si>
  <si>
    <t>[입금/결제] 입금할때 이름뒤에 전화번호 뒷자리
 안쓰고 입금했는데 본인 확인에
 문제 없을까요?</t>
  </si>
  <si>
    <t>저화 번호 단순 누락은 관리팀에서 확인 후 승인합니다. 동명이인이 있을시에만 확인 전화를 드릴 예정이며, 그렇지 않은경우 정상적으로 접수처리 됩니다</t>
  </si>
  <si>
    <t>[입금/결제] 입금자명을 뒷번호 안적고 그냥 이체한거 같아요.그리고 부모님 대신에 제이름으로 신청 했는데 변경 어떻게 하나요?</t>
  </si>
  <si>
    <t>현재 고객님께서는 '1인 신청자'로 파악됩니다. 
 혹여나 정보 변경을 원하시는 내용을 담아서 재문의 해주시면 반영해드리겠습니다.
 감사합니다.</t>
  </si>
  <si>
    <t>[취소/환불] 안녕하세요
 하나은행 박지영 (01037646373) 이름으로 입금했는데 
 신청확인도 안됐습니다. 탈락 됐으면 내 돈 당장 환불해주세요. 
 정말 실망입니다.</t>
  </si>
  <si>
    <t>현재 고객님 정보로는 미신청자로 파악됩니다.
 혹여나 미신청하시고 입금을 하셨다면 관련 내용을 재문의 해주시면 처리 해드리겠습니다.
 감사합니다.</t>
  </si>
  <si>
    <t>[입금/결제] 처음 입금에 전화번호를 넣지않아 두번 입금하였네요~
 ㅠㅠ
 죄송합니다 ㅎ</t>
  </si>
  <si>
    <t>[입금/결제] 입금했는데 신청조회해보니 입금대기로 나오네요.</t>
  </si>
  <si>
    <t>[입금/결제] 2인으로 7만원 신정아5354 입금했는데요
 동반자 이오숙 검색했더니 6만원 입금 하라고 뜨네요 신경 안써도 되는거죠?</t>
  </si>
  <si>
    <t>2인 신청자의 입금 금액은 '70,000원'입니다.
 감사합니다.</t>
  </si>
  <si>
    <t>윤정란</t>
  </si>
  <si>
    <t>[기타문의] 사연은 티켓구매 완료분들만 신청하는거죠??</t>
  </si>
  <si>
    <t>네 고객님, 사연 신청은 티켓 유무에 상관없이 모두 가능합니다. 
 관련 탭을 이용해주시면 상세 내용을 확인 가능합니다.
 감사합니다.</t>
  </si>
  <si>
    <t>[입금/결제] 입금시 김미정 으로만 했어요
 9788 뒷번호 확인바랍니다</t>
  </si>
  <si>
    <t>[기타문의] 가입시청해서 입금자명 뒤에 전화번호 끝4자리 기재안하고 입금했어요
 그래서 추가로 입금자명 전화번호 기재해서 입금했어
 1번째 입금건 환불 어찌해야 하는지?</t>
  </si>
  <si>
    <t>[입금/결제] 입금자명에 폰번호 뒷자리 입력을 못했어요ㅠ 확인해주세요</t>
  </si>
  <si>
    <t>[입금/결제] 입금자 명에 '오영삼'으로만 표기했습니다. 전화번호 뒷자리는 5032입니다만 전화번호 넣는 것을 빼먹었습니다.</t>
  </si>
  <si>
    <t>[정보변경] 이름을 오타로 인해 최영옥을 최영옼으로 기입 했습니다. 입금은 최영옥7941입니다</t>
  </si>
  <si>
    <t>네 고객님, 말씀주신 대로 정보수정 완료됐습니다. 입금내역은 확인 후 순차적으로 처리 예정입니다.
 감사합니다.</t>
  </si>
  <si>
    <t>[입금/결제] 입금할때 전번 뒤자리를 못넣었어요
 김영희
 01089891067</t>
  </si>
  <si>
    <t>단순 누락은 관리팀에서 확인 후 승인합니다. 동명이인이 있을시에만 확인 전화를 드릴 예정이며, 그렇지 않은경우 정상적으로 접수처리 됩니다</t>
  </si>
  <si>
    <t>[입금/결제] 입금자7029못쓰고 부쳤어요어떻게 되나요?</t>
  </si>
  <si>
    <t>[입금/결제] 안녕하세요 
 티켓금액 이체는 완료했는데 입금자명을
 번호없이 이름으로만,,,
 입금확인해보니 대기확인으로  괜찮은가요?</t>
  </si>
  <si>
    <t>[입금/결제] 입금하면서 이름 뒤 전번 넣는 것을 깜빡했네요. 박현정 8936 인데 박현정으로만 입금되었어요. 확인 부탁 드립니다</t>
  </si>
  <si>
    <t>[정보변경] 입금시 동반자 주민등록번호가 잘못썼습니다 
 박상엽590118
 고지연 610501인데 610502로 했습니다 죄송합니다 정신이 나가서 그만 
 확인후 바꿔주세요 입급 완료된상태입니다 
 12월7일 오전 9시 13분 박상엽으로 입금했습니다 빠른 답변부탁드립니다</t>
  </si>
  <si>
    <t>네 고객님, 말씀주신 대로 정보수정 처리해드렸습니다. 입금내역은 확인 후 순차적으로 처리하겠습니다.
 감사합니다.</t>
  </si>
  <si>
    <t>[정보변경] 안녕하세요. 장승희 01040845967 이번에 2인으로 신청완료했습니다. 그런데 동반자 전화번호를 잘못 입력했습니다.정종섭 010 2374 3901 입니다.</t>
  </si>
  <si>
    <t>네 고객님, 문의주신 대로 정보수정 진행해드렸습니다.
 감사합니다.</t>
  </si>
  <si>
    <t>[정보변경] 2인 7만원 (입금자 배미숙 3949) 표기합니다. 입금시 전번뒷자리 표기않했습니다.</t>
  </si>
  <si>
    <t>[입금/결제] 입금했는데 입금자명에 번호를 입력 안했네요ㅠㅠ 입금 시간 25년 12월 7일 09시07분 이재학 이름으로 입금 했습니다. 확인 부탁드려요ㅠㅠㅠㅠㅠ</t>
  </si>
  <si>
    <t>[입금/결제] 입금자명을 이름만 최병숙쓰고 번호 끝자리 5193을 못넣었네요....</t>
  </si>
  <si>
    <t>[입금/결제] 안녕하세요
 입금을 두번 했어요 ㅠㅠ 
 이다희, 
 이다희6608
 일인 신청인데 한번은 번호 없이 입력했다가
 번호랑 같이 입력하라고 하셔서 다시 입금했네요
 확인부탁드립니다
 감사합니다</t>
  </si>
  <si>
    <t>[입금/결제] 국민은행
 796202-01-240931 계좌에서
 입금자명이 다르게 1. 민도선(70,000원), 2. 채요한(70,000원) 입금드렸던 사항이 있어서 환불 부탁드립니다.
 실제 입금은 민도선5057(70,000원)로 입금드렸습니다.</t>
  </si>
  <si>
    <t>정경옥</t>
  </si>
  <si>
    <t>[기타문의] 신청을 해서 '신청을 완료하였습니다'라고 했는데 계좌번호가 안떴어요,접수완료가 되었는지 확인부탁드립니다</t>
  </si>
  <si>
    <t>신청내역 확인 화면에서 신청 내역을 확인 부탁드립니다. 해당 화면에서 계좌번호로 확인 가능합니다.</t>
  </si>
  <si>
    <t>[기타문의] 신청이되어 있는지 알고싶어요
 계좌번호가 알고싶어요</t>
  </si>
  <si>
    <t>신청내역 확인 화면에서 계좌번호 확인 가능합니다.</t>
  </si>
  <si>
    <t>[입금/결제] 입금 완료 했는데 넘 급해서 윤혜준 6324 표기 못하고 윤혜준 만 표기 했네요 
 어쩌죠 ㅠㅠ</t>
  </si>
  <si>
    <t>[입금/결제] 2인인데 이기훈 7만원,이기훈3645로 7만원 두번송금됐어요 
 이중결제했는데 7만원 돌려주실수있죠?</t>
  </si>
  <si>
    <t>[기타문의] 2차신청은 언제 하나요</t>
  </si>
  <si>
    <t>현재 확인중이며, 2차 모집은 추후 별도로 공지 예정입니다.</t>
  </si>
  <si>
    <t>[기타문의] 9시 오픈이라고 안했나요? 신청란이 확실하게 오픈되지도 않을뿐더러 신청확인란을 클릭 후 신청하기란을 클릭해야만 신청작성을 할 수 있었습니다. 심지어 그것또한 오류가 발생한다는 문구가 어려번 뜨면서 사이트를 여러번 껐다 켰다 반복하기 일수였습니다. 9시에 제대로 오픈한게 맞나요?</t>
  </si>
  <si>
    <t>신청 인원이 많이 몰려 트래픽이 버티지 못한 부분이 있습니다.
 신청은 정상적인 시간에 진행됨을 알려드립니다. 불편을 드려 대단히 죄송합니다.
 감사합니다.</t>
  </si>
  <si>
    <t>[취소/환불] 딸 박소현이 본인 최영숙2인 신청완료해서 입금 까지 완료했는데 제가 본인도 신청해서 신정이 되었는데 동반자 사항이랑 입금은 하지 않았는데 이 건 취소가능한가요?</t>
  </si>
  <si>
    <t>[입금/결제] 콘서트 신청 입금완료 인데요.
 한미희 7196 으로 해야 하는데 한미희로만 입금했어요.
 다시 입금해야 하는지요?</t>
  </si>
  <si>
    <t>[입금/결제] 카카오페이로 입금하니 최인숙2765가 다 안들어가서 '인숙2765'로 입금했습니다</t>
  </si>
  <si>
    <t>입금 시 입금자명을 (ex.'홍길동_0000') 형식으로 기입하지 않으셔도 입금 확인은 가능한 상태입니다. 내역 파악 후 처리 도와드리겠습니다.
 감사합니다.</t>
  </si>
  <si>
    <t>[입금/결제] 다시입금해야하나요??</t>
  </si>
  <si>
    <t>입금을 1회 하셨다면 추가 입금은 하지 않으셔도 됩니다.
 감사합니다.</t>
  </si>
  <si>
    <t>여옥희</t>
  </si>
  <si>
    <t>[입금/결제] 입금결제 문자가 안옵니다</t>
  </si>
  <si>
    <t>입금완료 관련해서는 문자를 따로 보내드리고 있지 않습니다.
 사이트 내 하단에 '신청내역 확인' 버튼 클릭 후 전화번호 11자리를 입력하세요. 그리고 '조회하기' 버튼을 누르시면 관련 내용을 확인 가능합니다.
 신청정보 조회 시 정확히 '전화번호 11자리'를 기입하셔야 확인 가능하십니다.
 감사합니다.</t>
  </si>
  <si>
    <t>[입금/결제] 제가 이름을 윤영이9831로 입력해버렸어요.
 입금양식 오류로 
 윤영이9831로 1회
 윤영이 98319831로 1회 
 총2회 했습니다.
 환불 안해도 좋으니 윤영이98319831로 자리배정부탁드립니다.
 암수굴예정이라 꼭 참석해서 좋은 기운 느끼고 싶습니다.
 수고하세요^^</t>
  </si>
  <si>
    <t>고객님께서는 총 2번 입금하신 걸로 파악됩니다. 내역 파악 후 환불 처리 도와드리겠습니다.
 감사합니다.</t>
  </si>
  <si>
    <t>[입금/결제] 입금 완료 했는데 입금자명만 하고 폰 뒷번호를 안 넣었는데 괜잖은거지요</t>
  </si>
  <si>
    <t>[입금/결제] 입금했습니다. 근데 정숙4686 으로 해야 하는데 정숙(한동훈) 으로 해서 확인 할려고 합니다. 메세지 부탁드려요~</t>
  </si>
  <si>
    <t>[입금/결제] 입금했는데 이름만 써서 보냈어요ㅠ
 조정희 입니다!!</t>
  </si>
  <si>
    <t>[입금/결제] 6530 이춘희로 되어 있네요?
 다시 이춘희6530으로 할까요?</t>
  </si>
  <si>
    <t>아닙니다, 입금내역을 확인 후 정상처리 여부는 사이트 내에서 확인 가능합니다.
 추가 입금은 안 하셔도 됩니다.
 감사합니다.</t>
  </si>
  <si>
    <t>[입금/결제] 입금했습니다.. 
 확정 안내는 언제 받을 수 있나요?</t>
  </si>
  <si>
    <t>[입금/결제] 입금계좌알려주세요&gt;&gt;&gt;</t>
  </si>
  <si>
    <t>[입금/결제] 입금시 이름뒤에 전화번호 미기입으로ㅠ 재 입금했습니다.최영미4024. 첫번째거 환불가능한가요?</t>
  </si>
  <si>
    <t>[입금/결제] 입금했는데 입금자명 뒤에 3234를 안붙였어요. 신청이 정상적으로 되었는지 확인요~</t>
  </si>
  <si>
    <t>[입금/결제] 박정민 9시 12분 입금 후 뒤에 주민번호를 입력 하지 않았습니다 ㅜ</t>
  </si>
  <si>
    <t>입금시 전화 번호 단순 누락은 관리팀에서 확인 후 승인합니다. 동명이인이 있을시에만 확인 전화를 드릴 예정이며, 그렇지 않은경우 정상적으로 접수처리 됩니다</t>
  </si>
  <si>
    <t>[기타문의] 입금을 2번 했습니다. 
 처음에는 최은환
 두번째는 최은환5692
 환불 부탁드립니다. 
 농협 302 0356 3567 71 최은환</t>
  </si>
  <si>
    <t>확인후 순차적으로 위에 남기신 계좌로 환불해드리겠습니다.</t>
  </si>
  <si>
    <t>[입금/결제] 입금 시 이름 뒤에 폰 번호를 기재 못해서 다시 번호 붙여서 입금했습니다. 결과적으로 2번 입금이 되었는데 환불은 어떻게 받을 수 있나요?</t>
  </si>
  <si>
    <t>[입금/결제] 입금확인은 어디서 볼 수있나요? 확인은 언제되나요?</t>
  </si>
  <si>
    <t>문수경</t>
  </si>
  <si>
    <t>[기타문의] 7일 오전 9시 오픈..?</t>
  </si>
  <si>
    <t>[입금/결제] 입금 시 전화번호를 입력하지않아 두번 입금 했습니다 1건은 환불 처리 부탁합니다. 송영미
 하나 141 910043 44507</t>
  </si>
  <si>
    <t>확인후 순차적으로 남겨주신 계좌로 환불 예정입니다.</t>
  </si>
  <si>
    <t>[정보변경] 입금자에 휴대폰 끝자리 7657아닌 황명숙으로갔습니다 어떻게 하나요</t>
  </si>
  <si>
    <t>[입금/결제] ARTHUR로 35000원을 잘못 입금하였습니다.</t>
  </si>
  <si>
    <t>확인후 순차적으로 환불 예정입니다. 계좌번호를 남겨주십시요.</t>
  </si>
  <si>
    <t>[입금/결제] 결제를 완료했습니다 결제시간은 2025년 12월7일 오전 9시13분입니다
 결제시 이름 박상엽으로 입금했습니다 
 원하시는것이 박상엽2363 고지연8032 (동반자) 입니다 
 다시 입금해야 하는건지 아니면 그낭놔둬도 되는건가요</t>
  </si>
  <si>
    <t>[입금/결제] 제가 너무 초조한 탓인지
 입금하고 입금자명에 번호뒷자리를 표기 안했어요ㅜㅜ 0325ㅜㅜ</t>
  </si>
  <si>
    <t>[입금/결제] 안녕하세요 입금했는데 자리 배정은 언제쯤되는지 문의드립니다</t>
  </si>
  <si>
    <t>현재 처리 중에 있습니다. 
 완료되는 대로 사이트 내 하단에 '신청내역 확인' 버튼 클릭 후 전화번호 11자리를 입력하세요. 그리고 '조회하기' 버튼을 누르시면 관련 내용을 확인 가능합니다.
 신청정보 조회 시 정확히 '전화번호 11자리'를 기입하셔야 확인 가능하십니다.
 감사합니다.</t>
  </si>
  <si>
    <t>이봉희</t>
  </si>
  <si>
    <t>[입금/결제] 신청완료 떳는데 계좌가 안 보여요</t>
  </si>
  <si>
    <t>[입금/결제] 신청되어서 입금완료했는데 입금자명뒤에 전화번호 5130 을  못넣었는데 예매확인이 안됩니다~~</t>
  </si>
  <si>
    <t>신청내역 확인 화면에서 신청 내역 확인 부탁드립니다. 입금시 전화 번호 단순 누락은 관리팀에서 확인 후 승인합니다. 동명이인이 있을시에만 확인 전화를 드릴 예정이며, 그렇지 않은경우 정상적으로 접수처리 됩니다.</t>
  </si>
  <si>
    <t>위인순</t>
  </si>
  <si>
    <t>[입금/결제] 입금 계좌 부탁 합니다</t>
  </si>
  <si>
    <t>장시성</t>
  </si>
  <si>
    <t>[기타문의] 토크콘서트 신청하기가 열리지 않는데 이미 완료된것인가요?</t>
  </si>
  <si>
    <t>[취소/환불] 입금 없이 취소 하려고 하는데요</t>
  </si>
  <si>
    <t>사이트 내 하단에 '신청내역 확인' 버튼 클릭 후 전화번호 11자리를 입력하세요. 그리고 '조회하기' 버튼을 누르시면 관련 내용을 확인 가능합니다. 
 하단에 드래그해서 내려보시면 '신청 취소 / 환불' 칸이 있습니다.</t>
  </si>
  <si>
    <t>[입금/결제] 박선화로 입금했습니다.입금자명뒤에전화번호4자리 입력안했습니다.확인부탁드립니다.</t>
  </si>
  <si>
    <t>[입금/결제] 너무 급해서 이름 뒤에 전화번호 끝자리를 입력못했어요. 이혜은으로 입금했는데 이혜은1016입니다. 괜찮을까요?</t>
  </si>
  <si>
    <t>전화 번호 단순 누락은 관리팀에서 확인 후 승인합니다. 동명이인이 있을시에만 확인 전화를 드릴 예정이며, 그렇지 않은경우 정상적으로 접수처리 됩니다.</t>
  </si>
  <si>
    <t>이명근</t>
  </si>
  <si>
    <t>[기타문의] 2차로 언제 신청가능하가요?</t>
  </si>
  <si>
    <t>현재 확인 중이며, 2차 모집은 추후 별도 공지예정입니다.</t>
  </si>
  <si>
    <t>손창분</t>
  </si>
  <si>
    <t>[기타문의] 티켓 구매 할수있나요</t>
  </si>
  <si>
    <t>[입금/결제] 입금을 나중에보니 김혜경6097로 하라고 했는데 김혜경으로만 했네요.보내계좌는 신한은행 110-329-549601 입니다.확인부탁드립니다</t>
  </si>
  <si>
    <t>[입금/결제] 입금했는데 이름만들어가고
 전화끝자리는 입력못했어요</t>
  </si>
  <si>
    <t>[입금/결제] 입금을했는데 계속 대기네요 언제확인될까요 김숙자9974입니다</t>
  </si>
  <si>
    <t>[입금/결제] 온라인 이체를 바로했는데 전화번호 끝자리 기록없이 유정화이름으로 바로입금되어서 다시보내려하니 전화번호끝자리 입력이 아됩니다. 어떻게해야하나요.</t>
  </si>
  <si>
    <t>[입금/결제] 박용옥 3343 입금했습니다. 확인바랍니다. 감사합니다.</t>
  </si>
  <si>
    <t>입금내역 파악 후 처리 도와드리겠습니다.
 감사합니다.</t>
  </si>
  <si>
    <t>[입금/결제] 입금하려는데 입금계좌 안보여요</t>
  </si>
  <si>
    <t>[취소/환불] 신청 취소를 하려면 어떻게 해야 하나요?
 전화번호 010-4023-4973 입니다.</t>
  </si>
  <si>
    <t>류지웅</t>
  </si>
  <si>
    <t>[기타문의] 오픈 준비중이라고 계속 뜨다가 갑자기 1차 모집 완료라고 뜨네요 2차 모집을 하나요? 아니면 끝인가요?</t>
  </si>
  <si>
    <t>현재까지 확인중이며, 2차 모집은 추후 별도 공지 예정입니다.</t>
  </si>
  <si>
    <t>이동재</t>
  </si>
  <si>
    <t>[기타문의] 안녕하세요. 혹시 2차 모집도 진행될 예정인가요??</t>
  </si>
  <si>
    <t>[입금/결제] 입금을 형식이 틀리게 지채현으로 1번 입금하고요/
 형식에 맞게 지채현1977로 2번 입금했습니다. 혹시나 형식에 맞지 않으면 취소 될까봐요... ㅠㅠ 1번은 반환해 주시는 거죠?</t>
  </si>
  <si>
    <t>[취소/환불] 중복 신청했습니다. 저의 아내가 저와 동반 신청했습니다.</t>
  </si>
  <si>
    <t>[입금/결제] 2인 입금인 표시가 최은혜로만 되었어요
 전번 2348이 빠졌습니다</t>
  </si>
  <si>
    <t>[입금/결제] 입금자를 변수만으로 했습니다.
 변수만4051로 수정합니다.</t>
  </si>
  <si>
    <t>[입금/결제] 입금했는데 대기로 나와요 다시할까요</t>
  </si>
  <si>
    <t>[입금/결제] 김영희 01089891067
 계좌입금할때 1067을 못넣었어요.</t>
  </si>
  <si>
    <t>[입금/결제] 신청완료 했어요
 입금계좌 알려주세요</t>
  </si>
  <si>
    <t>[입금/결제] 입금완료그런데 폰번 뒷자리 4522 기재 누락 했더니 입금완료 안떠요 어떡해요</t>
  </si>
  <si>
    <t>[입금/결제] 계속 렉걸리고 신청마감으로 뜨고
 신청완료가 안되어 반복적으로
 계속 하다보니
 정신나간상태에서
 입금시 그냥 35000원만
 겨우 보냈어요 ㅠㅠ
 입금자 : 김원모 배정해주세요</t>
  </si>
  <si>
    <t>정상적으로 신청완료 되었습니다</t>
  </si>
  <si>
    <t>[입금/결제] 1인두번핸는데
 신청완료문자가되었는데
 주문완료에는
 조회가안된다고해요?^^;;</t>
  </si>
  <si>
    <t>신청내역 확인 화면에서 신청 내역 확인 하실 수 있습니다.</t>
  </si>
  <si>
    <t>[기타문의] 입금자를 9091로만 표시했습니다. 
 신동건 9091로 표시해야 하는데요</t>
  </si>
  <si>
    <t>[입금/결제] 입금을 두번했어요
 최문희
 최문희5117
 2025년 12월 7일 09시09분에 입금된 최문희로 입금된거는 환불 부탁드려요</t>
  </si>
  <si>
    <t>우선경</t>
  </si>
  <si>
    <t>[기타문의] 1차모집된건가요? 9시딱 열리지도않고 뭔가이상한데요..</t>
  </si>
  <si>
    <t>네 신청 인원수가 모두 마감되었습니다.
 추후 1차 신청자 분들 중 미입금 등 누락분이 발생하면 2차 티켓팅을 실시합니다. 진행 순서는 1차 때와 같습니다.
 혹여나 2차 티켓팅이 진행될 시에는 시간대와 날짜는 추후 공지하도록 하겠습니다.
 감사합니다.</t>
  </si>
  <si>
    <t>[입금/결제] 혹시 몰라서 올바른 형식으로 한번 더 입금했습니다.
 처음 결제한 금액은 환불 가능할까요?</t>
  </si>
  <si>
    <t>김영근</t>
  </si>
  <si>
    <t>[기타문의] 입금계좌 알려주시면 감사하겠습니다!!!!신청완료 까지끝냈습니다.2인신청인데 다른 1명의 정보 입력은 안보이던데?어떻게 되는건지요??</t>
  </si>
  <si>
    <t>신청 내역 화면에서 입금 계좌 확인 가능하고, 동반인 정보 입력도 가능합니다. 번호 하나당 하나의 QR이 생성되므로, 동반인 정보 입력 부탁드립니다.</t>
  </si>
  <si>
    <t>안도경</t>
  </si>
  <si>
    <t>[기타문의] 2인 신청서 접수해서 완료까지 했는데
 조회가 안됩니다
 신청된건지 확인부탁드립니다
 동반자 정보를 기록은 못했습니다</t>
  </si>
  <si>
    <t>[취소/환불] 정태호취소부탁합나다.지인이 신청했다고 합니다</t>
  </si>
  <si>
    <t>사이트 내 하단에 '신청내역 확인' 버튼 클릭 후 전화번호 11자리를 입력하세요. 그리고 '조회하기' 버튼을 누르시면 관련 내용을 확인 가능합니다. 
 하단에 드래그해서 내려보시면 '신청 취소 / 환불' 칸이 있습니다. 버튼 누르시고 절차 밟으시면 됩니다.
 감사합니다.</t>
  </si>
  <si>
    <t>[기타문의] 조경자
 (신한)110203237410 
 본인통당에서 출금했는데
 출금자 뒷쪽에 5101 입력이 빠졌습니다</t>
  </si>
  <si>
    <t>[입금/결제] 입금계좌는 어떻게 되나요?</t>
  </si>
  <si>
    <t>신청내역 화면에서 계좌번호 확인 가능합니다.</t>
  </si>
  <si>
    <t>[입금/결제] 안녕하세요 민희식 동반2인 (홍종표) 토크콘서트 예매 완료 후 
 예매자 (민희식6876) 으로 70,000원 입금 완료 했습니다.
 처음 입금할때 급한 마음에 이름을 바꾸지 못하고 홍예원으로 70,000원 입금했습니다
 홍예원으로 입금된 70,000원 다시 받을 수 있을까요? 번거롭게 해드려 죄송합니다.</t>
  </si>
  <si>
    <t>[입금/결제] 방금 입금드렸습니다.
 입금자명을 '장현정'이라고 이름만 썼는데요,
 '장현정7953'으로 변경해주실 수 있으실까요?
 예매 중 너무 떨려서 7953을 못 넣었습니다ㅠ</t>
  </si>
  <si>
    <t>[기타문의] 신청완료까지 눌렀는데 확인해보면 없다고 하네요
 제발 알려주세요</t>
  </si>
  <si>
    <t>[정보변경] 전화번호를 잘못 입력했습니다. 변경이 가능할까요.
 010-5217-7480이 아니라 010-5271-7480입니다. 변경이 안될까요?
 제발요...도와주세요.</t>
  </si>
  <si>
    <t>네, 문의주신 대로 수정 처리 완료되었습니다.
 감사합니다.</t>
  </si>
  <si>
    <t>[입금/결제] 급한 맘에 전화번호 끝자리4개를 안적고 입금했습니다ㅠㅠ 어떻게 하나요?</t>
  </si>
  <si>
    <t>[기타문의] 저희언니랑 같이 예매를 2인으로 해서;;
 신청은 되었는데 2인등록이 안되서요; ㅜ
 01025959828 이서경을 취소해주세요</t>
  </si>
  <si>
    <t>동반자 정보 입력은 고객님께서 직접 입력하실 수 있게 시스템 설정이 돼있습니다.
 그래도 접수 취소를 원하시면 재문의 바랍니다.
 감사합니다.</t>
  </si>
  <si>
    <t>[입금/결제] 신청완료하였습니다
 입금자 동일하게 입금했으나
 입금자명+전화번호뒷자리를
 입력하지못했다면
 어떻게되나요?</t>
  </si>
  <si>
    <t>[입금/결제] ⚠️ 입금 시 입금자명을 '김민선5236' 형식으로 입력해주세요.
 계좌 밑에 이렇게 쓰여있는 문구를 미처 보지 못하고 9시 8분에 ‘김민선’ 형식으로만 입금을 했습니다. 그래도 인정될 수 있는걸까요?</t>
  </si>
  <si>
    <t>오경순</t>
  </si>
  <si>
    <t>[입금/결제] 계좌번호를 메모 못했어요
 어떻게 알수 있나요</t>
  </si>
  <si>
    <t>[입금/결제] 두번 입금이 됐습니다
 입금자명을 잘못 기재하여 제대로 입력하느라 한번더 입금이 됐습니다
 한건은 환불이 가능한가요?
 횐불 가능하다면 증빙서류는 어떤게 있을까요</t>
  </si>
  <si>
    <t>확인후 순차적으로 중복입금분을 환불처리 합니다.계좌번호를 남겨주십시요</t>
  </si>
  <si>
    <t>[정보변경] 동반자이름을 잘못 넣었는데 주민번호랑 핸드펀번호는 맞구요
 변경 좀 부탁드려요</t>
  </si>
  <si>
    <t>동반자 정보 오기입을 하신 걸로 파악됩니다. 변경을 원하는 내용을 재문의 해주시기 바랍니다.
 감사합니다.</t>
  </si>
  <si>
    <t>[입금/결제] 입금했는데 신청된건가요 아직입금대기로떠서요</t>
  </si>
  <si>
    <t>현재 입금 확인중입니다. 입금 대기로 뜨는 것이 정상입니다. 입금 데이타 확인 후, 공지 예정입니다.</t>
  </si>
  <si>
    <t>김시형</t>
  </si>
  <si>
    <t>[기타문의] 9시 오픈 기다렸는데 오픈중비중으로 확인됩니다.</t>
  </si>
  <si>
    <t>사이트는 열렸는데 한꺼번에 많은 인원이 몰려 일시적인 트레픽현상이 발생했습니다. 양해 바랍니다.</t>
  </si>
  <si>
    <t>박창숙</t>
  </si>
  <si>
    <t>[입금/결제] 신청완료는 뜨는데
 계좌번호가 없습니다</t>
  </si>
  <si>
    <t>[취소/환불] 9시 11분에 입금양식에 맞추않고 35,000원을 입금하여 14분에 한번 더 입금했습니다.
 '김혜영'으로 입금된 금액 환불 부탁드립니다</t>
  </si>
  <si>
    <t>[입금/결제] 7만원 입금했어요
 조소현3740으로 못하고
 3740을 빼먹었어요 ㅜㅜ
 확인 부탁드립니다</t>
  </si>
  <si>
    <t>[기타문의] 결제하면서 
 신동건 9091로 표시해야 하는데 
 그냥 9091로 표시했습니다.
 어찌하면 되나요.</t>
  </si>
  <si>
    <t>입금 시 입금자명을 오기입 하신 걸로 파악됩니다. 내역 파악을 위해 입금 시간 및 계좌내역을 재문의 해주십시오.
 감사합니다.</t>
  </si>
  <si>
    <t>[입금/결제] 입금자명에 번호 네자리를 못넣었어요
 신한은행에서 7만원 9:10:05초에 입금!
 최은영 5082
 확인부탁드립니다</t>
  </si>
  <si>
    <t>[입금/결제] 입금을 했는데 처음에 황경미로 보내고 두번째는 황경미5635로 보냈습니다.
 환불 부탁드립니다.</t>
  </si>
  <si>
    <t>[입금/결제] 입금계좌가 안나와서 입금을 못했으니 계좌 알려주십시오</t>
  </si>
  <si>
    <t>신청내역 확인 화면에서 계좌 번호 확인 부탁드립니다.</t>
  </si>
  <si>
    <t>[입금/결제] 제가 금방 티겟 예매 입금을 했는데요 이름뒤에 전번 3275 를 모르고 입력을 안했는데 어떻게 해야 하나요?</t>
  </si>
  <si>
    <t>[입금/결제] 입금이 늦어질까봐 급하게 송금처리하다가 전화번호 끝번호 누르는걸 잊고 이름만 기재했네요 입금자: 탁춘련  
 꼭 확인해주시고 딸이 같이 가야하는데ㅠ.ㅠ 혼자라도 갑니다. 
 이상없이 예매완료 되겠지요?</t>
  </si>
  <si>
    <t>[입금/결제] 안녕하세요. 1명이 가려고신청했습니다.
 김정임 이름으로 한번 그후에 입금명 규칙 확인후 김정임1446 한번. 총 두번입금했습니다ㅠ 35000원 환불받아야하는데 어떻게 하나요? 일단 계좌를 적어놓겠습니다. 신한은행 110443863538 오현희
 빠른 조치 부탁드립니다^^</t>
  </si>
  <si>
    <t>[취소/환불] 2명이 동시 신청되어 1명취소부탁합니다</t>
  </si>
  <si>
    <t>사이트 내 하단에 '신청내역 확인' 버튼 클릭 후 전화번호 11자리를 입력하세요. 그리고 '조회하기' 버튼을 누르시면 관련 내용을 확인 가능합니다. 
 하단에 드래그해서 내려보시면 '신청 취소 / 환불' 칸이 있습니다. 
 관련 정보 기입 후 '전체 취소하기'를 누르시면 됩니다.
 감사합니다.</t>
  </si>
  <si>
    <t>[입금/결제] 입금 신청을 이미화6748로 해야 되는데 이은경으로 했어요 변경 가능 할까요?</t>
  </si>
  <si>
    <t>입금 시 입금자명을 오기입 하신 걸로 파악됩니다. 입금 내역 파악 후 처리 도와드리겠습니다.
 감사합니다.</t>
  </si>
  <si>
    <t>[입금/결제] 신청자 ; 임묘순 
 이체명 : 임묘순
 이체명으로 보냈는데 동일인 있는 경우 임묘순 4960 으로 확인부탁드려요
 이체시기는 아래와같습니다
 2025.12.07 09:11:36</t>
  </si>
  <si>
    <t>정애자</t>
  </si>
  <si>
    <t>[정보변경] 신청했는데ᆢ안됀건가요? 동반인도있는데 글쓰기가 안돼요</t>
  </si>
  <si>
    <t>[입금/결제] 신청완료 했는데 계좌를 메모 못했어요 ㄱㆍ</t>
  </si>
  <si>
    <t>안타깝게도 신청이 완료되지 않았습니다.</t>
  </si>
  <si>
    <t>[취소/환불] 안녕하세요! 1명만 가는데 입금이 중복으로 되어서 문의 드립니다. 하나은행에서 입금된 건은 다시 환불 부탁드립니다. 김두리 010-4140-9190. 입금이 2번 되었어요. 동시에 예매하는 바람에 그렇게 되었어요. 
 하나은행 50491097820607 으로 35,000원 입금 부탁드립니다.</t>
  </si>
  <si>
    <t>데이터 처리중입니다. 확인 절차를 거쳐 중복입금분은 순차적으로 남겨주신 계좌로 환불처리될 예정입니다.</t>
  </si>
  <si>
    <t>정수연</t>
  </si>
  <si>
    <t>[취소/환불] 신청취소 부탁드립니다
 딸이 신청 성공하고 입금까지해서
 거기 동반인으로 등록하려고 합니다</t>
  </si>
  <si>
    <t>확인후 환불처리 해드리겠습니다. 계좌번호를 남겨주십시요</t>
  </si>
  <si>
    <t>[입금/결제] 입금완료했는데 입금대기라고 나와요~!!!!!</t>
  </si>
  <si>
    <t>[입금/결제] 안녕하세요 수고하십니다.
 입금이 두번되어 문의글 남깁니다.
 신청자명 : 이길선 010-9311-4200
 우리은행 28401439202101 입니다.
 1번은 이길선 1번은 이길선4200으로 입금되었습니다. 
 확인 부탁드립니다.</t>
  </si>
  <si>
    <t>[입금/결제] 송 효석 어머니
 대신 예매 해드렸습니다.
 입금까지 하였는데 좌석배정이 안되었고 입금대기중이라 표기됩니다</t>
  </si>
  <si>
    <t>네 정상입니다. 입금 확인은 내일까지 진행예정입니다.</t>
  </si>
  <si>
    <t>[입금/결제] 2명으로 신청했는데
 동반자 정보를 입력하니
 다른사람이 동반자로 입력했답니다.
 1명분만 송금해도 되나요?</t>
  </si>
  <si>
    <t>네 고객님, 확인 해보니 고객님께서는 '1인 신청'하셨습니다. 그리고 백영애님과 '2인 신청'의 내역도 확인됩니다.
 2인 신청 건은 2명분의 금액을 입금해주셔야 합니다.
 혹여나 1인 신청하신 건에 대해 취소 처리를 원하시면 관련 내용 재문의 바랍니다. 
 감사합니다.</t>
  </si>
  <si>
    <t>[정보변경] 입금했는데요 성명만 기재
 급한맘에 뒤 전화번호 둿자리수
 기재못했습니다. 곽순영 4559</t>
  </si>
  <si>
    <t>[입금/결제] 입금할때 뒤에 전화번호를 적지 못했습니다. 확인 가능할까요?</t>
  </si>
  <si>
    <t>[입금/결제] 입금시 성명뒤 연락처 입력을 누락했습니다.어떻게 처리 되나요?
 입금처리 확인을 부탁합니다.</t>
  </si>
  <si>
    <t>[정보변경] 동반자의 정보 변경을 원합니다. 가능한가요?</t>
  </si>
  <si>
    <t>[정보변경] 입금 박진영은 박진영9758 입니다</t>
  </si>
  <si>
    <t>[입금/결제] 입금했습니다 대기상태라 문의해봅니다
 큐알이 안와서요</t>
  </si>
  <si>
    <t>[입금/결제] 박승진 입니다 3300 안적고 박승진으로만. 입금 했어요 너무 경황이 없어서
 9시9분 32초 국민은행에서 박승진으로 입금 했습니다 
 불편을 드려 죄송합니다</t>
  </si>
  <si>
    <t>[입금/결제] 백은주8636 신청인데
 입금을 2번했어요.
 1번 - 곽진희 12.7. 09:09
 2번 - 백은주 8636 12.7 09:13
 한 건 환불 부탁드립니다.</t>
  </si>
  <si>
    <t>데이터 처리중입니다. 확인후 환불처리 해드리겠습니다. 계좌번호를 남겨주십시요.</t>
  </si>
  <si>
    <t>[입금/결제] 분명 2인 신청으로 대표자 정보까지 입력했는데 신청확인하기에 정보가 없다고 뜨네요ㅠㅠㅠㅠ 뭔가요???</t>
  </si>
  <si>
    <t>[입금/결제] 동반자로 해서 대표자 1명만 입금해야하나요? 따로따로 보냈는데 확인 부탁드려요!</t>
  </si>
  <si>
    <t>2인 신청 시, 대표자 1명만 2인분의 금액을 입금하시면 됩니다. 따로 입금을 진행하신 경우, 각각의 성함과 입금 시간 등을 상세히 적어 재문의 바랍니다. 
 감사합니다.</t>
  </si>
  <si>
    <t>[입금/결제] 입금을 
 입금자 이미영 1번 
 입금자 이미영 1346 으로 1번 두번 했습니다 ~~~ ㅠ 
 1번 비용은 환불 바랍니다</t>
  </si>
  <si>
    <t>입금 시 입금자명을 (ex.'홍길동_0000') 형식으로 기입하지 않으셔도 입금 확인은 가능한 상태입니다. 2번 입금하신 부분은 내역 파악 후 처리 도와드리겠습니다.
 감사합니다.</t>
  </si>
  <si>
    <t>[입금/결제] 입금할때최귀선으로만입금했어요 5585을넣지않았는데요
 확인부탁드려요</t>
  </si>
  <si>
    <t>입금 시 입금자명을 (ex.'홍길동_0000') 형식으로 기입하지 않으셔도 확인은 가능한 상태입니다. 입금내역 파악 후 처리 도와드리겠습니다.
 감사합니다.</t>
  </si>
  <si>
    <t>[입금/결제] 입금 했는데 입금대기로 뜹니다. 입금확인해주세요.</t>
  </si>
  <si>
    <t>[입금/결제] 안녕하세요
 채경숙(600815) 2인 예약을 했는데 채경숙4334로 입금을 해야됐는데 채경숙-2인으로 입금을 했습니다 확인부탁드립니다.</t>
  </si>
  <si>
    <t>[입금/결제] 안녕하세요 오늘 콘서트 신청한 양세린이라고 합니다.(전화번호 끝자리 6733) 다름이 아니라 제가 1인석 신청을 하고 계좌이체를 바로 했는데 오전9시7분경 (입금자명:양세린) 으로 송금을 하고 다시 오전 9시 11분경 (입금자명:양세린6733)으로 해서 재송금했습니다. 확인이되신다면 혹시 한번분의 송금액은 환불받을 수 있는지 여쭈어봅니다. 수고가 많으십니다.. 감사합니다!</t>
  </si>
  <si>
    <t>[입금/결제] 부모님꺼 해드리다가 한번은 제 이름으로 입금을 잘못했어요 한훈 입니다 
 환불처리 부탁드릴게요
 9시 8분경 입금
 환불계좌
 3333038062377 
 카카오뱅크
 한훈</t>
  </si>
  <si>
    <t>입금 시 입금자명을 오기입 하신 걸로 파악됩니다. 입금내역 파악 후 처리 도와드리겠습니다.
 감사합니다.</t>
  </si>
  <si>
    <t>[입금/결제] 답변이 늦어져서 다시 박선영3233으로 송금했어요</t>
  </si>
  <si>
    <t>윤명희</t>
  </si>
  <si>
    <t>[기타문의] 휴대폰 분실보호 유료부가서비스 가입을 하지않으면 예매신청이 안되나요</t>
  </si>
  <si>
    <t>휴대폰 분실보호 유료부가서비스 가입과 본 사이트의 예매신청은 상관관계가 없습니다.
 감사합니다</t>
  </si>
  <si>
    <t>[입금/결제] 계좌번호를 못찾았어요.</t>
  </si>
  <si>
    <t>[입금/결제] 입금했는데 입금대기로뜨네요</t>
  </si>
  <si>
    <t>[취소/환불] 안녕하세요. 급한 마음에 입금자명이 잘못입력되어 1매를 예약했는데 이세현,이세현2377로 2회 입금했습니다. 환불가능한가요?</t>
  </si>
  <si>
    <t>입금 시 2회 하신 걸로 파악됩니다. 입금내역 파악 후 처리 도와드리겠습니다.
 감사합니다</t>
  </si>
  <si>
    <t>[입금/결제] 장신영 이름으로 2인 금액 7만원으로 보냈습니다. 장신영7244 로 보내지 않았는데 취소하고 다시 입금 가능한가요? 아니면 입금확인이 될까요</t>
  </si>
  <si>
    <t>[입금/결제] 입금자명뒤에 번호를 안적었어요 ㅠㅠㅠ</t>
  </si>
  <si>
    <t>[입금/결제] 입금자명에 이름만 썼어요 전화번호를 기입하지 못했네요 괜찮은가요?</t>
  </si>
  <si>
    <t>[입금/결제] 입금 시 이름으로만 보냈습니다 어떻게 해야할까요?</t>
  </si>
  <si>
    <t>[기타문의] 신청오류로 2인이 신청됐습니다 동반자 정보는 입력안했고 1인 입금했는데 문제 없는지 문의드립니다</t>
  </si>
  <si>
    <t>현재 고객님은 '1인 신청자'입니다. 2인 신청자의 대상자가 아니니 1인 입금하신 것에 대해 문제는 없는 것으로 파악됩니다. 
 감사합니다.</t>
  </si>
  <si>
    <t>김서영</t>
  </si>
  <si>
    <t>[입금/결제] 신청완료했는데 신청내역이 없다고 나옵니다.
 어떻게 된건가요?</t>
  </si>
  <si>
    <t>[입금/결제] 안녕하세요.
 09:08:55 에 7만원 안예림으로 입금했는데 번호를 까먹고 안 적었습니다.
 안예림 5908 입니다.</t>
  </si>
  <si>
    <t>[기타문의] 분명히 신청을 했는데, 신청 확인이 안됩니다. 죄송하지만 한번만 확인해주세요. 저 분명히 9시 2-3분경 신청했거든요.</t>
  </si>
  <si>
    <t>[취소/환불] 제가 입금자명을 잘못 입력하여 입금을 두번 하였습니다.
 한번은 그냥 이름으로 했고요. 김선미
 두번째는 이름에 번호를 붙였어요 김선미1544
 1회 비용 환불 부탁드립니다. 불편 드려 죄송합니다.
 환불 계좌는 농협 151 12 063341 김선미입니다.</t>
  </si>
  <si>
    <t>입금을 2번 하신 걸로 파악됩니다. 입금내역 파악 후 처리 도와드리겠습니다.
 감사합니다.</t>
  </si>
  <si>
    <t>정다운</t>
  </si>
  <si>
    <t>[입금/결제] 안녕하세요! 저 예매하기 시작되자마자
 입력하고 확인했는데 신청확인이안되요ㅠㅠ</t>
  </si>
  <si>
    <t>[입금/결제] 이을선명으로 2인 예약하고 입금하였습니다. 송금 메모에 "이을선4338"이 아니라 "이을선"으로만 기입 되어 있으니 확인 부탁드립니다.</t>
  </si>
  <si>
    <t>[입금/결제] 송금했는데 입금대기로 화면이 나타나서요</t>
  </si>
  <si>
    <t>[입금/결제] 안녕하세요. 입금명을 급하게 하느냐고 류혜림3450 으로 해야하는데 류혜림8932 휴대폰 중간번호로 압력했는데요. 어떡하죠?</t>
  </si>
  <si>
    <t>[취소/환불] 입금 전입니다. 취소 부탁드립니다.</t>
  </si>
  <si>
    <t>사이트 내 하단에 '신청내역 확인' 버튼 클릭 후 전화번호 11자리를 입력하세요. 그리고 '조회하기' 버튼을 누르시면 관련 내용을 확인 가능합니다. 
 하단에 드래그해서 내려보시면 '신청 ㅊ취소 / 환불' 칸이 있습니다. 
 관련 정보 기입 후 '전체 취소하기'를 누르시면 됩니다.
 감사합니다.</t>
  </si>
  <si>
    <t>[기타문의] 계속 신청준비중으로 나타나더니 1차마감으로 뜨네요. 전산오류가 있었나요</t>
  </si>
  <si>
    <t>9시 8분 기준으로 마감되었습니다.</t>
  </si>
  <si>
    <t>[입금/결제] 입금자를 김애숙으로 했습니다
 김애숙6527로 해야 되는데~~
 어떡하나요?</t>
  </si>
  <si>
    <t>[입금/결제] 실수로 대표신청자 이름으로 송금을 안하고 동반자 이름으로 입금했습니다
 대표자 박용준 
 동반자 최계희 9993 이름으로 입금했습니다</t>
  </si>
  <si>
    <t>[기타문의] 입금자가 휴대폰 끝자리7657아니고 이름으로갔어요 어떻해요</t>
  </si>
  <si>
    <t>김데니스호</t>
  </si>
  <si>
    <t>[입금/결제] 신청자명이랑 입금자명을 다르게 입력했는데 확인부탁드립다.
 신청자명 : KIM DENNIS HO7251 
 입금자명 : 강주은</t>
  </si>
  <si>
    <t>[입금/결제] 입급하였는데.. 급하게 하느라 이름뒤 전화번호 뒷자리를 못썻어요..어떻게 되나요?</t>
  </si>
  <si>
    <t>[입금/결제] 입금했는데 이름뒤에 전화번호 적지않았는데
 괜찮나요?</t>
  </si>
  <si>
    <t>[입금/결제] 동반자 명의로 신청내역 확인해보니 신청자 본인은 7만원으로 되어있고 동반자명으로 신청내역 확인해보면 6만원으로 뜹니다. 이건 어떻게 처리해야할까요??</t>
  </si>
  <si>
    <t>해당 건은 오류로, 신청자만 7만원 입금하시면 됩니다.</t>
  </si>
  <si>
    <t>[입금/결제] 죄송합니다. 사고친 것 2건 있어요.
 1.미리 35000원 선입금건
 죄송합니다. 이실직고 할게요.
 소스에 박아두신 계좌번호 보고 대기타고 있었습니다.
 입금 시간이 8시 59분대 일 거라서 찾기 쉬우실 겁니다.
 입금자명은 권민주, 입금 은행 sc제일은행입니다.
 2.진짜 신청 완료 후 송금자명에 전화번호 누락했습니다.
 "권민주2689"라고 보내야 하는데, 그냥 "권민주"라고 보냈습니다.
 1번으로 인한 패널티도 달게 받겠습니다.
 번거롭게 해서 죄송합니다.</t>
  </si>
  <si>
    <t>입금 시 입금자명을 (ex.'홍길동_0000') 형식으로 기입하지 않으셔도 입금 확인은 가능한 상태입니다. 입금내역 파악 후 처리 도와드리겠습니다.
 패널티는 전혀 입지 않으시니 걱정하지 않으셔도 됩니다.
 감사합니다.</t>
  </si>
  <si>
    <t>[취소/환불] 신청 취소해 주세요...</t>
  </si>
  <si>
    <t>[입금/결제] 두번입금햇는데 처음 입금햇을때 예금주를 잘못햇는데 환불 어떻게하나요</t>
  </si>
  <si>
    <t>입금 시 입금자명을 잘못 기입하셔도 입금 확인은 가능한 상태입니다. 입금내역 파악 후 처리 도와드리겠습니다.
 잘못 입금한 예금주의 성함과 금액을 확인 후 재문의 주시기 바랍니다.
 감사합니다.</t>
  </si>
  <si>
    <t>[입금/결제] 입금할때 전번 뒷자리를 못넣는데 어떻게 하나요</t>
  </si>
  <si>
    <t>[입금/결제] 입금자를 안영규로 했습니다
 다시 입금해야 할까요?
 안영규4166으로요</t>
  </si>
  <si>
    <t>[입금/결제] 딸이 입금을 해줘서 이름이랑 신청자랑 이름이 다른데 어떡해야하나요</t>
  </si>
  <si>
    <t>입금자이신 따님 분 성함과 입금 금액을 한번 더 확인하신 후 동일 내용으로 재문의 해주시기 바랍니다.
 감사합니다.</t>
  </si>
  <si>
    <t>[입금/결제] 입금을 그냥 이름으로 했네요...박찬영8428 입니다</t>
  </si>
  <si>
    <t>[입금/결제] 원종순신청 했는데 입금자명에 1319를 못쓰고원종순으로만 했습니다.</t>
  </si>
  <si>
    <t>[입금/결제] 처음입금할때 이름만 적어 입금해서 다시 이름과전번으로 입금했습니다. 취소 안되겠죠?ㅜ</t>
  </si>
  <si>
    <t>[정보변경] 안녕하세요! 예매 완료하고 입금했는데 너무 기쁜마음에 입금자명을 강계순 으로 입금했는데 강계순5423 으로 입금해야될걸 그냥 이름 강계순 으로만 입금해서요,,!! 혹시 문제가 될까요 따로 조치취해주실수 있는건지해서 문의남겼습니다 !!</t>
  </si>
  <si>
    <t>유형우</t>
  </si>
  <si>
    <t>[취소/환불] 중복으로 신청되어 취소 부탁드립니다</t>
  </si>
  <si>
    <t>[입금/결제] 입금자명에 번호누락했어요
 임주연2630해야하는데
 그냥 임주연으로 입금해버렸습니다</t>
  </si>
  <si>
    <t>[입금/결제] 안녕하세요 한동훈 토크콘서트 신청했는데 처음 입금할 때 입금자명에 핸드폰 뒷번호를 작성 안해서 추가로 입금 다시 했습니다. 중복으로 입금된 금액 환불 부탁드립니다.</t>
  </si>
  <si>
    <t>이다빈</t>
  </si>
  <si>
    <t>[입금/결제] 입금자명에 이름만 썼는데 어쩌죠?ㅠㅠ</t>
  </si>
  <si>
    <t>[입금/결제] 계좌번호 알려줘 요</t>
  </si>
  <si>
    <t>[입금/결제] 입금자명에 유연선(0455) 이렇게 보냈는데
 뒤에 갈로를 넣었으면 안되는걸까요</t>
  </si>
  <si>
    <t>[정보변경] 이은령 이 입금자가 김성일로 보냈습니다</t>
  </si>
  <si>
    <t>입금 시 입금자명을 잘못 보내신 걸로 파악됩니다. 입금내역 파악 후 처리 도와드리겠습니다.
 감사합니다.</t>
  </si>
  <si>
    <t>[입금/결제] 입금자명을 잘못입력해서 2번 입금했습니다.
 09:08 김대영
 09:09 안은숙 5404
 김대영으로 입금한 내역은 환불부탁드리겠습니다.</t>
  </si>
  <si>
    <t>입금 시 입금자명을 잘못 기입하신 걸로 파악됩니다. 입금내역 파악 후 처리 도와드리겠습니다.
 감사합니다</t>
  </si>
  <si>
    <t>[입금/결제] 입금하였습니다
 입금자 강윤진 ---&gt; 강윤진3620 입니다 (09시7분 54초)</t>
  </si>
  <si>
    <t>함영희</t>
  </si>
  <si>
    <t>[기타문의] 예매하려고 8시50분~9시9분까지 신청준비 중이라고만 있어서 기다리고 있었는데 9시10분 안되서 신청마감 되었다니 정말 신청 마감된건가요??</t>
  </si>
  <si>
    <t>9시 8분 기준으로 신청이 마감되었습니다.</t>
  </si>
  <si>
    <t>[취소/환불] 중복 신청이 되었는데 취소는 어떻게 하나요?</t>
  </si>
  <si>
    <t>관련 내역 확인 후 처리 진행해드리겠습니다.
 감사합니다.</t>
  </si>
  <si>
    <t>[입금/결제] 입금시 깜빡하고 전화번호 뒷자리를 입력하지 못했는데 어떻게 하죠?</t>
  </si>
  <si>
    <t>[입금/결제] 안녕하세요 입금을 했는데 
 어머니 혼자 입금하시는 바람에
 ‘이정숙4461’으로 입금하셔야하는데 
 이정숙 님으로 입금하셨습니다! 
 농협카드입니다! 
 확인부탁드려요!</t>
  </si>
  <si>
    <t>[취소/환불] 안녕하세요 송금할때 실수로 입금자명이 신청인 명과 다르게 '황우건' 으로 입금을 했습니다. 신청자의 이름으로 다시 입금하였으니 '신한은행 110-311-586382 황우건' 으로 입금된 금액은 환불 부탁드립니다</t>
  </si>
  <si>
    <t>입금 시 입금자명을 타인으로 진행하셨어도 입금 확인은 가능한 상태입니다. 입금내역 파악 후 처리 도와드리겠습니다.
 감사합니다.</t>
  </si>
  <si>
    <t>[취소/환불] 신청 취소를 하려면 어떻게 해야하나요?
 전화번호 010-4023-4973 입니다.</t>
  </si>
  <si>
    <t>사이트 내 하단에 '신청내역 확인' 버튼 클릭 후 전화번호 11자리를 입력하세요. 그리고 '조회하기' 버튼을 누르시면 관련 내용을 확인 가능합니다. 
 하단에 드래그해서 내려보시면 '신청 ㅊ취소 / 환불' 칸이 있습니다. 
 관련 정보 기입 후 '전체 취소하기'를 누르시면 확인 후 일괄 처리 해드리겠습니다. 
 감사합니다.</t>
  </si>
  <si>
    <t>[입금/결제] 입금자를 박선영으로 했어요ㅠㅠ 09시09분에 송금했는데 다시 박선영3233으로 할까요?</t>
  </si>
  <si>
    <t>[입금/결제] 기업은행 장시아로 7만원 입금했는데요
 장시아6446으로 안보내서.. 해당건 입금 확인 부탁드립니다</t>
  </si>
  <si>
    <t>[기타문의] 신청완료됐는데. 확인은 안돼고있습니다.</t>
  </si>
  <si>
    <t>신수경</t>
  </si>
  <si>
    <t>[입금/결제] 계좌번호 부탁드립니다</t>
  </si>
  <si>
    <t>신청내역 확인에서 계좌번호 확인 가능합니다.</t>
  </si>
  <si>
    <t>[입금/결제] 입금자를 성명만 입금했습니다
 최문희로 죄송해요
 어떻게 해야할까요</t>
  </si>
  <si>
    <t>[취소/환불] 티켓팅 성공했는데 이정으로 성공이 되어서 취소를 하고 싶습니다 
 가능할까요</t>
  </si>
  <si>
    <t>[정보변경] 생년월일 제대로 입력했는지 확인하고 싶습니다.</t>
  </si>
  <si>
    <t>신청내역 확인에서 확인 가능합니다.</t>
  </si>
  <si>
    <t>[입금/결제] 안녕하세요,
 방금 입금했는데 정명지3360으로 입금을 못했어요..
 입금 확인 잘 부탁드려요!
 010-7773-3360
 정명지
 940811</t>
  </si>
  <si>
    <t>입금 시 입금자명을 (ex.'홍길동_0000') 형식으로 기입하지 않으셔도 입금 확인은 가능한 상태입니다. 입금내역 파악 후 처리 도와드리겠습니다.
 감사합니다.</t>
  </si>
  <si>
    <t>[입금/결제] 1차 완료되었다고나오고 입금계좌는 안보이는데 신청 안된 건가요?</t>
  </si>
  <si>
    <t>입금계좌는 신청자에 한해서 공개되고 있는 점을 알려드립니다.
 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</si>
  <si>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[정보변경] 2인티켓 정보 변경 어디서 하나요</t>
  </si>
  <si>
    <t>별도 연락드리겠습니다.</t>
  </si>
  <si>
    <t>민성원</t>
  </si>
  <si>
    <t>[입금/결제] 9시 11분, 접수대기중입니다. 사이트 오류인가요?</t>
  </si>
  <si>
    <t>9시 8분 기준으로 모집이 마감되었습니다</t>
  </si>
  <si>
    <t>[입금/결제] 안녕하세요~ 방금 신청 완료했고 입금 했는데요~ 속도전이라서 예금주를 정경희4585로 해야 하는데 정경희(우리은행 1002-339로 시작)로 입금을 해버렸습니다. 2인 신청했고 7만원 입금했습니다.</t>
  </si>
  <si>
    <t>[입금/결제] 콘서트 입금완료했는데 긴장해서 입금명에 폰번호를 못적었어요ㅠㅠ
 조유진
 010 4522 7299</t>
  </si>
  <si>
    <t>[입금/결제] 2025.12.07. 09:10:01 우리은행 1002-145-878431 김지현으로 7만원입금하였는데, 김종환4246으로 처리해주시면 감사드리겠습니다!</t>
  </si>
  <si>
    <t>입금 시 입금자명 오기입을 하신 상태로 파악됩니다. 입금내역 파악 후 처리 도와드리겠습니다.
 감사합니다.</t>
  </si>
  <si>
    <t>민충식</t>
  </si>
  <si>
    <t>[취소/환불] 신청취소부탁드립니다</t>
  </si>
  <si>
    <t>[입금/결제] 안녕하세요, 송금 시 입금자명에 번호를 포함하지 못해서 문의남깁니다.
 - 입금일시: 2025. 12. 07. 09:08:42
 - 입금자명: 배희수
 - 입금금액: 70,000
 확인부탁드립니다.</t>
  </si>
  <si>
    <t>전화번호 단순 누락은 관리팀에서 확인 후 승인합니다. 동명이인이 있을시에만 확인 전화를 드릴 예정이며, 그렇지 않은경우 정상적으로 접수처리 됩니다.</t>
  </si>
  <si>
    <t>[입금/결제] 입금계좌는 어찌해야하나요</t>
  </si>
  <si>
    <t>신청내역 확인에서 계좌번호 확인 가능하십니다.</t>
  </si>
  <si>
    <t>[기타문의] 신청확인 부탁드립니다.</t>
  </si>
  <si>
    <t>네 고객님, 확인 해보니 미신청자로 파악됩니다.
 추후 1차 신청자 분들 중 미입금 등 누락분이 발생하면 2차 티켓팅을 실시합니다. 진행 순서는 1차 때와 같습니다. 
 혹여나 2차 티켓팅이 진행될 시에는 시간대와 날짜는 추후 공지하도록 하겠습니다.
 감사합니다.</t>
  </si>
  <si>
    <t>[입금/결제] 신청완료 했는데 계좌를 메모 못했어요</t>
  </si>
  <si>
    <t>사이트 내 하단에 '신청내역 확인' 버튼 클릭 후 전화번호 11자리를 입력하세요. 그리고 '조회하기' 버튼을 누르시면 관련 내용을 확인 가능합니다.
 신청정보 조회 시 정확히 '전화번호 11자리'를 기입하셔야 확인 가능하십니다.
 계좌번호는 신청자에 한해서 공개되고 있는 점을 말씀드립니다. 
 감사합니다.</t>
  </si>
  <si>
    <t>[입금/결제] 엄마랑 같이 입금한다는 걸 제 이름으로 했습니다 
 김미교 2676으로 한번만 입금한다는 걸 서민정/김미교2676 중복입금했습니다 한번만 확인부탁드립니다 ㅠㅠ 
 김미교2676이 맞고 서민정은 환불해주시면 감사하겠습니다..</t>
  </si>
  <si>
    <t>[입금/결제] 입금 계좌번호가. 어떻게 되나요?</t>
  </si>
  <si>
    <t>신청내역 확인에서 계좌번호를 확인하실 수 있습니다.</t>
  </si>
  <si>
    <t>[입금/결제] 계좌이체
 홍유식 기재만했습니다
 홍유식 7413으로 수정해주세요</t>
  </si>
  <si>
    <t>전화번호 단순누락은 관리팀에서 확인 후 승인합니다. 동명이인이 있을시에만 확인 전화를 드릴 예정이며, 그렇지 않은경우 정상적으로 접수처리 됩니다.</t>
  </si>
  <si>
    <t>권순영</t>
  </si>
  <si>
    <t>[기타문의] 참가신청 입력하고 7만원 금액 확인하고 정보확인 체크해고 확인 눌렀는데 왜 확인하기에서 제가 신청내역에 없다고 뜨는거죠????ㅜㅜㅜㅜㅜㅜ</t>
  </si>
  <si>
    <t>사이트 내 하단에 '신청내역 확인' 버튼 클릭 후 전화번호 11자리를 입력하세요. 그리고 '조회하기' 버튼을 누르시면 관련 내용을 확인 가능합니다.
 신청정보 조회 시 정확히 '전화번호 11자리'를 기입하셔야 확인 가능하십니다.
 감사합니다.</t>
  </si>
  <si>
    <t>[기타문의] 신청내역 확인부탁드립니다</t>
  </si>
  <si>
    <t>김점순</t>
  </si>
  <si>
    <t>[기타문의] 안녕하세요. 
 김점순 신청되었는지 확인하고싶습니다.
 입금은 아직 안했습니다.</t>
  </si>
  <si>
    <t>신청내역 확인에서 확인 부탁드립니다.</t>
  </si>
  <si>
    <t>서영</t>
  </si>
  <si>
    <t>[기타문의] 취소하면문자주세요.</t>
  </si>
  <si>
    <t>취소 관련 문자를 따로 제공하고 있지 않습니다.
 추후 1차 신청자 분들 중 미입금 등 누락분이 발생하면 2차 티켓팅을 실시합니다. 진행 순서는 1차 때와 같습니다.
 혹여나 2차 티켓팅이 진행될 시에는 시간대와 날짜는 추후 공지하도록 하겠습니다.
 감사합니다.</t>
  </si>
  <si>
    <t>노근아</t>
  </si>
  <si>
    <t>[입금/결제] 안녕하세요!:) 바쁘신데 고생많으십니다. 토크콘서트 2인 신청까지 완료했는데 신청 내역 확인이 조회되지 않습니다. 확인 가능하실 때 오류 확인 부탁드립니다:) 감사합니다.</t>
  </si>
  <si>
    <t>[취소/환불] 오전 9시10분 이용원으로 입금건에대해 환불요청드려요 예금주명을 못바꿔서 잘못입금했습니다.</t>
  </si>
  <si>
    <t>네, 고객님 예금주명 미변경으로 문의주셨습니다. 입금하신 예금주명을 재문의 주시면 확인 후 처리해드리겠습니다.
 감사합니다.</t>
  </si>
  <si>
    <t>지은으</t>
  </si>
  <si>
    <t>[기타문의] 분명히 신청했는데 내역도 안나오고 다시 신청하려고 해도 신청이 안나오고 9시에 연다고 했는데 뜨지도 않고 뭐죠? 확인 부탁드립니다</t>
  </si>
  <si>
    <t>[입금/결제] 안녕하세여
 채경숙(600815) 2인 예약을 했는데 채경숙-2인으로 입금을 했습니다 확인부탁드립니자</t>
  </si>
  <si>
    <t>[기타문의] 신청확인에 내역이 없다고 뜨네요. 분명 신청했는데요</t>
  </si>
  <si>
    <t>손미경</t>
  </si>
  <si>
    <t>[기타문의] 당첨이안됐나요?조점에 1인떴던데</t>
  </si>
  <si>
    <t>[기타문의] 신청되었는데 
 왜 조회가 안되나요?</t>
  </si>
  <si>
    <t>[입금/결제] 입금시 김원모9663 으로
 못하고 김원모로 했어요 취소인가요?</t>
  </si>
  <si>
    <t>단순 누락은 관리팀에서 확인 후 승인합니다. 동명이인이 있을시에만 확인 전화를 드릴 예정이며, 그렇지 않은경우 정상적으로 접수처리 됩니다.</t>
  </si>
  <si>
    <t>[취소/환불] 박민경 대표자 신청취소</t>
  </si>
  <si>
    <t>사이트 내 하단에 '신청내역 확인' 버튼 클릭 후 전화번호 11자리를 입력하세요. 그리고 '조회하기' 버튼을 누르시면 관련 내용을 확인 가능합니다.
 신청정보 조회 시 정확히 '전화번호 11자리'를 기입하셔야 확인 가능하십니다.
 쭉 드래그해서 내리시다 보면 '전체 싲청 취소' 버튼이 있습니다. 그것을 활용하시면 됩니다.
 감사합니다.</t>
  </si>
  <si>
    <t>[입금/결제] 입금을 장신영 이름으로 보냈습니다.
 장신영7244 로 보내지 않았는데 취소하고 다시 입금 가능한가요? 아니면 입금확인이 될까요</t>
  </si>
  <si>
    <t>[기타문의] 신청했는데
 신청내역에 뜨지않습니다
 01065742562
 이숙자</t>
  </si>
  <si>
    <t>신청 여부는 사이트 내 하단에 '확인' 버튼 클릭 후 전화번호 11자리를 입력하세요. 그리고 '조회하기' 버튼을 누르시면 관련 내용을 확인 가능합니다.
 신청 정보 조회 시 정확히 '전화번호 11자리'를 기입하셔야 확인 가능하십니다.</t>
  </si>
  <si>
    <t>김은영</t>
  </si>
  <si>
    <t>[기타문의] 신청되었는데 내역이 없다고 나옵니다?</t>
  </si>
  <si>
    <t>모바일 기준, 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</si>
  <si>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권기정</t>
  </si>
  <si>
    <t>[기타문의] 예매할려고하시는분이 어르신이여서 대신예매후 선물로 드릴려고 하는데 방법이있을까요??</t>
  </si>
  <si>
    <t>선물은 개인 전달이 불가합니다. 선물은 입장 시 행사 진행 요원에게 전달해 주시기 바랍니다. 추후 취합하여 전달해 드리겠습니다.
 감사합니다.</t>
  </si>
  <si>
    <t>[입금/결제] 너무급해서 추민지8663이 아니라
 추민지로 입금했어요ㅠㅠ
 2025.12.07 09:06:54 
 농협302-0355-5240-11으로 입금했습니다</t>
  </si>
  <si>
    <t>단순 누락은 관리팀에서 확인후 승인합니다. 동명이인이 있을시에만 확인 전화를 드릴 예정이며, 그렇지 않은 경우 정상적으로 접수처리됩니다.</t>
  </si>
  <si>
    <t>[입금/결제] 접수됬나여 티켓팅하고</t>
  </si>
  <si>
    <t>[입금/결제] 2명이같이 가려고하는데요.
 어떻게 해요</t>
  </si>
  <si>
    <t>신청하실때 동반자 등록을 하셨나요? 등록 하셔야 동반 참석이 가능 하십니다.</t>
  </si>
  <si>
    <t>[기타문의] 신청이완료되었습니다 판업창을봤는데 신청내역에 없어요</t>
  </si>
  <si>
    <t>사이트 내 하단을 보시면 '확인'칸이 있습니다. 그것을 클릭 후 신청인 '전화번호' 11자리를 입력해주세요. 그러면 신청내역 확인이 가능합니다.</t>
  </si>
  <si>
    <t>방수정</t>
  </si>
  <si>
    <t>[기타문의] 안녕하세요
 신청이 안되고 계속 오류메세지만 나오는데 신청을 어떻게 해야할까요....;;</t>
  </si>
  <si>
    <t>아쉽지만 1차 모집이 완료되었습니다</t>
  </si>
  <si>
    <t>[기타문의] 사이트 엉망 운영 없애라</t>
  </si>
  <si>
    <t>불편을 끼쳐드려 진심으로 사과의 말씀을 전합니다</t>
  </si>
  <si>
    <t>정아네스</t>
  </si>
  <si>
    <t>[입금/결제] 계좌번호 가 안떠요</t>
  </si>
  <si>
    <t>아쉽지만 1차 모집이 완료되었으며, 참가자 리스트에 없습니다. 완료 직전에 마감된 것으로 확인됩니다.</t>
  </si>
  <si>
    <t>조동현</t>
  </si>
  <si>
    <t>[기타문의] 지금 신청마감된게 맞다면
 취소표 대기 할 수 있나요?
 김선애 010-2425-5574</t>
  </si>
  <si>
    <t>추후 2차 모집이 있을경우 별도 공지합니다</t>
  </si>
  <si>
    <t>조광근</t>
  </si>
  <si>
    <t>[입금/결제] 안녕하세요. 마감 전 신청을 완료했는데 입금 폼이나 확인에 안들오가지네요. 신청인 되었는지 안되었는지 확인해주실수 있을까요?</t>
  </si>
  <si>
    <t>한재균</t>
  </si>
  <si>
    <t>[기타문의] 현재 안열리는거죠?</t>
  </si>
  <si>
    <t>네 1차 모집이 종료되었습니다</t>
  </si>
  <si>
    <t>김철수</t>
  </si>
  <si>
    <t>[입금/결제] 입금계좌 알려주세요</t>
  </si>
  <si>
    <t>[기타문의] 안녕하세요
 해외거주자입니다.
 남편과 가려고 하는데요
 저는 한국휴대폰 번호가 있지만 남편은 없습니다.
 번호 당 1개의 입장 QR코드만 발급되오니 2매 예매시 각각의 개인정보가 필요합니다.
 개인정보에 난편 한국 전화번호가 없는데
 제 번호로 적어도 될까요?
 일단 티켓팅 해 보겠습니다!!</t>
  </si>
  <si>
    <t>답변이 늦어 죄송합니다. 
 전화번호 기입의 목적은 QR코드 발행으로 신원 확인 용도입니다. 웬만하면 한국 전화번호 기입을 권해드렸습니다.
 감사합니다.</t>
  </si>
  <si>
    <t>[입금/결제] 입금 시 신청자 계좌가 아닌 타인 계좌에서 송금하되 입금자명만 신청자명으로 표기하면 될까요?</t>
  </si>
  <si>
    <t>네. 입금자명과 신청자명만 동일하면 됩니다.</t>
  </si>
  <si>
    <t>[취소/환불] 만약 2인중 1명이 신청 취소를 원한다면 그것도 가능한가요?</t>
  </si>
  <si>
    <t>2인 신청 해주신 분들은 1인으로 변경을 불가한 점 안내 드립니다.
 감사합니다.</t>
  </si>
  <si>
    <t>박병수</t>
  </si>
  <si>
    <t>[입금/결제] 신청을 어디에서 하는지요.</t>
  </si>
  <si>
    <t>9시 정각에 오픈합니다</t>
  </si>
  <si>
    <t>[기타문의] 미리 신청한사람만 티켓팅할수있나요?</t>
  </si>
  <si>
    <t>금일 오전 9시 정각에 오픈 예정입니다.</t>
  </si>
  <si>
    <t>[기타문의] 어제 급한마음에 미리 신청했는데
 지금도 하단의 확인하기를 클릭하면 신청을 이미 한것으로 나옵니다
 어찌되는건지? 내일아침 다시 신청해야할까요? 아님 이미 신청이 되어있어 입금만 하면 되는건지요? 아직 환불도 이뤄지지않은 상황입니다 환불은 사실 안받아도 상관없지만 예매가 안될까봐 너무 걱정됩니다
 빠른 답변 부탁드려요ㅠ</t>
  </si>
  <si>
    <t>네 통화로 설명드렸습니다.</t>
  </si>
  <si>
    <t>정순환</t>
  </si>
  <si>
    <t>[취소/환불] 부모님 대신 입금했는데, 환불 해주신다하여 이메일 보냈는데 답이 없으셔서 문의 남깁니다. 
 이메일 권시내로 보내었습니다.
 토스뱅크 1000-3242-9431 정순환1331로 보냈습니다. 환불 부탁드립니다.</t>
  </si>
  <si>
    <t>네 금일중 처리해드릴 예정입니다.</t>
  </si>
  <si>
    <t>송성녀</t>
  </si>
  <si>
    <t>[취소/환불] 송성녀0455
 환불계좌
 413-12-138957 농협은행 박미소 입니다
 감사합니다</t>
  </si>
  <si>
    <t>네 통화로 설명드렸습니다</t>
  </si>
  <si>
    <t>[기타문의] 어제 ‘신청하기’ 탭이 활성화 되어있어서 신청을 했는데, 지금 확인해보니 입금대기라고 신청은 되어있는 상태라고 뜹니다.
 그럼 내일 9시에 다시 신청을 하면 중복으로 처리될까요?
 내일 다시 새로 신청을 해야하는지, 신청완료니 입금만 하면 되는지 문의드립니다ㅠㅠ</t>
  </si>
  <si>
    <t>네 오늘 초기화 예정입니다. 걱정하지 않으셔도 됩니다. 신청은 내일 정식오픈때 다시 진행해주세요.
 오늘 환불처리될 예정이며 내일 정식오픈에 신청하신 후 다시 입금 하셔야 합니다</t>
  </si>
  <si>
    <t>[기타문의] 신청해놓은 내역이 계속 있는 것으로 확인되는데 이건 그대로 둬도 괜찮은건가요?</t>
  </si>
  <si>
    <t>네 오늘 초기화 예정입니다. 걱정하지 않으셔도 됩니다</t>
  </si>
  <si>
    <t>[취소/환불] 신청취소해주세요~~</t>
  </si>
  <si>
    <t>네 오늘 초기화 예정입니다.</t>
  </si>
  <si>
    <t>[정보변경] 어제 신청했더니 신청확인이 지금도 되는데 어떻게 해야 되는지 혼란스럽습니다
 내일 9시에 완전히 새로 다시 해야되는지 아니면 어제 신청확인이 됐으니 그대로 해야 하는지 모르겠어요 이러다 기회 놓칠까봐 걱정됩니다</t>
  </si>
  <si>
    <t>네 오늘 초기화 예정입니다. 걱정하지 않으셔도 됩니다. 신청은 내일 정식오픈때 다시 진행해주세요</t>
  </si>
  <si>
    <t>[입금/결제] 지금 접수신청으로 새계좌올라오면 그계좌로 입금하면되나요?</t>
  </si>
  <si>
    <t>네 내일 오픈 후에 계좌 공개됩니다</t>
  </si>
  <si>
    <t>강현순</t>
  </si>
  <si>
    <t>[기타문의] 신청결제까지 다 되어 버렸는데요. 환불도 중요하지만 정보초기화도 되어야 ... 꼭 확인 해 주세요.
 정보가 남아 있으면 신청되었다고 예매를 할 수가 없게 되니까요 ㅠ</t>
  </si>
  <si>
    <t>[기타문의] 제가 오늘 모르고 미리 신청만 했는데 방금 확인을 해 보니, 지금까지 신청이 되어있는 상태로 나왔습니다. 
 오늘 미리 신청을 한 사람들은 시스템에서 일괄 취소를 해야 형평성에 맞지 않나 싶습니다.
 입금한 사람은 환불하고 신청취소하고
 신청만 한 사람도 신청취소가 되어야
 7일 9시에 모두 형평성에 맞게 동일한 조건으로 시작할 수 있지 않을까요?
 이 부분 명확하게 다시 한번 공지와 진행 부탁 드립니다. 
 감사합니다.</t>
  </si>
  <si>
    <t>[취소/환불] 모르고 신청해 버려서 취소 부탁드립니다</t>
  </si>
  <si>
    <t>네 오늘 초기화됩니다. 내일 정식오픈때 다시 신청해주세요</t>
  </si>
  <si>
    <t>전경희</t>
  </si>
  <si>
    <t>[취소/환불] 오늘 신청한 내역 삭제부탁드려요</t>
  </si>
  <si>
    <t>김효원</t>
  </si>
  <si>
    <t>[취소/환불] 안녕하세요. 사이트 열렸다고 해서 신청하고 입금했는데 아직 신청기간 아니라네요. 예매사이트 주소만 공유하는 경우도 있어서 사이트내에 신청기간 안내팝업이 있으면 좋겠다고 적으려던차 공지 추가되었네요. 
 아래 내역 확인 후 환불 부탁드립니다.
 번거롭게 해드려 죄송합니다 ^^;;
 입금일시 : 12/05 14:33:26 
 입금금액 : 35,000원
 입 금 자 : 김효원 7314
 환불받을 계좌
 110152120985 신한 김효원</t>
  </si>
  <si>
    <t>네 오늘 초기화 예정입니다. 걱정하지 않으셔도 됩니다. 신청은 내일 정식오픈때 다시 진행해주세요. 환불도 처리해드리겠습니다</t>
  </si>
  <si>
    <t>[기타문의] 지금 신청내역으로 7일
 새계좌가 나오면 그곳으로 입금
 해도 되는지요?</t>
  </si>
  <si>
    <t>네 맞습니다</t>
  </si>
  <si>
    <t>[입금/결제] 안녕하세요 
 송성녀0455로 입금했습니다, 마음이 급해서 먼저 신청하고 입금까지했는데요, 어떻게 취소를 해야하나요?? 제딸이 저 대신 신청하고 입금한거라</t>
  </si>
  <si>
    <t>네 저희가 취소 후 환불처리해드리겠습니다. 입금받으실 계좌번호 부탁드려요. 내일 정식 오픈때 다시 신청해주세요</t>
  </si>
  <si>
    <t>[취소/환불] 정우석 6282로 입금했는데요 입금하고 확인해보니 7일부터 오픈이더라구요 ㅠ 일단 환불 신청 해야될까요..? 참고로 제 계좌는 카카오뱅크 3333109239361 입니다</t>
  </si>
  <si>
    <t>네 오늘 취소와 환불 동시에 처리해드릴 예정입니다. 내일 정식오픈 때 다시 신청해주세요</t>
  </si>
  <si>
    <t>오순자</t>
  </si>
  <si>
    <t>[기타문의] 오순자로 2인 7만원 입금 했습니다
 근데 오순자7157을 안쓰고 오순자로 입금 했습니다</t>
  </si>
  <si>
    <t>네 오늘 취소화 환불 예정입니다. 내일 정싣오픈에 다시 신청 부탁드려요</t>
  </si>
  <si>
    <t>이상욱</t>
  </si>
  <si>
    <t>[취소/환불] 처음 공지 후 신청하기 버튼이 오픈되어있을때 신청하기가 되길래 신청했고, 잘못 오픈된거라 생각되서 입금은 안했어요. 그런데 계속 신청내역에는 조회가 되고있어요. 신청내역 삭제 부탁드립니다. 
 이것으로인해 실제 오픈일에 불이익이 없었으면 해요.
 번거롭게해드려 죄송합니다</t>
  </si>
  <si>
    <t>정혜은</t>
  </si>
  <si>
    <t>[기타문의] 아까 신청이 가능해서 입금까지 했는데...취소처리 되는건가요? 7일에 다시하면 되는건가요?</t>
  </si>
  <si>
    <t>안녕하세요. 안타깝게도 정혜은님은 예매자명단에 없으십니다.
 감사합니다.</t>
  </si>
  <si>
    <t>홍영분</t>
  </si>
  <si>
    <t>[기타문의] 안녕하세요
 신청창이 열려 신청을 했고
 계좌번호가 떠서 입금도 했습니다
 입금 확인 부탁드립니다
 감사합니다</t>
  </si>
  <si>
    <t>네 오늘 초기화 예정입니다. 걱정하지 않으셔도 됩니다. 신청은 내일 정식오픈때 다시 진행해주세요
 금일 환불처리예정입니다.
 환불 받으실 계죄번호 부탁드려요.
 내일 정식오픈에 다시 신청하시고 입금도 다시 진행 부탁드려요</t>
  </si>
  <si>
    <t>송현주</t>
  </si>
  <si>
    <t>[기타문의] 신청하고 벌써 입금했는데 어떻게해야 하나요</t>
  </si>
  <si>
    <t>오늘 환불 예정입니다. 받으실 계좌번호 부탁드려요.
 내일 정식오픈에 재신청후 재입금 부탁드리겠습니다. 불편을 드려 죄송합니다</t>
  </si>
  <si>
    <t>[입금/결제] 마음이 급해서 신청과 계좌입금까지 다했는데 잘못한건가요?ㅜㅜ</t>
  </si>
  <si>
    <t>네 오늘 초기화 예정입니다. 걱정하지 않으셔도 됩니다. 신청은 내일 정식오픈 때 다시 진행해주세요
 환불 받으실 계좌번호 부탁드려요!
 내일 신청 후 다시 입금 하셔야 합니다.</t>
  </si>
  <si>
    <t>김보람</t>
  </si>
  <si>
    <t>[취소/환불] 7일인데 예매시작한줄 알고 입금했어요 환불부탁드립니다^^ 입금면 김보람0060</t>
  </si>
  <si>
    <t>환불 받으실 계좌번호 부탁드립니다.
 내일 정식오픈에 재신청 후 재입금 부탁드려요</t>
  </si>
  <si>
    <t>[취소/환불] 한번 어떤 식으로 진행하는지 궁금해서 해봤는데... 신청이 됏어요,,</t>
  </si>
  <si>
    <t>정혜원</t>
  </si>
  <si>
    <t>[입금/결제] 저 지금하는 줄 알고 미리 입력하고 입금했어요 어쩌죠?</t>
  </si>
  <si>
    <t>먼저 환불처리 될 예정입니다. 받으실 계좌번호 부탁드려요. 
 내일 정식오픈 때 재신청 후 재입금 부탁드려요.</t>
  </si>
  <si>
    <t>우혜미</t>
  </si>
  <si>
    <t>[입금/결제] 시작일자못보고 입금해버렸는데 어쩌죠..?</t>
  </si>
  <si>
    <t>네 오늘 초기화 예정입니다. 걱정하지 않으셔도 됩니다. 신청은 내일 정식오픈 때 다시 진행해주세요.
 환불 받으실 계좌번호 부탁 드립니다. 
 내일 재신청 후 재입금하셔야 합니다!</t>
  </si>
  <si>
    <t>이도현</t>
  </si>
  <si>
    <t>[입금/결제] 지금 신청이 돼버렸는데 이건 인정 안되는거죠..?</t>
  </si>
  <si>
    <t>네 오늘 초기화 예정입니다. 걱정하지 않으셔도 됩니다. 신청은 내일 정식오픈 때 다시 진행해주세요.</t>
  </si>
  <si>
    <t>김희진</t>
  </si>
  <si>
    <t>[취소/환불] 한번은 이름으로 송금했고 한번은 이름뒤에 전번써서보냈는데 어케해야하나요</t>
  </si>
  <si>
    <t>네 오늘 초기화 예정입니다. 걱정하지 않으셔도 됩니다. 신청은 내일 정식오픈때 다시 진행해주세요.
 오늘 전체 환불 예정입니다. 환불 받으실 계좌번호 부탁드려요.
 내일 정식오픈 때 재신청하시고 입금도 다시 진행하셔야 합니다</t>
  </si>
  <si>
    <t>[입금/결제] 정혜은으로 입금했어요.
 정혜은(3225) 입니다.
 확인부탁드립니다.</t>
  </si>
  <si>
    <t>안녕하세요. 번거로우시더라도 문의하기를 통해 환불내역을 적어 다시 접수해주시기 바랍니다.
 감사합니다.</t>
  </si>
  <si>
    <t>상태</t>
  </si>
  <si>
    <t>취소일시</t>
  </si>
  <si>
    <t>취소사유</t>
  </si>
  <si>
    <t>환불상태</t>
  </si>
  <si>
    <t>환불금액</t>
  </si>
  <si>
    <t>삭제됨</t>
  </si>
  <si>
    <t>2025. 12. 08. 23:16:02</t>
  </si>
  <si>
    <t>010-7597-3388</t>
  </si>
  <si>
    <t>2025. 12. 07. 21:17:26</t>
  </si>
  <si>
    <t>본인 취소 요청</t>
  </si>
  <si>
    <t>2025. 12. 07. 21:02:46</t>
  </si>
  <si>
    <t>2025. 12. 07. 20:42:22</t>
  </si>
  <si>
    <t>2025. 12. 07. 20:33:43</t>
  </si>
  <si>
    <t>2025. 12. 08. 19:40:58</t>
  </si>
  <si>
    <t>2025. 12. 07. 21:05:05</t>
  </si>
  <si>
    <t>010-4023-4943</t>
  </si>
  <si>
    <t>2025. 12. 07. 20:53:07</t>
  </si>
  <si>
    <t>010-2365-0480</t>
  </si>
  <si>
    <t>2025. 12. 07. 21:39:35</t>
  </si>
  <si>
    <t>pending</t>
  </si>
  <si>
    <t>70,000원</t>
  </si>
  <si>
    <t>010-3745-9494</t>
  </si>
  <si>
    <t>취소됨</t>
  </si>
  <si>
    <t>2025. 12. 08. 09:22:25</t>
  </si>
  <si>
    <t>2025. 12. 08. 13:29:31</t>
  </si>
  <si>
    <t>35,000원</t>
  </si>
  <si>
    <t>남궁영희</t>
  </si>
  <si>
    <t>010-3710-5782</t>
  </si>
  <si>
    <t>2025. 12. 07. 21:10:46</t>
  </si>
  <si>
    <t>2025. 12. 07. 22:03:18</t>
  </si>
  <si>
    <t>이권옥</t>
  </si>
  <si>
    <t>010-7637-6330</t>
  </si>
  <si>
    <t>2025. 12. 08. 12:35:57</t>
  </si>
  <si>
    <t>010-6249-7030</t>
  </si>
  <si>
    <t>2025. 12. 09. 01:40:36</t>
  </si>
  <si>
    <t>010-6687-7393</t>
  </si>
  <si>
    <t>010-6204-7393</t>
  </si>
  <si>
    <t>2025. 12. 07. 20:17:38</t>
  </si>
  <si>
    <t>140,000원</t>
  </si>
  <si>
    <t>서진수</t>
  </si>
  <si>
    <t>2025. 12. 08. 08:18:17</t>
  </si>
  <si>
    <t>2025. 12. 08. 23:14:27</t>
  </si>
  <si>
    <t>010-8785-8192</t>
  </si>
  <si>
    <t>2025. 12. 07. 20:50:18</t>
  </si>
  <si>
    <t>2025. 12. 07. 20:59:04</t>
  </si>
  <si>
    <t>010-6266-6306</t>
  </si>
  <si>
    <t>2025. 12. 07. 20:02:06</t>
  </si>
  <si>
    <t>김정우</t>
  </si>
  <si>
    <t>010-3004-7510</t>
  </si>
  <si>
    <t>2025. 12. 08. 12:40:45</t>
  </si>
  <si>
    <t>010-9915-0255</t>
  </si>
  <si>
    <t>조현곤</t>
  </si>
  <si>
    <t>010-8352-9344</t>
  </si>
  <si>
    <t>2025. 12. 07. 19:51:27</t>
  </si>
  <si>
    <t>KB국민은행</t>
  </si>
  <si>
    <t>최윤지니엘</t>
  </si>
  <si>
    <t>최승필</t>
  </si>
  <si>
    <t>010-3067-5967</t>
  </si>
  <si>
    <t>2025. 12. 08. 13:08:20</t>
  </si>
  <si>
    <t>010-9392-8430</t>
  </si>
  <si>
    <t>2025. 12. 08. 15:07:49</t>
  </si>
  <si>
    <t>010-4194-1645</t>
  </si>
  <si>
    <t>2025. 12. 07. 22:15:14</t>
  </si>
  <si>
    <t>2025. 12. 08. 09:30:05</t>
  </si>
  <si>
    <t>조문경</t>
  </si>
  <si>
    <t>010-8961-2671</t>
  </si>
  <si>
    <t>2025. 12. 08. 15:17:09</t>
  </si>
  <si>
    <t>2025. 12. 07. 21:27:40</t>
  </si>
  <si>
    <t>010-2205-9494</t>
  </si>
  <si>
    <t>2025. 12. 08. 09:23:14</t>
  </si>
  <si>
    <t>김기제르모</t>
  </si>
  <si>
    <t>010-3339-1417</t>
  </si>
  <si>
    <t>2025. 12. 08. 06:40:24</t>
  </si>
  <si>
    <t>2025. 12. 08. 18:56:02</t>
  </si>
  <si>
    <t>김동현</t>
  </si>
  <si>
    <t>010-3130-2954</t>
  </si>
  <si>
    <t>2025. 12. 07. 23:14:01</t>
  </si>
  <si>
    <t>2025. 12. 08. 15:03:25</t>
  </si>
  <si>
    <t>010-3888-4234</t>
  </si>
  <si>
    <t>2025. 12. 07. 20:17:43</t>
  </si>
  <si>
    <t>차성애</t>
  </si>
  <si>
    <t>010-3994-2464</t>
  </si>
  <si>
    <t>2025. 12. 07. 21:04:50</t>
  </si>
  <si>
    <t>010-8906-8371</t>
  </si>
  <si>
    <t>고세준</t>
  </si>
  <si>
    <t>010-7188-3304</t>
  </si>
  <si>
    <t>2025. 12. 08. 15:36:00</t>
  </si>
  <si>
    <t>김성미</t>
  </si>
  <si>
    <t>010-7430-4447</t>
  </si>
  <si>
    <t>2025. 12. 08. 17:58:48</t>
  </si>
  <si>
    <t>010-6397-6446</t>
  </si>
  <si>
    <t>2025. 12. 08. 17:23:54</t>
  </si>
  <si>
    <t>010-2435-5758</t>
  </si>
  <si>
    <t>2025. 12. 07. 21:06:47</t>
  </si>
  <si>
    <t>010-9919-8597</t>
  </si>
  <si>
    <t>2025. 12. 08. 14:27:14</t>
  </si>
  <si>
    <t>010-2021-5893</t>
  </si>
  <si>
    <t>2025. 12. 08. 17:30:48</t>
  </si>
  <si>
    <t>2025. 12. 07. 23:06:57</t>
  </si>
  <si>
    <t>010-7979-9896</t>
  </si>
  <si>
    <t>2025. 12. 08. 10:34:16</t>
  </si>
  <si>
    <t>장은지</t>
  </si>
  <si>
    <t>010-2386-6551</t>
  </si>
  <si>
    <t>2025. 12. 07. 22:25:41</t>
  </si>
  <si>
    <t>최행자</t>
  </si>
  <si>
    <t>010-9609-0123</t>
  </si>
  <si>
    <t>2025. 12. 07. 22:03:03</t>
  </si>
  <si>
    <t>010-4789-8691</t>
  </si>
  <si>
    <t>2025. 12. 07. 22:12:28</t>
  </si>
  <si>
    <t>010-6357-8383</t>
  </si>
  <si>
    <t>2025. 12. 07. 21:46:10</t>
  </si>
  <si>
    <t>010-4183-2502</t>
  </si>
  <si>
    <t>안동민</t>
  </si>
  <si>
    <t>010-7192-4541</t>
  </si>
  <si>
    <t>2025. 12. 07. 21:13:13</t>
  </si>
  <si>
    <t>이경래</t>
  </si>
  <si>
    <t>010-5286-2950</t>
  </si>
  <si>
    <t>2025. 12. 08. 12:12:09</t>
  </si>
  <si>
    <t>010-3752-6464</t>
  </si>
  <si>
    <t>2025. 12. 07. 21:01:00</t>
  </si>
  <si>
    <t>010-8939-6492</t>
  </si>
  <si>
    <t>2025. 12. 08. 16:20:51</t>
  </si>
  <si>
    <t>주영선(김인숙 아들)</t>
  </si>
  <si>
    <t>2025. 12. 07. 21:23:04</t>
  </si>
  <si>
    <t>010-3526-0942</t>
  </si>
  <si>
    <t>2025. 12. 08. 01:45:39</t>
  </si>
  <si>
    <t>정재은</t>
  </si>
  <si>
    <t>010-3294-2744</t>
  </si>
  <si>
    <t>2025. 12. 08. 11:53:20</t>
  </si>
  <si>
    <t>010-3853-4478</t>
  </si>
  <si>
    <t>정동혁</t>
  </si>
  <si>
    <t>010-7636-4479</t>
  </si>
  <si>
    <t>2025. 12. 07. 20:35:13</t>
  </si>
  <si>
    <t>오현희</t>
  </si>
  <si>
    <t>010-3087-3509</t>
  </si>
  <si>
    <t>2025. 12. 08. 14:26:23</t>
  </si>
  <si>
    <t>2025. 12. 09. 01:07:15</t>
  </si>
  <si>
    <t>010-4402-7173</t>
  </si>
  <si>
    <t>2025. 12. 07. 20:46:30</t>
  </si>
  <si>
    <t>2025. 12. 07. 21:52:15</t>
  </si>
  <si>
    <t>임의연</t>
  </si>
  <si>
    <t>구분</t>
  </si>
  <si>
    <t>거래 후 잔액</t>
  </si>
  <si>
    <t>2025.12.7 16:32</t>
  </si>
  <si>
    <t>이미 이체완료 확인</t>
  </si>
  <si>
    <t>연번</t>
  </si>
  <si>
    <t>이름(식별번호)</t>
  </si>
  <si>
    <t>은행</t>
  </si>
  <si>
    <t>계좌번호</t>
  </si>
  <si>
    <t>환불완료여부</t>
  </si>
  <si>
    <t>민진영</t>
  </si>
  <si>
    <t>010-3387-1360</t>
  </si>
  <si>
    <t>민진영1360</t>
  </si>
  <si>
    <t>국민</t>
  </si>
  <si>
    <t>603702-0400-1677</t>
  </si>
  <si>
    <t>완료</t>
  </si>
  <si>
    <t>010-5051-0060</t>
  </si>
  <si>
    <t>김보람0060</t>
  </si>
  <si>
    <t>671-0020-405-0135</t>
  </si>
  <si>
    <t>010-6243-3573</t>
  </si>
  <si>
    <t>강현순3573</t>
  </si>
  <si>
    <t>575701-01-156681</t>
  </si>
  <si>
    <t>고수경</t>
  </si>
  <si>
    <t>010-7101-4906</t>
  </si>
  <si>
    <t>고수경4906</t>
  </si>
  <si>
    <t>763801-00-212611</t>
  </si>
  <si>
    <t>강은숙</t>
  </si>
  <si>
    <t>010-8999-2920</t>
  </si>
  <si>
    <t>815-24-0022-382</t>
  </si>
  <si>
    <t>010-9776-7352</t>
  </si>
  <si>
    <t>024802-04-254162</t>
  </si>
  <si>
    <t>손시연</t>
  </si>
  <si>
    <t>010-9950-5851</t>
  </si>
  <si>
    <t>기업</t>
  </si>
  <si>
    <t>010-6383-0455</t>
  </si>
  <si>
    <t>송성녀0455</t>
  </si>
  <si>
    <t>413-12-138957</t>
  </si>
  <si>
    <t>박미소(딸)</t>
  </si>
  <si>
    <t>채혜원</t>
  </si>
  <si>
    <t>010-7730-0061</t>
  </si>
  <si>
    <t>채혜원0061</t>
  </si>
  <si>
    <t>356-0923-0153-23</t>
  </si>
  <si>
    <t>302-8845-190031</t>
  </si>
  <si>
    <t>최영성</t>
  </si>
  <si>
    <t>010-9300-3219</t>
  </si>
  <si>
    <t>최영성3219</t>
  </si>
  <si>
    <t>새마을금고</t>
  </si>
  <si>
    <t>0906-1000-78422</t>
  </si>
  <si>
    <t>010-2305-7314</t>
  </si>
  <si>
    <t>김효원7314</t>
  </si>
  <si>
    <t>송희정</t>
  </si>
  <si>
    <t>010-5314-9881</t>
  </si>
  <si>
    <t>110-313-937151</t>
  </si>
  <si>
    <t>010-8860-3225</t>
  </si>
  <si>
    <t>110-026-894154</t>
  </si>
  <si>
    <t>강영숙2076</t>
  </si>
  <si>
    <t>우리</t>
  </si>
  <si>
    <t>1002-553-403224</t>
  </si>
  <si>
    <t>김혜윤</t>
  </si>
  <si>
    <t>010-2440-1842</t>
  </si>
  <si>
    <t>김혜윤1842</t>
  </si>
  <si>
    <t>553-193891-02-001</t>
  </si>
  <si>
    <t>박미옥8185</t>
  </si>
  <si>
    <t>1005-703-214688</t>
  </si>
  <si>
    <t>010-8910-2492</t>
  </si>
  <si>
    <t>정혜원2492</t>
  </si>
  <si>
    <t>1002-032-031899</t>
  </si>
  <si>
    <t>남궁미6185</t>
  </si>
  <si>
    <t>335-093033-02-001</t>
  </si>
  <si>
    <t>카카오</t>
  </si>
  <si>
    <t>3333-0239-20617</t>
  </si>
  <si>
    <t>김규태</t>
  </si>
  <si>
    <t>010-5646-5412</t>
  </si>
  <si>
    <t>3333-0136-26806</t>
  </si>
  <si>
    <t>010-5765-6282</t>
  </si>
  <si>
    <t>정우석6282</t>
  </si>
  <si>
    <t>3333-1092-39361</t>
  </si>
  <si>
    <t>010-8741-4565</t>
  </si>
  <si>
    <t>송현주4565</t>
  </si>
  <si>
    <t>3333-18-6211836</t>
  </si>
  <si>
    <t>010-9611-5761</t>
  </si>
  <si>
    <t>우혜미5761</t>
  </si>
  <si>
    <t>3333-21-0120111</t>
  </si>
  <si>
    <t>010-9774-1331</t>
  </si>
  <si>
    <t>정순환1331</t>
  </si>
  <si>
    <t>토스</t>
  </si>
  <si>
    <t>1000-3242-9431</t>
  </si>
  <si>
    <t>권시내(딸)</t>
  </si>
  <si>
    <t>현혜영</t>
  </si>
  <si>
    <t>010-2832-5650</t>
  </si>
  <si>
    <t>1000-2676-3115</t>
  </si>
  <si>
    <t>010-6495-9319</t>
  </si>
  <si>
    <t>1000-4781-3191</t>
  </si>
  <si>
    <t>김희진9319</t>
  </si>
  <si>
    <t>안희성</t>
  </si>
  <si>
    <t>010-3319-6397</t>
  </si>
  <si>
    <t>안희성6397</t>
  </si>
  <si>
    <t>974-066358-01-011</t>
  </si>
  <si>
    <t>송진규</t>
  </si>
  <si>
    <t>010-3370-2390</t>
  </si>
  <si>
    <t>송진규2390</t>
  </si>
  <si>
    <t>하나</t>
  </si>
  <si>
    <t>150-891479-16907</t>
  </si>
  <si>
    <t>010-4899-7157</t>
  </si>
  <si>
    <t>110-467-153177</t>
  </si>
  <si>
    <t>010-7111-6102</t>
  </si>
  <si>
    <t>홍영분6102</t>
  </si>
  <si>
    <t>207076-52-105954</t>
  </si>
  <si>
    <t>장지원</t>
  </si>
  <si>
    <t>010-5518-7951</t>
  </si>
  <si>
    <t>100098-52-149269</t>
  </si>
  <si>
    <t>010-7662-5506</t>
  </si>
  <si>
    <t>박규순5506</t>
  </si>
  <si>
    <t>1002 732 823895</t>
  </si>
  <si>
    <t>010-8540-7372</t>
  </si>
  <si>
    <t>정은실7372</t>
  </si>
  <si>
    <t>엄나라</t>
  </si>
  <si>
    <t>이시연</t>
  </si>
  <si>
    <t>이시연7455</t>
  </si>
  <si>
    <t>이재이</t>
  </si>
  <si>
    <t>이재이0214</t>
  </si>
  <si>
    <t>312 0174 7961 21</t>
  </si>
  <si>
    <t>조미정0071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</si>
</sst>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9">
    <font>
      <sz val="10.0"/>
      <color rgb="FF000000"/>
      <name val="Arial"/>
      <scheme val="minor"/>
    </font>
    <font>
      <color theme="1"/>
      <name val="Arial"/>
      <scheme val="minor"/>
    </font>
    <font>
      <sz val="10.0"/>
      <color rgb="FF000000"/>
      <name val="&quot;맑은 고딕&quot;"/>
    </font>
    <font>
      <color theme="1"/>
      <name val="Arial"/>
    </font>
    <font>
      <sz val="9.0"/>
      <color rgb="FF000000"/>
      <name val="굴림체"/>
    </font>
    <font>
      <b/>
      <sz val="9.0"/>
      <color rgb="FF000000"/>
      <name val="굴림체"/>
    </font>
    <font>
      <sz val="9.0"/>
      <color theme="1"/>
      <name val="Arial"/>
    </font>
    <font>
      <b/>
      <sz val="10.0"/>
      <color rgb="FF000000"/>
      <name val="굴림체"/>
    </font>
    <font>
      <sz val="10.0"/>
      <color theme="1"/>
      <name val="Arial"/>
    </font>
    <font>
      <sz val="10.0"/>
      <color rgb="FF000000"/>
      <name val="굴림체"/>
    </font>
    <font>
      <sz val="10.0"/>
      <color theme="1"/>
      <name val="Helvetica Neue"/>
    </font>
    <font>
      <sz val="10.0"/>
      <color rgb="FF1F1F1F"/>
      <name val="&quot;Google Sans Text&quot;"/>
    </font>
    <font>
      <b/>
      <color rgb="FF000000"/>
      <name val="Apple SD Gothic Neo"/>
    </font>
    <font>
      <b/>
      <color rgb="FF000000"/>
      <name val="Helvetica Neue"/>
    </font>
    <font>
      <color rgb="FF000000"/>
      <name val="Apple SD Gothic Neo"/>
    </font>
    <font>
      <color rgb="FF000000"/>
      <name val="Helvetica Neue"/>
    </font>
    <font>
      <color rgb="FF000000"/>
      <name val="Arial"/>
    </font>
    <font>
      <color rgb="FFFFFFFF"/>
      <name val="&quot;맑은 고딕&quot;"/>
    </font>
    <font>
      <sz val="11.0"/>
      <color rgb="FF000000"/>
      <name val="&quot;맑은 고딕&quot;"/>
    </font>
  </fonts>
  <fills count="9">
    <fill>
      <patternFill patternType="none"/>
    </fill>
    <fill>
      <patternFill patternType="lightGray"/>
    </fill>
    <fill>
      <patternFill patternType="solid">
        <fgColor rgb="FFFFF2CC"/>
        <bgColor rgb="FFFFF2CC"/>
      </patternFill>
    </fill>
    <fill>
      <patternFill patternType="solid">
        <fgColor rgb="FFC8DFF9"/>
        <bgColor rgb="FFC8DFF9"/>
      </patternFill>
    </fill>
    <fill>
      <patternFill patternType="solid">
        <fgColor rgb="FFF4CCCC"/>
        <bgColor rgb="FFF4CCCC"/>
      </patternFill>
    </fill>
    <fill>
      <patternFill patternType="solid">
        <fgColor rgb="FFD9D9D9"/>
        <bgColor rgb="FFD9D9D9"/>
      </patternFill>
    </fill>
    <fill>
      <patternFill patternType="solid">
        <fgColor rgb="FFB0B3B2"/>
        <bgColor rgb="FFB0B3B2"/>
      </patternFill>
    </fill>
    <fill>
      <patternFill patternType="solid">
        <fgColor rgb="FFD4D4D4"/>
        <bgColor rgb="FFD4D4D4"/>
      </patternFill>
    </fill>
    <fill>
      <patternFill patternType="solid">
        <fgColor rgb="FF000000"/>
        <bgColor rgb="FF000000"/>
      </patternFill>
    </fill>
  </fills>
  <borders count="7">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2" numFmtId="0" xfId="0" applyAlignment="1" applyFont="1">
      <alignment horizontal="right" readingOrder="0" shrinkToFit="0" vertical="bottom" wrapText="0"/>
    </xf>
    <xf borderId="0" fillId="0" fontId="2" numFmtId="0" xfId="0" applyAlignment="1" applyFont="1">
      <alignment horizontal="right" shrinkToFit="0" vertical="bottom" wrapText="0"/>
    </xf>
    <xf borderId="0" fillId="0" fontId="3" numFmtId="0" xfId="0" applyAlignment="1" applyFont="1">
      <alignment vertical="bottom"/>
    </xf>
    <xf borderId="0" fillId="0" fontId="3" numFmtId="0" xfId="0" applyAlignment="1" applyFont="1">
      <alignment horizontal="right" vertical="bottom"/>
    </xf>
    <xf borderId="0" fillId="2" fontId="1" numFmtId="0" xfId="0" applyFill="1" applyFont="1"/>
    <xf borderId="1" fillId="3" fontId="4" numFmtId="0" xfId="0" applyAlignment="1" applyBorder="1" applyFill="1" applyFont="1">
      <alignment horizontal="center" readingOrder="0"/>
    </xf>
    <xf borderId="2" fillId="3" fontId="4" numFmtId="0" xfId="0" applyAlignment="1" applyBorder="1" applyFont="1">
      <alignment horizontal="center" readingOrder="0"/>
    </xf>
    <xf borderId="3" fillId="4" fontId="5" numFmtId="0" xfId="0" applyAlignment="1" applyBorder="1" applyFill="1" applyFont="1">
      <alignment horizontal="center" readingOrder="0"/>
    </xf>
    <xf borderId="4" fillId="4" fontId="5" numFmtId="0" xfId="0" applyAlignment="1" applyBorder="1" applyFont="1">
      <alignment horizontal="center" readingOrder="0"/>
    </xf>
    <xf borderId="1" fillId="4" fontId="5" numFmtId="0" xfId="0" applyAlignment="1" applyBorder="1" applyFont="1">
      <alignment horizontal="center" readingOrder="0"/>
    </xf>
    <xf borderId="0" fillId="4" fontId="5" numFmtId="0" xfId="0" applyAlignment="1" applyFont="1">
      <alignment horizontal="center" readingOrder="0"/>
    </xf>
    <xf borderId="1" fillId="0" fontId="4" numFmtId="0" xfId="0" applyAlignment="1" applyBorder="1" applyFont="1">
      <alignment horizontal="center"/>
    </xf>
    <xf borderId="1" fillId="0" fontId="4" numFmtId="0" xfId="0" applyAlignment="1" applyBorder="1" applyFont="1">
      <alignment horizontal="left"/>
    </xf>
    <xf borderId="1" fillId="0" fontId="4" numFmtId="3" xfId="0" applyAlignment="1" applyBorder="1" applyFont="1" applyNumberFormat="1">
      <alignment horizontal="right"/>
    </xf>
    <xf borderId="2" fillId="0" fontId="4" numFmtId="0" xfId="0" applyAlignment="1" applyBorder="1" applyFont="1">
      <alignment horizontal="left"/>
    </xf>
    <xf borderId="3" fillId="0" fontId="4" numFmtId="0" xfId="0" applyAlignment="1" applyBorder="1" applyFont="1">
      <alignment horizontal="left"/>
    </xf>
    <xf borderId="4" fillId="0" fontId="4" numFmtId="0" xfId="0" applyAlignment="1" applyBorder="1" applyFont="1">
      <alignment horizontal="left"/>
    </xf>
    <xf borderId="1" fillId="0" fontId="4" numFmtId="0" xfId="0" applyAlignment="1" applyBorder="1" applyFont="1">
      <alignment horizontal="left"/>
    </xf>
    <xf borderId="0" fillId="0" fontId="4" numFmtId="0" xfId="0" applyAlignment="1" applyFont="1">
      <alignment horizontal="left"/>
    </xf>
    <xf borderId="1" fillId="0" fontId="4" numFmtId="0" xfId="0" applyAlignment="1" applyBorder="1" applyFont="1">
      <alignment horizontal="center" readingOrder="0"/>
    </xf>
    <xf borderId="1" fillId="0" fontId="4" numFmtId="0" xfId="0" applyAlignment="1" applyBorder="1" applyFont="1">
      <alignment horizontal="left" readingOrder="0"/>
    </xf>
    <xf borderId="1" fillId="0" fontId="4" numFmtId="3" xfId="0" applyAlignment="1" applyBorder="1" applyFont="1" applyNumberFormat="1">
      <alignment horizontal="right" readingOrder="0"/>
    </xf>
    <xf borderId="2" fillId="0" fontId="4" numFmtId="0" xfId="0" applyAlignment="1" applyBorder="1" applyFont="1">
      <alignment horizontal="left" readingOrder="0"/>
    </xf>
    <xf borderId="3" fillId="0" fontId="4" numFmtId="0" xfId="0" applyAlignment="1" applyBorder="1" applyFont="1">
      <alignment horizontal="left"/>
    </xf>
    <xf borderId="4" fillId="0" fontId="4" numFmtId="0" xfId="0" applyAlignment="1" applyBorder="1" applyFont="1">
      <alignment horizontal="left"/>
    </xf>
    <xf borderId="1" fillId="0" fontId="6" numFmtId="0" xfId="0" applyAlignment="1" applyBorder="1" applyFont="1">
      <alignment horizontal="center" vertical="bottom"/>
    </xf>
    <xf borderId="1" fillId="0" fontId="6" numFmtId="0" xfId="0" applyAlignment="1" applyBorder="1" applyFont="1">
      <alignment vertical="bottom"/>
    </xf>
    <xf borderId="1" fillId="0" fontId="6" numFmtId="3" xfId="0" applyAlignment="1" applyBorder="1" applyFont="1" applyNumberFormat="1">
      <alignment horizontal="right" vertical="bottom"/>
    </xf>
    <xf borderId="2" fillId="0" fontId="6" numFmtId="0" xfId="0" applyAlignment="1" applyBorder="1" applyFont="1">
      <alignment vertical="bottom"/>
    </xf>
    <xf borderId="3" fillId="0" fontId="6" numFmtId="0" xfId="0" applyAlignment="1" applyBorder="1" applyFont="1">
      <alignment vertical="bottom"/>
    </xf>
    <xf borderId="3" fillId="2" fontId="3" numFmtId="0" xfId="0" applyAlignment="1" applyBorder="1" applyFont="1">
      <alignment vertical="bottom"/>
    </xf>
    <xf borderId="3" fillId="0" fontId="6" numFmtId="0" xfId="0" applyAlignment="1" applyBorder="1" applyFont="1">
      <alignment vertical="bottom"/>
    </xf>
    <xf borderId="4" fillId="0" fontId="6" numFmtId="0" xfId="0" applyAlignment="1" applyBorder="1" applyFont="1">
      <alignment vertical="bottom"/>
    </xf>
    <xf borderId="1" fillId="0" fontId="6" numFmtId="0" xfId="0" applyAlignment="1" applyBorder="1" applyFont="1">
      <alignment vertical="bottom"/>
    </xf>
    <xf borderId="1" fillId="2" fontId="3" numFmtId="0" xfId="0" applyAlignment="1" applyBorder="1" applyFont="1">
      <alignment vertical="bottom"/>
    </xf>
    <xf borderId="1" fillId="2" fontId="3" numFmtId="49" xfId="0" applyAlignment="1" applyBorder="1" applyFont="1" applyNumberFormat="1">
      <alignment vertical="bottom"/>
    </xf>
    <xf borderId="0" fillId="0" fontId="3" numFmtId="0" xfId="0" applyAlignment="1" applyFont="1">
      <alignment vertical="bottom"/>
    </xf>
    <xf borderId="1" fillId="0" fontId="3" numFmtId="0" xfId="0" applyAlignment="1" applyBorder="1" applyFont="1">
      <alignment vertical="bottom"/>
    </xf>
    <xf borderId="1" fillId="0" fontId="3" numFmtId="3" xfId="0" applyAlignment="1" applyBorder="1" applyFont="1" applyNumberFormat="1">
      <alignment vertical="bottom"/>
    </xf>
    <xf borderId="1" fillId="0" fontId="3" numFmtId="49" xfId="0" applyAlignment="1" applyBorder="1" applyFont="1" applyNumberFormat="1">
      <alignment vertical="bottom"/>
    </xf>
    <xf borderId="3" fillId="0" fontId="4" numFmtId="0" xfId="0" applyAlignment="1" applyBorder="1" applyFont="1">
      <alignment horizontal="left" readingOrder="0"/>
    </xf>
    <xf borderId="1" fillId="0" fontId="6" numFmtId="3" xfId="0" applyAlignment="1" applyBorder="1" applyFont="1" applyNumberFormat="1">
      <alignment horizontal="right" readingOrder="0" vertical="bottom"/>
    </xf>
    <xf borderId="0" fillId="0" fontId="4" numFmtId="0" xfId="0" applyAlignment="1" applyFont="1">
      <alignment horizontal="left"/>
    </xf>
    <xf borderId="0" fillId="0" fontId="6" numFmtId="0" xfId="0" applyAlignment="1" applyFont="1">
      <alignment vertical="bottom"/>
    </xf>
    <xf borderId="4" fillId="0" fontId="6" numFmtId="0" xfId="0" applyAlignment="1" applyBorder="1" applyFont="1">
      <alignment vertical="bottom"/>
    </xf>
    <xf borderId="1" fillId="0" fontId="3" numFmtId="0" xfId="0" applyAlignment="1" applyBorder="1" applyFont="1">
      <alignment vertical="bottom"/>
    </xf>
    <xf borderId="2" fillId="0" fontId="3" numFmtId="0" xfId="0" applyAlignment="1" applyBorder="1" applyFont="1">
      <alignment vertical="bottom"/>
    </xf>
    <xf borderId="1" fillId="0" fontId="3" numFmtId="0" xfId="0" applyAlignment="1" applyBorder="1" applyFont="1">
      <alignment vertical="top"/>
    </xf>
    <xf borderId="1" fillId="0" fontId="6" numFmtId="0" xfId="0" applyAlignment="1" applyBorder="1" applyFont="1">
      <alignment readingOrder="0" vertical="bottom"/>
    </xf>
    <xf borderId="3" fillId="0" fontId="6" numFmtId="0" xfId="0" applyAlignment="1" applyBorder="1" applyFont="1">
      <alignment readingOrder="0" vertical="bottom"/>
    </xf>
    <xf borderId="2" fillId="0" fontId="6" numFmtId="3" xfId="0" applyAlignment="1" applyBorder="1" applyFont="1" applyNumberFormat="1">
      <alignment vertical="bottom"/>
    </xf>
    <xf borderId="4" fillId="0" fontId="3" numFmtId="0" xfId="0" applyAlignment="1" applyBorder="1" applyFont="1">
      <alignment vertical="bottom"/>
    </xf>
    <xf borderId="1" fillId="0" fontId="3" numFmtId="3" xfId="0" applyAlignment="1" applyBorder="1" applyFont="1" applyNumberFormat="1">
      <alignment horizontal="right" vertical="bottom"/>
    </xf>
    <xf borderId="1" fillId="0" fontId="6" numFmtId="49" xfId="0" applyAlignment="1" applyBorder="1" applyFont="1" applyNumberFormat="1">
      <alignment vertical="bottom"/>
    </xf>
    <xf borderId="3" fillId="0" fontId="3" numFmtId="0" xfId="0" applyAlignment="1" applyBorder="1" applyFont="1">
      <alignment vertical="bottom"/>
    </xf>
    <xf borderId="4" fillId="0" fontId="3" numFmtId="0" xfId="0" applyAlignment="1" applyBorder="1" applyFont="1">
      <alignment vertical="bottom"/>
    </xf>
    <xf borderId="3" fillId="0" fontId="1" numFmtId="0" xfId="0" applyBorder="1" applyFont="1"/>
    <xf borderId="5" fillId="0" fontId="4" numFmtId="0" xfId="0" applyAlignment="1" applyBorder="1" applyFont="1">
      <alignment horizontal="left"/>
    </xf>
    <xf borderId="0" fillId="0" fontId="3" numFmtId="49" xfId="0" applyAlignment="1" applyFont="1" applyNumberFormat="1">
      <alignment vertical="bottom"/>
    </xf>
    <xf borderId="0" fillId="0" fontId="4" numFmtId="0" xfId="0" applyAlignment="1" applyFont="1">
      <alignment horizontal="center"/>
    </xf>
    <xf borderId="0" fillId="0" fontId="4" numFmtId="3" xfId="0" applyAlignment="1" applyFont="1" applyNumberFormat="1">
      <alignment horizontal="right"/>
    </xf>
    <xf borderId="1" fillId="0" fontId="2" numFmtId="0" xfId="0" applyAlignment="1" applyBorder="1" applyFont="1">
      <alignment shrinkToFit="0" vertical="bottom" wrapText="0"/>
    </xf>
    <xf borderId="0" fillId="0" fontId="6" numFmtId="0" xfId="0" applyAlignment="1" applyFont="1">
      <alignment horizontal="center" vertical="center"/>
    </xf>
    <xf borderId="0" fillId="0" fontId="6" numFmtId="0" xfId="0" applyAlignment="1" applyFont="1">
      <alignment horizontal="center" readingOrder="0" vertical="center"/>
    </xf>
    <xf borderId="0" fillId="0" fontId="6" numFmtId="3" xfId="0" applyAlignment="1" applyFont="1" applyNumberFormat="1">
      <alignment horizontal="center" vertical="center"/>
    </xf>
    <xf borderId="0" fillId="0" fontId="6" numFmtId="0" xfId="0" applyAlignment="1" applyFont="1">
      <alignment horizontal="center" vertical="center"/>
    </xf>
    <xf borderId="0" fillId="0" fontId="6" numFmtId="49" xfId="0" applyAlignment="1" applyFont="1" applyNumberFormat="1">
      <alignment horizontal="center" vertical="center"/>
    </xf>
    <xf borderId="0" fillId="5" fontId="7" numFmtId="0" xfId="0" applyAlignment="1" applyFill="1" applyFont="1">
      <alignment horizontal="center" readingOrder="0" vertical="center"/>
    </xf>
    <xf borderId="0" fillId="0" fontId="8" numFmtId="0" xfId="0" applyAlignment="1" applyFont="1">
      <alignment horizontal="center" vertical="center"/>
    </xf>
    <xf borderId="0" fillId="0" fontId="8" numFmtId="3" xfId="0" applyAlignment="1" applyFont="1" applyNumberFormat="1">
      <alignment horizontal="center" vertical="center"/>
    </xf>
    <xf borderId="0" fillId="0" fontId="8" numFmtId="0" xfId="0" applyAlignment="1" applyFont="1">
      <alignment horizontal="center" vertical="center"/>
    </xf>
    <xf borderId="0" fillId="0" fontId="8" numFmtId="49" xfId="0" applyAlignment="1" applyFont="1" applyNumberFormat="1">
      <alignment horizontal="center" vertical="center"/>
    </xf>
    <xf borderId="0" fillId="0" fontId="8" numFmtId="3" xfId="0" applyAlignment="1" applyFont="1" applyNumberFormat="1">
      <alignment horizontal="center" readingOrder="0" vertical="center"/>
    </xf>
    <xf borderId="0" fillId="0" fontId="9" numFmtId="0" xfId="0" applyAlignment="1" applyFont="1">
      <alignment horizontal="center" readingOrder="0" vertical="center"/>
    </xf>
    <xf borderId="0" fillId="0" fontId="10" numFmtId="0" xfId="0" applyAlignment="1" applyFont="1">
      <alignment horizontal="center" vertical="center"/>
    </xf>
    <xf borderId="0" fillId="0" fontId="8" numFmtId="0" xfId="0" applyAlignment="1" applyFont="1">
      <alignment horizontal="center" readingOrder="0" vertical="center"/>
    </xf>
    <xf borderId="0" fillId="0" fontId="8" numFmtId="49" xfId="0" applyAlignment="1" applyFont="1" applyNumberFormat="1">
      <alignment horizontal="center" readingOrder="0" vertical="center"/>
    </xf>
    <xf borderId="0" fillId="0" fontId="9" numFmtId="0" xfId="0" applyAlignment="1" applyFont="1">
      <alignment horizontal="center" vertical="center"/>
    </xf>
    <xf borderId="0" fillId="0" fontId="9" numFmtId="3" xfId="0" applyAlignment="1" applyFont="1" applyNumberFormat="1">
      <alignment horizontal="center" vertical="center"/>
    </xf>
    <xf borderId="0" fillId="0" fontId="9" numFmtId="0" xfId="0" applyAlignment="1" applyFont="1">
      <alignment horizontal="center" vertical="center"/>
    </xf>
    <xf borderId="0" fillId="0" fontId="11" numFmtId="0" xfId="0" applyAlignment="1" applyFont="1">
      <alignment horizontal="center" readingOrder="0" vertical="center"/>
    </xf>
    <xf borderId="1" fillId="6" fontId="12" numFmtId="0" xfId="0" applyAlignment="1" applyBorder="1" applyFill="1" applyFont="1">
      <alignment readingOrder="0" vertical="top"/>
    </xf>
    <xf borderId="1" fillId="7" fontId="13" numFmtId="0" xfId="0" applyAlignment="1" applyBorder="1" applyFill="1" applyFont="1">
      <alignment readingOrder="0" vertical="top"/>
    </xf>
    <xf borderId="1" fillId="0" fontId="14" numFmtId="0" xfId="0" applyAlignment="1" applyBorder="1" applyFont="1">
      <alignment readingOrder="0" vertical="top"/>
    </xf>
    <xf borderId="1" fillId="0" fontId="15" numFmtId="0" xfId="0" applyAlignment="1" applyBorder="1" applyFont="1">
      <alignment readingOrder="0" vertical="top"/>
    </xf>
    <xf borderId="1" fillId="0" fontId="15" numFmtId="164" xfId="0" applyAlignment="1" applyBorder="1" applyFont="1" applyNumberFormat="1">
      <alignment readingOrder="0" vertical="top"/>
    </xf>
    <xf borderId="1" fillId="0" fontId="1" numFmtId="0" xfId="0" applyAlignment="1" applyBorder="1" applyFont="1">
      <alignment vertical="top"/>
    </xf>
    <xf borderId="1" fillId="0" fontId="1" numFmtId="164" xfId="0" applyAlignment="1" applyBorder="1" applyFont="1" applyNumberFormat="1">
      <alignment vertical="top"/>
    </xf>
    <xf borderId="1" fillId="0" fontId="1" numFmtId="0" xfId="0" applyAlignment="1" applyBorder="1" applyFont="1">
      <alignment vertical="top"/>
    </xf>
    <xf borderId="1" fillId="0" fontId="16" numFmtId="0" xfId="0" applyAlignment="1" applyBorder="1" applyFont="1">
      <alignment readingOrder="0" vertical="top"/>
    </xf>
    <xf borderId="0" fillId="2" fontId="2" numFmtId="0" xfId="0" applyAlignment="1" applyFont="1">
      <alignment horizontal="right" readingOrder="0" shrinkToFit="0" vertical="bottom" wrapText="0"/>
    </xf>
    <xf borderId="0" fillId="2" fontId="2" numFmtId="0" xfId="0" applyAlignment="1" applyFont="1">
      <alignment readingOrder="0" shrinkToFit="0" vertical="bottom" wrapText="0"/>
    </xf>
    <xf borderId="6" fillId="8" fontId="17" numFmtId="0" xfId="0" applyAlignment="1" applyBorder="1" applyFill="1" applyFont="1">
      <alignment horizontal="center" readingOrder="0"/>
    </xf>
    <xf borderId="6" fillId="8" fontId="17" numFmtId="0" xfId="0" applyAlignment="1" applyBorder="1" applyFont="1">
      <alignment horizontal="center" readingOrder="0" shrinkToFit="0" wrapText="0"/>
    </xf>
    <xf borderId="0" fillId="0" fontId="18" numFmtId="0" xfId="0" applyAlignment="1" applyFont="1">
      <alignment horizontal="center" readingOrder="0" shrinkToFit="0" vertical="bottom" wrapText="0"/>
    </xf>
    <xf borderId="0" fillId="0" fontId="18" numFmtId="0" xfId="0" applyAlignment="1" applyFont="1">
      <alignment horizontal="right" readingOrder="0" shrinkToFit="0" vertical="bottom" wrapText="0"/>
    </xf>
    <xf borderId="0" fillId="0" fontId="18" numFmtId="0" xfId="0" applyAlignment="1" applyFont="1">
      <alignment horizontal="center" shrinkToFit="0" vertical="bottom" wrapText="0"/>
    </xf>
    <xf borderId="0" fillId="0" fontId="11" numFmtId="0" xfId="0" applyAlignment="1" applyFont="1">
      <alignment horizontal="center" vertical="center"/>
    </xf>
    <xf borderId="0" fillId="2" fontId="11" numFmtId="0" xfId="0" applyAlignment="1" applyFont="1">
      <alignment horizontal="center" readingOrder="0" vertical="center"/>
    </xf>
    <xf borderId="0" fillId="2" fontId="1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1">
        <v>35000.0</v>
      </c>
      <c r="G1" s="2" t="s">
        <v>0</v>
      </c>
    </row>
    <row r="2">
      <c r="C2" s="1">
        <v>35000.0</v>
      </c>
      <c r="G2" s="2" t="s">
        <v>1</v>
      </c>
    </row>
    <row r="3">
      <c r="C3" s="1">
        <v>35000.0</v>
      </c>
      <c r="G3" s="2" t="s">
        <v>2</v>
      </c>
    </row>
    <row r="4">
      <c r="C4" s="1">
        <v>35000.0</v>
      </c>
      <c r="G4" s="2" t="s">
        <v>3</v>
      </c>
    </row>
    <row r="5">
      <c r="C5" s="1">
        <v>35000.0</v>
      </c>
      <c r="G5" s="2" t="s">
        <v>4</v>
      </c>
    </row>
    <row r="6">
      <c r="C6" s="1">
        <v>35000.0</v>
      </c>
      <c r="G6" s="2" t="s">
        <v>5</v>
      </c>
    </row>
    <row r="7">
      <c r="C7" s="1">
        <v>35000.0</v>
      </c>
      <c r="G7" s="2" t="s">
        <v>6</v>
      </c>
    </row>
    <row r="8">
      <c r="C8" s="1">
        <v>35000.0</v>
      </c>
      <c r="G8" s="2" t="s">
        <v>7</v>
      </c>
    </row>
    <row r="9">
      <c r="C9" s="1">
        <v>35000.0</v>
      </c>
      <c r="G9" s="2" t="s">
        <v>8</v>
      </c>
    </row>
    <row r="10">
      <c r="C10" s="1">
        <v>35000.0</v>
      </c>
      <c r="G10" s="2" t="s">
        <v>9</v>
      </c>
    </row>
    <row r="11">
      <c r="C11" s="1">
        <v>35000.0</v>
      </c>
      <c r="G11" s="2" t="s">
        <v>10</v>
      </c>
    </row>
    <row r="12">
      <c r="C12" s="1">
        <v>35000.0</v>
      </c>
      <c r="G12" s="2" t="s">
        <v>11</v>
      </c>
    </row>
    <row r="13">
      <c r="C13" s="1">
        <v>35000.0</v>
      </c>
      <c r="G13" s="2" t="s">
        <v>12</v>
      </c>
    </row>
    <row r="14">
      <c r="C14" s="1">
        <v>35000.0</v>
      </c>
      <c r="G14" s="2" t="s">
        <v>13</v>
      </c>
    </row>
    <row r="15">
      <c r="C15" s="1">
        <v>35000.0</v>
      </c>
      <c r="G15" s="2" t="s">
        <v>14</v>
      </c>
    </row>
    <row r="16">
      <c r="C16" s="1">
        <v>35000.0</v>
      </c>
      <c r="G16" s="2" t="s">
        <v>15</v>
      </c>
    </row>
    <row r="17">
      <c r="C17" s="1">
        <v>35000.0</v>
      </c>
      <c r="G17" s="2" t="s">
        <v>16</v>
      </c>
    </row>
    <row r="18">
      <c r="C18" s="1">
        <v>35000.0</v>
      </c>
      <c r="G18" s="2" t="s">
        <v>17</v>
      </c>
    </row>
    <row r="19">
      <c r="C19" s="1">
        <v>35000.0</v>
      </c>
      <c r="G19" s="2" t="s">
        <v>18</v>
      </c>
    </row>
    <row r="20">
      <c r="C20" s="1">
        <v>35000.0</v>
      </c>
      <c r="G20" s="2" t="s">
        <v>19</v>
      </c>
    </row>
    <row r="21">
      <c r="C21" s="1">
        <v>35000.0</v>
      </c>
      <c r="G21" s="2" t="s">
        <v>20</v>
      </c>
    </row>
    <row r="22">
      <c r="C22" s="1">
        <v>35000.0</v>
      </c>
      <c r="G22" s="2" t="s">
        <v>21</v>
      </c>
    </row>
    <row r="23">
      <c r="C23" s="1">
        <v>35000.0</v>
      </c>
      <c r="G23" s="2" t="s">
        <v>22</v>
      </c>
    </row>
    <row r="24">
      <c r="C24" s="1">
        <v>35000.0</v>
      </c>
      <c r="G24" s="2" t="s">
        <v>23</v>
      </c>
    </row>
    <row r="25">
      <c r="C25" s="1">
        <v>35000.0</v>
      </c>
      <c r="G25" s="2" t="s">
        <v>24</v>
      </c>
    </row>
    <row r="26">
      <c r="C26" s="1">
        <v>35000.0</v>
      </c>
      <c r="G26" s="2" t="s">
        <v>25</v>
      </c>
    </row>
    <row r="27">
      <c r="C27" s="1">
        <v>35000.0</v>
      </c>
      <c r="G27" s="2" t="s">
        <v>26</v>
      </c>
    </row>
    <row r="28">
      <c r="C28" s="1">
        <v>35000.0</v>
      </c>
      <c r="G28" s="2" t="s">
        <v>27</v>
      </c>
    </row>
    <row r="29">
      <c r="C29" s="1">
        <v>35000.0</v>
      </c>
      <c r="G29" s="2" t="s">
        <v>28</v>
      </c>
    </row>
    <row r="30">
      <c r="C30" s="1">
        <v>35000.0</v>
      </c>
      <c r="G30" s="2" t="s">
        <v>29</v>
      </c>
    </row>
    <row r="31">
      <c r="C31" s="1">
        <v>35000.0</v>
      </c>
      <c r="G31" s="2" t="s">
        <v>30</v>
      </c>
    </row>
    <row r="32">
      <c r="C32" s="1">
        <v>35000.0</v>
      </c>
      <c r="G32" s="2" t="s">
        <v>31</v>
      </c>
    </row>
    <row r="33">
      <c r="C33" s="1">
        <v>35000.0</v>
      </c>
      <c r="G33" s="2" t="s">
        <v>32</v>
      </c>
    </row>
    <row r="34">
      <c r="C34" s="1">
        <v>35000.0</v>
      </c>
      <c r="G34" s="2" t="s">
        <v>33</v>
      </c>
    </row>
    <row r="35">
      <c r="C35" s="1">
        <v>35000.0</v>
      </c>
      <c r="G35" s="2" t="s">
        <v>34</v>
      </c>
    </row>
    <row r="36">
      <c r="C36" s="1">
        <v>35000.0</v>
      </c>
      <c r="G36" s="2" t="s">
        <v>35</v>
      </c>
    </row>
    <row r="37">
      <c r="C37" s="1">
        <v>35000.0</v>
      </c>
      <c r="G37" s="2" t="s">
        <v>36</v>
      </c>
    </row>
    <row r="38">
      <c r="C38" s="1">
        <v>35000.0</v>
      </c>
      <c r="G38" s="2" t="s">
        <v>37</v>
      </c>
    </row>
    <row r="39">
      <c r="C39" s="1">
        <v>35000.0</v>
      </c>
      <c r="G39" s="2" t="s">
        <v>38</v>
      </c>
    </row>
    <row r="40">
      <c r="C40" s="1">
        <v>35000.0</v>
      </c>
      <c r="G40" s="2" t="s">
        <v>39</v>
      </c>
    </row>
    <row r="41">
      <c r="C41" s="1">
        <v>35000.0</v>
      </c>
      <c r="G41" s="2" t="s">
        <v>40</v>
      </c>
    </row>
    <row r="42">
      <c r="C42" s="1">
        <v>35000.0</v>
      </c>
      <c r="G42" s="2" t="s">
        <v>41</v>
      </c>
    </row>
    <row r="43">
      <c r="C43" s="1">
        <v>35000.0</v>
      </c>
      <c r="G43" s="2" t="s">
        <v>42</v>
      </c>
    </row>
    <row r="44">
      <c r="C44" s="1">
        <v>35000.0</v>
      </c>
      <c r="G44" s="2" t="s">
        <v>43</v>
      </c>
    </row>
    <row r="45">
      <c r="C45" s="1">
        <v>35000.0</v>
      </c>
      <c r="G45" s="2" t="s">
        <v>44</v>
      </c>
    </row>
    <row r="46">
      <c r="C46" s="1">
        <v>35000.0</v>
      </c>
      <c r="G46" s="2" t="s">
        <v>45</v>
      </c>
    </row>
    <row r="47">
      <c r="C47" s="1">
        <v>35000.0</v>
      </c>
      <c r="G47" s="2" t="s">
        <v>46</v>
      </c>
    </row>
    <row r="48">
      <c r="C48" s="1">
        <v>35000.0</v>
      </c>
      <c r="G48" s="2" t="s">
        <v>47</v>
      </c>
    </row>
    <row r="49">
      <c r="C49" s="1">
        <v>35000.0</v>
      </c>
      <c r="G49" s="2" t="s">
        <v>48</v>
      </c>
    </row>
    <row r="50">
      <c r="C50" s="1">
        <v>35000.0</v>
      </c>
      <c r="G50" s="2" t="s">
        <v>49</v>
      </c>
    </row>
    <row r="51">
      <c r="C51" s="1">
        <v>35000.0</v>
      </c>
      <c r="G51" s="2" t="s">
        <v>50</v>
      </c>
    </row>
    <row r="52">
      <c r="C52" s="1">
        <v>35000.0</v>
      </c>
      <c r="G52" s="2" t="s">
        <v>51</v>
      </c>
    </row>
    <row r="53">
      <c r="C53" s="1">
        <v>35000.0</v>
      </c>
      <c r="G53" s="2" t="s">
        <v>52</v>
      </c>
    </row>
    <row r="54">
      <c r="C54" s="1">
        <v>35000.0</v>
      </c>
      <c r="G54" s="2" t="s">
        <v>53</v>
      </c>
    </row>
    <row r="55">
      <c r="C55" s="1">
        <v>35000.0</v>
      </c>
      <c r="G55" s="2" t="s">
        <v>54</v>
      </c>
    </row>
    <row r="56">
      <c r="C56" s="1">
        <v>35000.0</v>
      </c>
      <c r="G56" s="2" t="s">
        <v>55</v>
      </c>
    </row>
    <row r="57">
      <c r="C57" s="1">
        <v>35000.0</v>
      </c>
      <c r="G57" s="2" t="s">
        <v>56</v>
      </c>
    </row>
    <row r="58">
      <c r="C58" s="1">
        <v>35000.0</v>
      </c>
      <c r="G58" s="2" t="s">
        <v>57</v>
      </c>
    </row>
    <row r="59">
      <c r="C59" s="1">
        <v>35000.0</v>
      </c>
      <c r="G59" s="2" t="s">
        <v>58</v>
      </c>
    </row>
    <row r="60">
      <c r="C60" s="1">
        <v>35000.0</v>
      </c>
      <c r="G60" s="2" t="s">
        <v>59</v>
      </c>
    </row>
    <row r="61">
      <c r="C61" s="1">
        <v>35000.0</v>
      </c>
      <c r="G61" s="2" t="s">
        <v>60</v>
      </c>
    </row>
    <row r="62">
      <c r="C62" s="1">
        <v>35000.0</v>
      </c>
      <c r="G62" s="2" t="s">
        <v>61</v>
      </c>
    </row>
    <row r="63">
      <c r="C63" s="1">
        <v>35000.0</v>
      </c>
      <c r="G63" s="2" t="s">
        <v>62</v>
      </c>
    </row>
    <row r="64">
      <c r="C64" s="1">
        <v>35000.0</v>
      </c>
      <c r="G64" s="2" t="s">
        <v>63</v>
      </c>
    </row>
    <row r="65">
      <c r="C65" s="1">
        <v>35000.0</v>
      </c>
      <c r="G65" s="2" t="s">
        <v>64</v>
      </c>
    </row>
    <row r="66">
      <c r="C66" s="1">
        <v>35000.0</v>
      </c>
      <c r="G66" s="2" t="s">
        <v>65</v>
      </c>
    </row>
    <row r="67">
      <c r="C67" s="1">
        <v>35000.0</v>
      </c>
      <c r="G67" s="2" t="s">
        <v>66</v>
      </c>
    </row>
    <row r="68">
      <c r="C68" s="1">
        <v>35000.0</v>
      </c>
      <c r="G68" s="2" t="s">
        <v>67</v>
      </c>
    </row>
    <row r="69">
      <c r="C69" s="1">
        <v>35000.0</v>
      </c>
      <c r="G69" s="2" t="s">
        <v>68</v>
      </c>
    </row>
    <row r="70">
      <c r="C70" s="1">
        <v>35000.0</v>
      </c>
      <c r="G70" s="2" t="s">
        <v>69</v>
      </c>
    </row>
    <row r="71">
      <c r="C71" s="1">
        <v>35000.0</v>
      </c>
      <c r="G71" s="2" t="s">
        <v>70</v>
      </c>
    </row>
    <row r="72">
      <c r="C72" s="1">
        <v>35000.0</v>
      </c>
      <c r="G72" s="2" t="s">
        <v>71</v>
      </c>
    </row>
    <row r="73">
      <c r="C73" s="1">
        <v>35000.0</v>
      </c>
      <c r="G73" s="2" t="s">
        <v>72</v>
      </c>
    </row>
    <row r="74">
      <c r="C74" s="1">
        <v>35000.0</v>
      </c>
      <c r="G74" s="2" t="s">
        <v>73</v>
      </c>
    </row>
    <row r="75">
      <c r="C75" s="1">
        <v>35000.0</v>
      </c>
      <c r="G75" s="2" t="s">
        <v>74</v>
      </c>
    </row>
    <row r="76">
      <c r="C76" s="1">
        <v>35000.0</v>
      </c>
      <c r="G76" s="2" t="s">
        <v>75</v>
      </c>
    </row>
    <row r="77">
      <c r="C77" s="1">
        <v>35000.0</v>
      </c>
      <c r="G77" s="2" t="s">
        <v>76</v>
      </c>
    </row>
    <row r="78">
      <c r="C78" s="1">
        <v>35000.0</v>
      </c>
      <c r="G78" s="2" t="s">
        <v>77</v>
      </c>
    </row>
    <row r="79">
      <c r="C79" s="1">
        <v>35000.0</v>
      </c>
      <c r="G79" s="2" t="s">
        <v>78</v>
      </c>
    </row>
    <row r="80">
      <c r="C80" s="1">
        <v>35000.0</v>
      </c>
      <c r="G80" s="2" t="s">
        <v>79</v>
      </c>
    </row>
    <row r="81">
      <c r="C81" s="1">
        <v>35000.0</v>
      </c>
      <c r="G81" s="2" t="s">
        <v>80</v>
      </c>
    </row>
    <row r="82">
      <c r="C82" s="1">
        <v>35000.0</v>
      </c>
      <c r="G82" s="2" t="s">
        <v>81</v>
      </c>
    </row>
    <row r="83">
      <c r="C83" s="1">
        <v>35000.0</v>
      </c>
      <c r="G83" s="2" t="s">
        <v>82</v>
      </c>
    </row>
    <row r="84">
      <c r="C84" s="1">
        <v>35000.0</v>
      </c>
      <c r="G84" s="2" t="s">
        <v>83</v>
      </c>
    </row>
    <row r="85">
      <c r="C85" s="1">
        <v>35000.0</v>
      </c>
      <c r="G85" s="2" t="s">
        <v>84</v>
      </c>
    </row>
    <row r="86">
      <c r="C86" s="1">
        <v>35000.0</v>
      </c>
      <c r="G86" s="2" t="s">
        <v>85</v>
      </c>
    </row>
    <row r="87">
      <c r="C87" s="1">
        <v>35000.0</v>
      </c>
      <c r="G87" s="2" t="s">
        <v>86</v>
      </c>
    </row>
    <row r="88">
      <c r="C88" s="1">
        <v>35000.0</v>
      </c>
      <c r="G88" s="2" t="s">
        <v>87</v>
      </c>
    </row>
    <row r="89">
      <c r="C89" s="1">
        <v>35000.0</v>
      </c>
      <c r="G89" s="2" t="s">
        <v>88</v>
      </c>
    </row>
    <row r="90">
      <c r="C90" s="1">
        <v>35000.0</v>
      </c>
      <c r="G90" s="2" t="s">
        <v>89</v>
      </c>
    </row>
    <row r="91">
      <c r="C91" s="1">
        <v>35000.0</v>
      </c>
      <c r="G91" s="2" t="s">
        <v>90</v>
      </c>
    </row>
    <row r="92">
      <c r="C92" s="1">
        <v>35000.0</v>
      </c>
      <c r="G92" s="2" t="s">
        <v>91</v>
      </c>
    </row>
    <row r="93">
      <c r="C93" s="1">
        <v>35000.0</v>
      </c>
      <c r="G93" s="2" t="s">
        <v>92</v>
      </c>
    </row>
    <row r="94">
      <c r="C94" s="1">
        <v>35000.0</v>
      </c>
      <c r="G94" s="2" t="s">
        <v>93</v>
      </c>
    </row>
    <row r="95">
      <c r="C95" s="1">
        <v>35000.0</v>
      </c>
      <c r="G95" s="2" t="s">
        <v>94</v>
      </c>
    </row>
    <row r="96">
      <c r="C96" s="1">
        <v>35000.0</v>
      </c>
      <c r="G96" s="2" t="s">
        <v>95</v>
      </c>
    </row>
    <row r="97">
      <c r="C97" s="1">
        <v>35000.0</v>
      </c>
      <c r="G97" s="2" t="s">
        <v>96</v>
      </c>
    </row>
    <row r="98">
      <c r="C98" s="1">
        <v>35000.0</v>
      </c>
      <c r="G98" s="2" t="s">
        <v>97</v>
      </c>
    </row>
    <row r="99">
      <c r="C99" s="1">
        <v>35000.0</v>
      </c>
      <c r="G99" s="2" t="s">
        <v>98</v>
      </c>
    </row>
    <row r="100">
      <c r="C100" s="1">
        <v>35000.0</v>
      </c>
      <c r="G100" s="2" t="s">
        <v>99</v>
      </c>
    </row>
    <row r="101">
      <c r="C101" s="1">
        <v>35000.0</v>
      </c>
      <c r="G101" s="2" t="s">
        <v>100</v>
      </c>
    </row>
    <row r="102">
      <c r="C102" s="1">
        <v>35000.0</v>
      </c>
      <c r="G102" s="2" t="s">
        <v>101</v>
      </c>
    </row>
    <row r="103">
      <c r="C103" s="1">
        <v>35000.0</v>
      </c>
      <c r="G103" s="2" t="s">
        <v>102</v>
      </c>
    </row>
    <row r="104">
      <c r="C104" s="1">
        <v>35000.0</v>
      </c>
      <c r="G104" s="2" t="s">
        <v>103</v>
      </c>
    </row>
    <row r="105">
      <c r="C105" s="1">
        <v>35000.0</v>
      </c>
      <c r="G105" s="2" t="s">
        <v>104</v>
      </c>
    </row>
    <row r="106">
      <c r="C106" s="1">
        <v>35000.0</v>
      </c>
      <c r="G106" s="2" t="s">
        <v>105</v>
      </c>
    </row>
    <row r="107">
      <c r="C107" s="1">
        <v>35000.0</v>
      </c>
      <c r="G107" s="2" t="s">
        <v>106</v>
      </c>
    </row>
    <row r="108">
      <c r="C108" s="1">
        <v>35000.0</v>
      </c>
      <c r="G108" s="2" t="s">
        <v>107</v>
      </c>
    </row>
    <row r="109">
      <c r="C109" s="1">
        <v>35000.0</v>
      </c>
      <c r="G109" s="2" t="s">
        <v>108</v>
      </c>
    </row>
    <row r="110">
      <c r="C110" s="1">
        <v>35000.0</v>
      </c>
      <c r="G110" s="2" t="s">
        <v>109</v>
      </c>
    </row>
    <row r="111">
      <c r="C111" s="1">
        <v>35000.0</v>
      </c>
      <c r="G111" s="2" t="s">
        <v>110</v>
      </c>
    </row>
    <row r="112">
      <c r="C112" s="1">
        <v>35000.0</v>
      </c>
      <c r="G112" s="2" t="s">
        <v>111</v>
      </c>
    </row>
    <row r="113">
      <c r="C113" s="1">
        <v>35000.0</v>
      </c>
      <c r="G113" s="2" t="s">
        <v>112</v>
      </c>
    </row>
    <row r="114">
      <c r="C114" s="1">
        <v>35000.0</v>
      </c>
      <c r="G114" s="2" t="s">
        <v>113</v>
      </c>
    </row>
    <row r="115">
      <c r="C115" s="1">
        <v>35000.0</v>
      </c>
      <c r="G115" s="2" t="s">
        <v>114</v>
      </c>
    </row>
    <row r="116">
      <c r="C116" s="1">
        <v>35000.0</v>
      </c>
      <c r="G116" s="2" t="s">
        <v>115</v>
      </c>
    </row>
    <row r="117">
      <c r="C117" s="1">
        <v>35000.0</v>
      </c>
      <c r="G117" s="2" t="s">
        <v>116</v>
      </c>
    </row>
    <row r="118">
      <c r="C118" s="1">
        <v>35000.0</v>
      </c>
      <c r="G118" s="2" t="s">
        <v>117</v>
      </c>
    </row>
    <row r="119">
      <c r="C119" s="1">
        <v>35000.0</v>
      </c>
      <c r="G119" s="2" t="s">
        <v>118</v>
      </c>
    </row>
    <row r="120">
      <c r="C120" s="1">
        <v>35000.0</v>
      </c>
      <c r="G120" s="2" t="s">
        <v>119</v>
      </c>
    </row>
    <row r="121">
      <c r="C121" s="1">
        <v>35000.0</v>
      </c>
      <c r="G121" s="2" t="s">
        <v>120</v>
      </c>
    </row>
    <row r="122">
      <c r="C122" s="1">
        <v>35000.0</v>
      </c>
      <c r="G122" s="2" t="s">
        <v>121</v>
      </c>
    </row>
    <row r="123">
      <c r="C123" s="1">
        <v>35000.0</v>
      </c>
      <c r="G123" s="2" t="s">
        <v>122</v>
      </c>
    </row>
    <row r="124">
      <c r="C124" s="1">
        <v>35000.0</v>
      </c>
      <c r="G124" s="2" t="s">
        <v>123</v>
      </c>
    </row>
    <row r="125">
      <c r="C125" s="1">
        <v>35000.0</v>
      </c>
      <c r="G125" s="2" t="s">
        <v>124</v>
      </c>
    </row>
    <row r="126">
      <c r="C126" s="1">
        <v>35000.0</v>
      </c>
      <c r="G126" s="2" t="s">
        <v>125</v>
      </c>
    </row>
    <row r="127">
      <c r="C127" s="1">
        <v>35000.0</v>
      </c>
      <c r="G127" s="2" t="s">
        <v>126</v>
      </c>
    </row>
    <row r="128">
      <c r="C128" s="1">
        <v>35000.0</v>
      </c>
      <c r="G128" s="2" t="s">
        <v>127</v>
      </c>
    </row>
    <row r="129">
      <c r="C129" s="1">
        <v>35000.0</v>
      </c>
      <c r="G129" s="2" t="s">
        <v>128</v>
      </c>
    </row>
    <row r="130">
      <c r="C130" s="1">
        <v>35000.0</v>
      </c>
      <c r="G130" s="2" t="s">
        <v>129</v>
      </c>
    </row>
    <row r="131">
      <c r="C131" s="1">
        <v>35000.0</v>
      </c>
      <c r="G131" s="2" t="s">
        <v>130</v>
      </c>
    </row>
    <row r="132">
      <c r="C132" s="1">
        <v>35000.0</v>
      </c>
      <c r="G132" s="2" t="s">
        <v>131</v>
      </c>
    </row>
    <row r="133">
      <c r="C133" s="1">
        <v>35000.0</v>
      </c>
      <c r="G133" s="2" t="s">
        <v>132</v>
      </c>
    </row>
    <row r="134">
      <c r="C134" s="1">
        <v>35000.0</v>
      </c>
      <c r="G134" s="2" t="s">
        <v>133</v>
      </c>
    </row>
    <row r="135">
      <c r="C135" s="1">
        <v>35000.0</v>
      </c>
      <c r="G135" s="2" t="s">
        <v>134</v>
      </c>
    </row>
    <row r="136">
      <c r="C136" s="1">
        <v>35000.0</v>
      </c>
      <c r="G136" s="2" t="s">
        <v>135</v>
      </c>
    </row>
    <row r="137">
      <c r="C137" s="1">
        <v>35000.0</v>
      </c>
      <c r="G137" s="2" t="s">
        <v>136</v>
      </c>
    </row>
    <row r="138">
      <c r="C138" s="1">
        <v>35000.0</v>
      </c>
      <c r="G138" s="2" t="s">
        <v>137</v>
      </c>
    </row>
    <row r="139">
      <c r="C139" s="1">
        <v>35000.0</v>
      </c>
      <c r="G139" s="2" t="s">
        <v>138</v>
      </c>
    </row>
    <row r="140">
      <c r="C140" s="1">
        <v>35000.0</v>
      </c>
      <c r="G140" s="2" t="s">
        <v>139</v>
      </c>
    </row>
    <row r="141">
      <c r="C141" s="1">
        <v>35000.0</v>
      </c>
      <c r="G141" s="2" t="s">
        <v>140</v>
      </c>
    </row>
    <row r="142">
      <c r="C142" s="1">
        <v>35000.0</v>
      </c>
      <c r="G142" s="2" t="s">
        <v>141</v>
      </c>
    </row>
    <row r="143">
      <c r="C143" s="1">
        <v>35000.0</v>
      </c>
      <c r="G143" s="2" t="s">
        <v>142</v>
      </c>
    </row>
    <row r="144">
      <c r="C144" s="1">
        <v>35000.0</v>
      </c>
      <c r="G144" s="2" t="s">
        <v>143</v>
      </c>
    </row>
    <row r="145">
      <c r="C145" s="1">
        <v>35000.0</v>
      </c>
      <c r="G145" s="2" t="s">
        <v>144</v>
      </c>
    </row>
    <row r="146">
      <c r="C146" s="1">
        <v>35000.0</v>
      </c>
      <c r="G146" s="2" t="s">
        <v>145</v>
      </c>
    </row>
    <row r="147">
      <c r="C147" s="1">
        <v>35000.0</v>
      </c>
      <c r="G147" s="2" t="s">
        <v>146</v>
      </c>
    </row>
    <row r="148">
      <c r="C148" s="1">
        <v>35000.0</v>
      </c>
      <c r="G148" s="2" t="s">
        <v>147</v>
      </c>
    </row>
    <row r="149">
      <c r="C149" s="1">
        <v>35000.0</v>
      </c>
      <c r="G149" s="2" t="s">
        <v>148</v>
      </c>
    </row>
    <row r="150">
      <c r="C150" s="1">
        <v>35000.0</v>
      </c>
      <c r="G150" s="2" t="s">
        <v>149</v>
      </c>
    </row>
    <row r="151">
      <c r="C151" s="1">
        <v>35000.0</v>
      </c>
      <c r="G151" s="2" t="s">
        <v>150</v>
      </c>
    </row>
    <row r="152">
      <c r="C152" s="1">
        <v>35000.0</v>
      </c>
      <c r="G152" s="2" t="s">
        <v>151</v>
      </c>
    </row>
    <row r="153">
      <c r="C153" s="1">
        <v>35000.0</v>
      </c>
      <c r="G153" s="2" t="s">
        <v>152</v>
      </c>
    </row>
    <row r="154">
      <c r="C154" s="1">
        <v>35000.0</v>
      </c>
      <c r="G154" s="2" t="s">
        <v>153</v>
      </c>
    </row>
    <row r="155">
      <c r="C155" s="1">
        <v>35000.0</v>
      </c>
      <c r="G155" s="2" t="s">
        <v>154</v>
      </c>
    </row>
    <row r="156">
      <c r="C156" s="1">
        <v>35000.0</v>
      </c>
      <c r="G156" s="2" t="s">
        <v>155</v>
      </c>
    </row>
    <row r="157">
      <c r="C157" s="1">
        <v>35000.0</v>
      </c>
      <c r="G157" s="2" t="s">
        <v>156</v>
      </c>
    </row>
    <row r="158">
      <c r="C158" s="1">
        <v>35000.0</v>
      </c>
      <c r="G158" s="2" t="s">
        <v>157</v>
      </c>
    </row>
    <row r="159">
      <c r="C159" s="1">
        <v>35000.0</v>
      </c>
      <c r="G159" s="2" t="s">
        <v>158</v>
      </c>
    </row>
    <row r="160">
      <c r="C160" s="1">
        <v>35000.0</v>
      </c>
      <c r="G160" s="2" t="s">
        <v>159</v>
      </c>
    </row>
    <row r="161">
      <c r="C161" s="1">
        <v>35000.0</v>
      </c>
      <c r="G161" s="2" t="s">
        <v>160</v>
      </c>
    </row>
    <row r="162">
      <c r="C162" s="1">
        <v>35000.0</v>
      </c>
      <c r="G162" s="2" t="s">
        <v>161</v>
      </c>
    </row>
    <row r="163">
      <c r="C163" s="1">
        <v>35000.0</v>
      </c>
      <c r="G163" s="2" t="s">
        <v>162</v>
      </c>
    </row>
    <row r="164">
      <c r="C164" s="1">
        <v>35000.0</v>
      </c>
      <c r="G164" s="2" t="s">
        <v>163</v>
      </c>
    </row>
    <row r="165">
      <c r="C165" s="1">
        <v>35000.0</v>
      </c>
      <c r="G165" s="2" t="s">
        <v>164</v>
      </c>
    </row>
    <row r="166">
      <c r="C166" s="1">
        <v>35000.0</v>
      </c>
      <c r="G166" s="2" t="s">
        <v>165</v>
      </c>
    </row>
    <row r="167">
      <c r="C167" s="1">
        <v>35000.0</v>
      </c>
      <c r="G167" s="2" t="s">
        <v>166</v>
      </c>
    </row>
    <row r="168">
      <c r="C168" s="1">
        <v>35000.0</v>
      </c>
      <c r="G168" s="2" t="s">
        <v>167</v>
      </c>
    </row>
    <row r="169">
      <c r="C169" s="1">
        <v>35000.0</v>
      </c>
      <c r="G169" s="2" t="s">
        <v>168</v>
      </c>
    </row>
    <row r="170">
      <c r="C170" s="1">
        <v>35000.0</v>
      </c>
      <c r="G170" s="2" t="s">
        <v>169</v>
      </c>
    </row>
    <row r="171">
      <c r="C171" s="1">
        <v>35000.0</v>
      </c>
      <c r="G171" s="2" t="s">
        <v>170</v>
      </c>
    </row>
    <row r="172">
      <c r="C172" s="1">
        <v>35000.0</v>
      </c>
      <c r="G172" s="2" t="s">
        <v>171</v>
      </c>
    </row>
    <row r="173">
      <c r="C173" s="1">
        <v>35000.0</v>
      </c>
      <c r="G173" s="2" t="s">
        <v>172</v>
      </c>
    </row>
    <row r="174">
      <c r="C174" s="1">
        <v>35000.0</v>
      </c>
      <c r="G174" s="2" t="s">
        <v>173</v>
      </c>
    </row>
    <row r="175">
      <c r="C175" s="1">
        <v>35000.0</v>
      </c>
      <c r="G175" s="2" t="s">
        <v>174</v>
      </c>
    </row>
    <row r="176">
      <c r="C176" s="1">
        <v>35000.0</v>
      </c>
      <c r="G176" s="2" t="s">
        <v>175</v>
      </c>
    </row>
    <row r="177">
      <c r="C177" s="1">
        <v>35000.0</v>
      </c>
      <c r="G177" s="2" t="s">
        <v>176</v>
      </c>
    </row>
    <row r="178">
      <c r="C178" s="1">
        <v>35000.0</v>
      </c>
      <c r="G178" s="2" t="s">
        <v>177</v>
      </c>
    </row>
    <row r="179">
      <c r="C179" s="1">
        <v>35000.0</v>
      </c>
      <c r="G179" s="2" t="s">
        <v>178</v>
      </c>
    </row>
    <row r="180">
      <c r="C180" s="1">
        <v>35000.0</v>
      </c>
      <c r="G180" s="2" t="s">
        <v>179</v>
      </c>
    </row>
    <row r="181">
      <c r="C181" s="1">
        <v>35000.0</v>
      </c>
      <c r="G181" s="2" t="s">
        <v>180</v>
      </c>
    </row>
    <row r="182">
      <c r="C182" s="1">
        <v>35000.0</v>
      </c>
      <c r="G182" s="2" t="s">
        <v>181</v>
      </c>
    </row>
    <row r="183">
      <c r="C183" s="1">
        <v>35000.0</v>
      </c>
      <c r="G183" s="2" t="s">
        <v>182</v>
      </c>
    </row>
    <row r="184">
      <c r="C184" s="1">
        <v>35000.0</v>
      </c>
      <c r="G184" s="2" t="s">
        <v>183</v>
      </c>
    </row>
    <row r="185">
      <c r="C185" s="1">
        <v>35000.0</v>
      </c>
      <c r="G185" s="2" t="s">
        <v>184</v>
      </c>
    </row>
    <row r="186">
      <c r="C186" s="1">
        <v>35000.0</v>
      </c>
      <c r="G186" s="2" t="s">
        <v>185</v>
      </c>
    </row>
    <row r="187">
      <c r="C187" s="1">
        <v>35000.0</v>
      </c>
      <c r="G187" s="2" t="s">
        <v>186</v>
      </c>
    </row>
    <row r="188">
      <c r="C188" s="1">
        <v>35000.0</v>
      </c>
      <c r="G188" s="2" t="s">
        <v>187</v>
      </c>
    </row>
    <row r="189">
      <c r="C189" s="1">
        <v>35000.0</v>
      </c>
      <c r="G189" s="2" t="s">
        <v>188</v>
      </c>
    </row>
    <row r="190">
      <c r="C190" s="1">
        <v>35000.0</v>
      </c>
      <c r="G190" s="2" t="s">
        <v>189</v>
      </c>
    </row>
    <row r="191">
      <c r="C191" s="1">
        <v>35000.0</v>
      </c>
      <c r="G191" s="2" t="s">
        <v>190</v>
      </c>
    </row>
    <row r="192">
      <c r="C192" s="1">
        <v>35000.0</v>
      </c>
      <c r="G192" s="2" t="s">
        <v>191</v>
      </c>
    </row>
    <row r="193">
      <c r="C193" s="1">
        <v>35000.0</v>
      </c>
      <c r="G193" s="2" t="s">
        <v>192</v>
      </c>
    </row>
    <row r="194">
      <c r="C194" s="1">
        <v>35000.0</v>
      </c>
      <c r="G194" s="2" t="s">
        <v>193</v>
      </c>
    </row>
    <row r="195">
      <c r="C195" s="1">
        <v>35000.0</v>
      </c>
      <c r="G195" s="2" t="s">
        <v>194</v>
      </c>
    </row>
    <row r="196">
      <c r="C196" s="1">
        <v>35000.0</v>
      </c>
      <c r="G196" s="2" t="s">
        <v>195</v>
      </c>
    </row>
    <row r="197">
      <c r="C197" s="1">
        <v>35000.0</v>
      </c>
      <c r="G197" s="2" t="s">
        <v>196</v>
      </c>
    </row>
    <row r="198">
      <c r="C198" s="1">
        <v>35000.0</v>
      </c>
      <c r="G198" s="2" t="s">
        <v>197</v>
      </c>
    </row>
    <row r="199">
      <c r="C199" s="1">
        <v>35000.0</v>
      </c>
      <c r="G199" s="2" t="s">
        <v>198</v>
      </c>
    </row>
    <row r="200">
      <c r="C200" s="1">
        <v>35000.0</v>
      </c>
      <c r="G200" s="2" t="s">
        <v>199</v>
      </c>
    </row>
    <row r="201">
      <c r="C201" s="1">
        <v>35000.0</v>
      </c>
      <c r="G201" s="2" t="s">
        <v>200</v>
      </c>
    </row>
    <row r="202">
      <c r="C202" s="1">
        <v>35000.0</v>
      </c>
      <c r="G202" s="2" t="s">
        <v>201</v>
      </c>
    </row>
    <row r="203">
      <c r="C203" s="1">
        <v>35000.0</v>
      </c>
      <c r="G203" s="2" t="s">
        <v>202</v>
      </c>
    </row>
    <row r="204">
      <c r="C204" s="1">
        <v>35000.0</v>
      </c>
      <c r="G204" s="2" t="s">
        <v>203</v>
      </c>
    </row>
    <row r="205">
      <c r="C205" s="1">
        <v>35000.0</v>
      </c>
      <c r="G205" s="2" t="s">
        <v>204</v>
      </c>
    </row>
    <row r="206">
      <c r="C206" s="1">
        <v>35000.0</v>
      </c>
      <c r="G206" s="2" t="s">
        <v>205</v>
      </c>
    </row>
    <row r="207">
      <c r="C207" s="1">
        <v>35000.0</v>
      </c>
      <c r="G207" s="2" t="s">
        <v>206</v>
      </c>
    </row>
    <row r="208">
      <c r="C208" s="1">
        <v>35000.0</v>
      </c>
      <c r="G208" s="2" t="s">
        <v>207</v>
      </c>
    </row>
    <row r="209">
      <c r="C209" s="1">
        <v>35000.0</v>
      </c>
      <c r="G209" s="2" t="s">
        <v>208</v>
      </c>
    </row>
    <row r="210">
      <c r="C210" s="1">
        <v>35000.0</v>
      </c>
      <c r="G210" s="2" t="s">
        <v>209</v>
      </c>
    </row>
    <row r="211">
      <c r="C211" s="1">
        <v>35000.0</v>
      </c>
      <c r="G211" s="2" t="s">
        <v>210</v>
      </c>
    </row>
    <row r="212">
      <c r="C212" s="1">
        <v>35000.0</v>
      </c>
      <c r="G212" s="2" t="s">
        <v>211</v>
      </c>
    </row>
    <row r="213">
      <c r="C213" s="1">
        <v>35000.0</v>
      </c>
      <c r="G213" s="2" t="s">
        <v>212</v>
      </c>
    </row>
    <row r="214">
      <c r="C214" s="1">
        <v>35000.0</v>
      </c>
      <c r="G214" s="2" t="s">
        <v>213</v>
      </c>
    </row>
    <row r="215">
      <c r="C215" s="1">
        <v>35000.0</v>
      </c>
      <c r="G215" s="2" t="s">
        <v>214</v>
      </c>
    </row>
    <row r="216">
      <c r="C216" s="1">
        <v>35000.0</v>
      </c>
      <c r="G216" s="2" t="s">
        <v>215</v>
      </c>
    </row>
    <row r="217">
      <c r="C217" s="1">
        <v>35000.0</v>
      </c>
      <c r="G217" s="2" t="s">
        <v>216</v>
      </c>
    </row>
    <row r="218">
      <c r="C218" s="1">
        <v>35000.0</v>
      </c>
      <c r="G218" s="2" t="s">
        <v>217</v>
      </c>
    </row>
    <row r="219">
      <c r="C219" s="1">
        <v>35000.0</v>
      </c>
      <c r="G219" s="2" t="s">
        <v>218</v>
      </c>
    </row>
    <row r="220">
      <c r="C220" s="1">
        <v>35000.0</v>
      </c>
      <c r="G220" s="2" t="s">
        <v>219</v>
      </c>
    </row>
    <row r="221">
      <c r="C221" s="1">
        <v>35000.0</v>
      </c>
      <c r="G221" s="2" t="s">
        <v>220</v>
      </c>
    </row>
    <row r="222">
      <c r="C222" s="1">
        <v>35000.0</v>
      </c>
      <c r="G222" s="2" t="s">
        <v>221</v>
      </c>
    </row>
    <row r="223">
      <c r="C223" s="1">
        <v>35000.0</v>
      </c>
      <c r="G223" s="2" t="s">
        <v>222</v>
      </c>
    </row>
    <row r="224">
      <c r="C224" s="1">
        <v>35000.0</v>
      </c>
      <c r="G224" s="2" t="s">
        <v>223</v>
      </c>
    </row>
    <row r="225">
      <c r="C225" s="1">
        <v>35000.0</v>
      </c>
      <c r="G225" s="2" t="s">
        <v>224</v>
      </c>
    </row>
    <row r="226">
      <c r="C226" s="1">
        <v>35000.0</v>
      </c>
      <c r="G226" s="2" t="s">
        <v>225</v>
      </c>
    </row>
    <row r="227">
      <c r="C227" s="1">
        <v>35000.0</v>
      </c>
      <c r="G227" s="2" t="s">
        <v>226</v>
      </c>
    </row>
    <row r="228">
      <c r="C228" s="1">
        <v>35000.0</v>
      </c>
      <c r="G228" s="2" t="s">
        <v>227</v>
      </c>
    </row>
    <row r="229">
      <c r="C229" s="1">
        <v>35000.0</v>
      </c>
      <c r="G229" s="2" t="s">
        <v>228</v>
      </c>
    </row>
    <row r="230">
      <c r="C230" s="1">
        <v>35000.0</v>
      </c>
      <c r="G230" s="2" t="s">
        <v>229</v>
      </c>
    </row>
    <row r="231">
      <c r="C231" s="1">
        <v>35000.0</v>
      </c>
      <c r="G231" s="2" t="s">
        <v>230</v>
      </c>
    </row>
    <row r="232">
      <c r="C232" s="1">
        <v>35000.0</v>
      </c>
      <c r="G232" s="2" t="s">
        <v>231</v>
      </c>
    </row>
    <row r="233">
      <c r="C233" s="1">
        <v>35000.0</v>
      </c>
      <c r="G233" s="2" t="s">
        <v>232</v>
      </c>
    </row>
    <row r="234">
      <c r="C234" s="1">
        <v>35000.0</v>
      </c>
      <c r="G234" s="2" t="s">
        <v>233</v>
      </c>
    </row>
    <row r="235">
      <c r="C235" s="1">
        <v>35000.0</v>
      </c>
      <c r="G235" s="2" t="s">
        <v>234</v>
      </c>
    </row>
    <row r="236">
      <c r="C236" s="1">
        <v>35000.0</v>
      </c>
      <c r="G236" s="2" t="s">
        <v>235</v>
      </c>
    </row>
    <row r="237">
      <c r="C237" s="1">
        <v>35000.0</v>
      </c>
      <c r="G237" s="2" t="s">
        <v>236</v>
      </c>
    </row>
    <row r="238">
      <c r="C238" s="1">
        <v>35000.0</v>
      </c>
      <c r="G238" s="2" t="s">
        <v>237</v>
      </c>
    </row>
    <row r="239">
      <c r="C239" s="1">
        <v>35000.0</v>
      </c>
      <c r="G239" s="2" t="s">
        <v>238</v>
      </c>
    </row>
    <row r="240">
      <c r="C240" s="1">
        <v>35000.0</v>
      </c>
      <c r="G240" s="2" t="s">
        <v>239</v>
      </c>
    </row>
    <row r="241">
      <c r="C241" s="1">
        <v>35000.0</v>
      </c>
      <c r="G241" s="2" t="s">
        <v>240</v>
      </c>
    </row>
    <row r="242">
      <c r="C242" s="1">
        <v>35000.0</v>
      </c>
      <c r="G242" s="2" t="s">
        <v>241</v>
      </c>
    </row>
    <row r="243">
      <c r="C243" s="1">
        <v>35000.0</v>
      </c>
      <c r="G243" s="2" t="s">
        <v>242</v>
      </c>
    </row>
    <row r="244">
      <c r="C244" s="1">
        <v>35000.0</v>
      </c>
      <c r="G244" s="2" t="s">
        <v>243</v>
      </c>
    </row>
    <row r="245">
      <c r="C245" s="1">
        <v>35000.0</v>
      </c>
      <c r="G245" s="2" t="s">
        <v>244</v>
      </c>
    </row>
    <row r="246">
      <c r="C246" s="1">
        <v>35000.0</v>
      </c>
      <c r="G246" s="2" t="s">
        <v>245</v>
      </c>
    </row>
    <row r="247">
      <c r="C247" s="1">
        <v>35000.0</v>
      </c>
      <c r="G247" s="2" t="s">
        <v>246</v>
      </c>
    </row>
    <row r="248">
      <c r="C248" s="1">
        <v>35000.0</v>
      </c>
      <c r="G248" s="2" t="s">
        <v>247</v>
      </c>
    </row>
    <row r="249">
      <c r="C249" s="1">
        <v>35000.0</v>
      </c>
      <c r="G249" s="2" t="s">
        <v>248</v>
      </c>
    </row>
    <row r="250">
      <c r="C250" s="1">
        <v>35000.0</v>
      </c>
      <c r="G250" s="2" t="s">
        <v>249</v>
      </c>
    </row>
    <row r="251">
      <c r="C251" s="1">
        <v>35000.0</v>
      </c>
      <c r="G251" s="2" t="s">
        <v>250</v>
      </c>
    </row>
    <row r="252">
      <c r="C252" s="1">
        <v>35000.0</v>
      </c>
      <c r="G252" s="2" t="s">
        <v>251</v>
      </c>
    </row>
    <row r="253">
      <c r="C253" s="1">
        <v>35000.0</v>
      </c>
      <c r="G253" s="2" t="s">
        <v>252</v>
      </c>
    </row>
    <row r="254">
      <c r="C254" s="1">
        <v>35000.0</v>
      </c>
      <c r="G254" s="2" t="s">
        <v>253</v>
      </c>
    </row>
    <row r="255">
      <c r="C255" s="1">
        <v>35000.0</v>
      </c>
      <c r="G255" s="2" t="s">
        <v>254</v>
      </c>
    </row>
    <row r="256">
      <c r="C256" s="1">
        <v>35000.0</v>
      </c>
      <c r="G256" s="2" t="s">
        <v>255</v>
      </c>
    </row>
    <row r="257">
      <c r="C257" s="1">
        <v>35000.0</v>
      </c>
      <c r="G257" s="2" t="s">
        <v>256</v>
      </c>
    </row>
    <row r="258">
      <c r="C258" s="1">
        <v>35000.0</v>
      </c>
      <c r="G258" s="2" t="s">
        <v>257</v>
      </c>
    </row>
    <row r="259">
      <c r="C259" s="1">
        <v>35000.0</v>
      </c>
      <c r="G259" s="2" t="s">
        <v>258</v>
      </c>
    </row>
    <row r="260">
      <c r="C260" s="1">
        <v>35000.0</v>
      </c>
      <c r="G260" s="2" t="s">
        <v>259</v>
      </c>
    </row>
    <row r="261">
      <c r="C261" s="1">
        <v>35000.0</v>
      </c>
      <c r="G261" s="2" t="s">
        <v>260</v>
      </c>
    </row>
    <row r="262">
      <c r="C262" s="1">
        <v>35000.0</v>
      </c>
      <c r="G262" s="2" t="s">
        <v>261</v>
      </c>
    </row>
    <row r="263">
      <c r="C263" s="1">
        <v>35000.0</v>
      </c>
      <c r="G263" s="2" t="s">
        <v>262</v>
      </c>
    </row>
    <row r="264">
      <c r="C264" s="1">
        <v>35000.0</v>
      </c>
      <c r="G264" s="2" t="s">
        <v>263</v>
      </c>
    </row>
    <row r="265">
      <c r="C265" s="1">
        <v>35000.0</v>
      </c>
      <c r="G265" s="2" t="s">
        <v>264</v>
      </c>
    </row>
    <row r="266">
      <c r="C266" s="1">
        <v>35000.0</v>
      </c>
      <c r="G266" s="2" t="s">
        <v>265</v>
      </c>
    </row>
    <row r="267">
      <c r="C267" s="1">
        <v>35000.0</v>
      </c>
      <c r="G267" s="2" t="s">
        <v>266</v>
      </c>
    </row>
    <row r="268">
      <c r="C268" s="1">
        <v>35000.0</v>
      </c>
      <c r="G268" s="2" t="s">
        <v>267</v>
      </c>
    </row>
    <row r="269">
      <c r="C269" s="1">
        <v>35000.0</v>
      </c>
      <c r="G269" s="2" t="s">
        <v>268</v>
      </c>
    </row>
    <row r="270">
      <c r="C270" s="1">
        <v>35000.0</v>
      </c>
      <c r="G270" s="2" t="s">
        <v>269</v>
      </c>
    </row>
    <row r="271">
      <c r="C271" s="1">
        <v>35000.0</v>
      </c>
      <c r="G271" s="2" t="s">
        <v>270</v>
      </c>
    </row>
    <row r="272">
      <c r="C272" s="1">
        <v>35000.0</v>
      </c>
      <c r="G272" s="2" t="s">
        <v>271</v>
      </c>
    </row>
    <row r="273">
      <c r="C273" s="1">
        <v>35000.0</v>
      </c>
      <c r="G273" s="2" t="s">
        <v>272</v>
      </c>
    </row>
    <row r="274">
      <c r="C274" s="1">
        <v>35000.0</v>
      </c>
      <c r="G274" s="2" t="s">
        <v>273</v>
      </c>
    </row>
    <row r="275">
      <c r="C275" s="1">
        <v>35000.0</v>
      </c>
      <c r="G275" s="2" t="s">
        <v>274</v>
      </c>
    </row>
    <row r="276">
      <c r="C276" s="1">
        <v>35000.0</v>
      </c>
      <c r="G276" s="2" t="s">
        <v>275</v>
      </c>
    </row>
    <row r="277">
      <c r="C277" s="1">
        <v>35000.0</v>
      </c>
      <c r="G277" s="2" t="s">
        <v>276</v>
      </c>
    </row>
    <row r="278">
      <c r="C278" s="1">
        <v>35000.0</v>
      </c>
      <c r="G278" s="2" t="s">
        <v>277</v>
      </c>
    </row>
    <row r="279">
      <c r="C279" s="1">
        <v>35000.0</v>
      </c>
      <c r="G279" s="2" t="s">
        <v>278</v>
      </c>
    </row>
    <row r="280">
      <c r="C280" s="1">
        <v>35000.0</v>
      </c>
      <c r="G280" s="2" t="s">
        <v>279</v>
      </c>
    </row>
    <row r="281">
      <c r="C281" s="1">
        <v>35000.0</v>
      </c>
      <c r="G281" s="2" t="s">
        <v>280</v>
      </c>
    </row>
    <row r="282">
      <c r="C282" s="1">
        <v>35000.0</v>
      </c>
      <c r="G282" s="2" t="s">
        <v>281</v>
      </c>
    </row>
    <row r="283">
      <c r="C283" s="1">
        <v>35000.0</v>
      </c>
      <c r="G283" s="2" t="s">
        <v>282</v>
      </c>
    </row>
    <row r="284">
      <c r="C284" s="1">
        <v>35000.0</v>
      </c>
      <c r="G284" s="2" t="s">
        <v>283</v>
      </c>
    </row>
    <row r="285">
      <c r="C285" s="1">
        <v>35000.0</v>
      </c>
      <c r="G285" s="2" t="s">
        <v>284</v>
      </c>
    </row>
    <row r="286">
      <c r="C286" s="1">
        <v>35000.0</v>
      </c>
      <c r="G286" s="2" t="s">
        <v>285</v>
      </c>
    </row>
    <row r="287">
      <c r="C287" s="1">
        <v>35000.0</v>
      </c>
      <c r="G287" s="2" t="s">
        <v>286</v>
      </c>
    </row>
    <row r="288">
      <c r="C288" s="1">
        <v>35000.0</v>
      </c>
      <c r="G288" s="2" t="s">
        <v>287</v>
      </c>
    </row>
    <row r="289">
      <c r="C289" s="1">
        <v>35000.0</v>
      </c>
      <c r="G289" s="2" t="s">
        <v>288</v>
      </c>
    </row>
    <row r="290">
      <c r="C290" s="1">
        <v>35000.0</v>
      </c>
      <c r="G290" s="2" t="s">
        <v>289</v>
      </c>
    </row>
    <row r="291">
      <c r="C291" s="1">
        <v>35000.0</v>
      </c>
      <c r="G291" s="2" t="s">
        <v>290</v>
      </c>
    </row>
    <row r="292">
      <c r="C292" s="1">
        <v>35000.0</v>
      </c>
      <c r="G292" s="2" t="s">
        <v>291</v>
      </c>
    </row>
    <row r="293">
      <c r="C293" s="1">
        <v>35000.0</v>
      </c>
      <c r="G293" s="2" t="s">
        <v>292</v>
      </c>
    </row>
    <row r="294">
      <c r="C294" s="1">
        <v>35000.0</v>
      </c>
      <c r="G294" s="2" t="s">
        <v>293</v>
      </c>
    </row>
    <row r="295">
      <c r="C295" s="1">
        <v>35000.0</v>
      </c>
      <c r="G295" s="2" t="s">
        <v>294</v>
      </c>
    </row>
    <row r="296">
      <c r="C296" s="1">
        <v>35000.0</v>
      </c>
      <c r="G296" s="2" t="s">
        <v>295</v>
      </c>
    </row>
    <row r="297">
      <c r="C297" s="1">
        <v>35000.0</v>
      </c>
      <c r="G297" s="2" t="s">
        <v>296</v>
      </c>
    </row>
    <row r="298">
      <c r="C298" s="1">
        <v>35000.0</v>
      </c>
      <c r="G298" s="2" t="s">
        <v>297</v>
      </c>
    </row>
    <row r="299">
      <c r="C299" s="1">
        <v>35000.0</v>
      </c>
      <c r="G299" s="2" t="s">
        <v>298</v>
      </c>
    </row>
    <row r="300">
      <c r="C300" s="1">
        <v>35000.0</v>
      </c>
      <c r="G300" s="2" t="s">
        <v>299</v>
      </c>
    </row>
    <row r="301">
      <c r="C301" s="1">
        <v>35000.0</v>
      </c>
      <c r="G301" s="2" t="s">
        <v>300</v>
      </c>
    </row>
    <row r="302">
      <c r="C302" s="1">
        <v>35000.0</v>
      </c>
      <c r="G302" s="2" t="s">
        <v>301</v>
      </c>
    </row>
    <row r="303">
      <c r="C303" s="1">
        <v>35000.0</v>
      </c>
      <c r="G303" s="2" t="s">
        <v>302</v>
      </c>
    </row>
    <row r="304">
      <c r="C304" s="1">
        <v>35000.0</v>
      </c>
      <c r="G304" s="2" t="s">
        <v>303</v>
      </c>
    </row>
    <row r="305">
      <c r="C305" s="1">
        <v>35000.0</v>
      </c>
      <c r="G305" s="2" t="s">
        <v>304</v>
      </c>
    </row>
    <row r="306">
      <c r="C306" s="1">
        <v>35000.0</v>
      </c>
      <c r="G306" s="2" t="s">
        <v>305</v>
      </c>
    </row>
    <row r="307">
      <c r="C307" s="1">
        <v>35000.0</v>
      </c>
      <c r="G307" s="2" t="s">
        <v>306</v>
      </c>
    </row>
    <row r="308">
      <c r="C308" s="1">
        <v>35000.0</v>
      </c>
      <c r="G308" s="2" t="s">
        <v>307</v>
      </c>
    </row>
    <row r="309">
      <c r="C309" s="1">
        <v>35000.0</v>
      </c>
      <c r="G309" s="2" t="s">
        <v>308</v>
      </c>
    </row>
    <row r="310">
      <c r="C310" s="1">
        <v>35000.0</v>
      </c>
      <c r="G310" s="2" t="s">
        <v>309</v>
      </c>
    </row>
    <row r="311">
      <c r="C311" s="1">
        <v>35000.0</v>
      </c>
      <c r="G311" s="2" t="s">
        <v>310</v>
      </c>
    </row>
    <row r="312">
      <c r="C312" s="1">
        <v>35000.0</v>
      </c>
      <c r="G312" s="2" t="s">
        <v>311</v>
      </c>
    </row>
    <row r="313">
      <c r="C313" s="1">
        <v>35000.0</v>
      </c>
      <c r="G313" s="2" t="s">
        <v>312</v>
      </c>
    </row>
    <row r="314">
      <c r="C314" s="1">
        <v>35000.0</v>
      </c>
      <c r="G314" s="2" t="s">
        <v>313</v>
      </c>
    </row>
    <row r="315">
      <c r="C315" s="1">
        <v>35000.0</v>
      </c>
      <c r="G315" s="2" t="s">
        <v>314</v>
      </c>
    </row>
    <row r="316">
      <c r="C316" s="1">
        <v>35000.0</v>
      </c>
      <c r="G316" s="2" t="s">
        <v>315</v>
      </c>
    </row>
    <row r="317">
      <c r="C317" s="1">
        <v>35000.0</v>
      </c>
      <c r="G317" s="2" t="s">
        <v>316</v>
      </c>
    </row>
    <row r="318">
      <c r="C318" s="1">
        <v>35000.0</v>
      </c>
      <c r="G318" s="2" t="s">
        <v>317</v>
      </c>
    </row>
    <row r="319">
      <c r="C319" s="1">
        <v>35000.0</v>
      </c>
      <c r="G319" s="2" t="s">
        <v>318</v>
      </c>
    </row>
    <row r="320">
      <c r="C320" s="1">
        <v>35000.0</v>
      </c>
      <c r="G320" s="2" t="s">
        <v>319</v>
      </c>
    </row>
    <row r="321">
      <c r="C321" s="1">
        <v>35000.0</v>
      </c>
      <c r="G321" s="2" t="s">
        <v>320</v>
      </c>
    </row>
    <row r="322">
      <c r="C322" s="1">
        <v>35000.0</v>
      </c>
      <c r="G322" s="2" t="s">
        <v>321</v>
      </c>
    </row>
    <row r="323">
      <c r="C323" s="1">
        <v>35000.0</v>
      </c>
      <c r="G323" s="2" t="s">
        <v>322</v>
      </c>
    </row>
    <row r="324">
      <c r="C324" s="1">
        <v>35000.0</v>
      </c>
      <c r="G324" s="2" t="s">
        <v>323</v>
      </c>
    </row>
    <row r="325">
      <c r="C325" s="1">
        <v>35000.0</v>
      </c>
      <c r="G325" s="2" t="s">
        <v>324</v>
      </c>
    </row>
    <row r="326">
      <c r="C326" s="1">
        <v>35000.0</v>
      </c>
      <c r="G326" s="2" t="s">
        <v>325</v>
      </c>
    </row>
    <row r="327">
      <c r="C327" s="1">
        <v>35000.0</v>
      </c>
      <c r="G327" s="2" t="s">
        <v>326</v>
      </c>
    </row>
    <row r="328">
      <c r="C328" s="1">
        <v>35000.0</v>
      </c>
      <c r="G328" s="2" t="s">
        <v>327</v>
      </c>
    </row>
    <row r="329">
      <c r="C329" s="1">
        <v>35000.0</v>
      </c>
      <c r="G329" s="2" t="s">
        <v>328</v>
      </c>
    </row>
    <row r="330">
      <c r="C330" s="1">
        <v>35000.0</v>
      </c>
      <c r="G330" s="2" t="s">
        <v>329</v>
      </c>
    </row>
    <row r="331">
      <c r="C331" s="1">
        <v>35000.0</v>
      </c>
      <c r="G331" s="2" t="s">
        <v>330</v>
      </c>
    </row>
    <row r="332">
      <c r="C332" s="1">
        <v>35000.0</v>
      </c>
      <c r="G332" s="2" t="s">
        <v>331</v>
      </c>
    </row>
    <row r="333">
      <c r="C333" s="1">
        <v>35000.0</v>
      </c>
      <c r="G333" s="2" t="s">
        <v>332</v>
      </c>
    </row>
    <row r="334">
      <c r="C334" s="1">
        <v>35000.0</v>
      </c>
      <c r="G334" s="2" t="s">
        <v>333</v>
      </c>
    </row>
    <row r="335">
      <c r="C335" s="1">
        <v>35000.0</v>
      </c>
      <c r="G335" s="2" t="s">
        <v>334</v>
      </c>
    </row>
    <row r="336">
      <c r="C336" s="1">
        <v>35000.0</v>
      </c>
      <c r="G336" s="2" t="s">
        <v>335</v>
      </c>
    </row>
    <row r="337">
      <c r="C337" s="1">
        <v>35000.0</v>
      </c>
      <c r="G337" s="2" t="s">
        <v>336</v>
      </c>
    </row>
    <row r="338">
      <c r="C338" s="1">
        <v>35000.0</v>
      </c>
      <c r="G338" s="2" t="s">
        <v>337</v>
      </c>
    </row>
    <row r="339">
      <c r="C339" s="1">
        <v>35000.0</v>
      </c>
      <c r="G339" s="2" t="s">
        <v>338</v>
      </c>
    </row>
    <row r="340">
      <c r="C340" s="1">
        <v>35000.0</v>
      </c>
      <c r="G340" s="2" t="s">
        <v>339</v>
      </c>
    </row>
    <row r="341">
      <c r="C341" s="1">
        <v>35000.0</v>
      </c>
      <c r="G341" s="2" t="s">
        <v>340</v>
      </c>
    </row>
    <row r="342">
      <c r="C342" s="1">
        <v>35000.0</v>
      </c>
      <c r="G342" s="2" t="s">
        <v>341</v>
      </c>
    </row>
    <row r="343">
      <c r="C343" s="1">
        <v>35000.0</v>
      </c>
      <c r="G343" s="2" t="s">
        <v>342</v>
      </c>
    </row>
    <row r="344">
      <c r="C344" s="1">
        <v>35000.0</v>
      </c>
      <c r="G344" s="2" t="s">
        <v>343</v>
      </c>
    </row>
    <row r="345">
      <c r="C345" s="1">
        <v>35000.0</v>
      </c>
      <c r="G345" s="2" t="s">
        <v>344</v>
      </c>
    </row>
    <row r="346">
      <c r="C346" s="1">
        <v>35000.0</v>
      </c>
      <c r="G346" s="2" t="s">
        <v>345</v>
      </c>
    </row>
    <row r="347">
      <c r="C347" s="1">
        <v>35000.0</v>
      </c>
      <c r="G347" s="2" t="s">
        <v>346</v>
      </c>
    </row>
    <row r="348">
      <c r="C348" s="1">
        <v>35000.0</v>
      </c>
      <c r="G348" s="2" t="s">
        <v>347</v>
      </c>
    </row>
    <row r="349">
      <c r="C349" s="1">
        <v>35000.0</v>
      </c>
      <c r="G349" s="2" t="s">
        <v>348</v>
      </c>
    </row>
    <row r="350">
      <c r="C350" s="1">
        <v>35000.0</v>
      </c>
      <c r="G350" s="2" t="s">
        <v>349</v>
      </c>
    </row>
    <row r="351">
      <c r="C351" s="1">
        <v>35000.0</v>
      </c>
      <c r="G351" s="2" t="s">
        <v>350</v>
      </c>
    </row>
    <row r="352">
      <c r="C352" s="1">
        <v>35000.0</v>
      </c>
      <c r="G352" s="2" t="s">
        <v>351</v>
      </c>
    </row>
    <row r="353">
      <c r="C353" s="1">
        <v>35000.0</v>
      </c>
      <c r="G353" s="2" t="s">
        <v>352</v>
      </c>
    </row>
    <row r="354">
      <c r="C354" s="1">
        <v>35000.0</v>
      </c>
      <c r="G354" s="2" t="s">
        <v>353</v>
      </c>
    </row>
    <row r="355">
      <c r="C355" s="1">
        <v>35000.0</v>
      </c>
      <c r="G355" s="2" t="s">
        <v>354</v>
      </c>
    </row>
    <row r="356">
      <c r="C356" s="1">
        <v>35000.0</v>
      </c>
      <c r="G356" s="2" t="s">
        <v>355</v>
      </c>
    </row>
    <row r="357">
      <c r="C357" s="1">
        <v>35000.0</v>
      </c>
      <c r="G357" s="2" t="s">
        <v>356</v>
      </c>
    </row>
    <row r="358">
      <c r="C358" s="1">
        <v>35000.0</v>
      </c>
      <c r="G358" s="2" t="s">
        <v>357</v>
      </c>
    </row>
    <row r="359">
      <c r="C359" s="1">
        <v>35000.0</v>
      </c>
      <c r="G359" s="2" t="s">
        <v>358</v>
      </c>
    </row>
    <row r="360">
      <c r="C360" s="1">
        <v>35000.0</v>
      </c>
      <c r="G360" s="2" t="s">
        <v>359</v>
      </c>
    </row>
    <row r="361">
      <c r="C361" s="1">
        <v>35000.0</v>
      </c>
      <c r="G361" s="2" t="s">
        <v>360</v>
      </c>
    </row>
    <row r="362">
      <c r="C362" s="1">
        <v>35000.0</v>
      </c>
      <c r="G362" s="2" t="s">
        <v>361</v>
      </c>
    </row>
    <row r="363">
      <c r="C363" s="1">
        <v>35000.0</v>
      </c>
      <c r="G363" s="2" t="s">
        <v>362</v>
      </c>
    </row>
    <row r="364">
      <c r="C364" s="1">
        <v>35000.0</v>
      </c>
      <c r="G364" s="2" t="s">
        <v>363</v>
      </c>
    </row>
    <row r="365">
      <c r="C365" s="1">
        <v>35000.0</v>
      </c>
      <c r="G365" s="2" t="s">
        <v>364</v>
      </c>
    </row>
    <row r="366">
      <c r="C366" s="1">
        <v>35000.0</v>
      </c>
      <c r="G366" s="2" t="s">
        <v>365</v>
      </c>
    </row>
    <row r="367">
      <c r="C367" s="1">
        <v>35000.0</v>
      </c>
      <c r="G367" s="2" t="s">
        <v>366</v>
      </c>
    </row>
    <row r="368">
      <c r="C368" s="1">
        <v>35000.0</v>
      </c>
      <c r="G368" s="2" t="s">
        <v>367</v>
      </c>
    </row>
    <row r="369">
      <c r="C369" s="1">
        <v>35000.0</v>
      </c>
      <c r="G369" s="2" t="s">
        <v>368</v>
      </c>
    </row>
    <row r="370">
      <c r="C370" s="1">
        <v>35000.0</v>
      </c>
      <c r="G370" s="2" t="s">
        <v>369</v>
      </c>
    </row>
    <row r="371">
      <c r="C371" s="1">
        <v>35000.0</v>
      </c>
      <c r="G371" s="2" t="s">
        <v>370</v>
      </c>
    </row>
    <row r="372">
      <c r="C372" s="1">
        <v>35000.0</v>
      </c>
      <c r="G372" s="2" t="s">
        <v>371</v>
      </c>
    </row>
    <row r="373">
      <c r="C373" s="1">
        <v>35000.0</v>
      </c>
      <c r="G373" s="2" t="s">
        <v>372</v>
      </c>
    </row>
    <row r="374">
      <c r="C374" s="1">
        <v>35000.0</v>
      </c>
      <c r="G374" s="2" t="s">
        <v>373</v>
      </c>
    </row>
    <row r="375">
      <c r="C375" s="1">
        <v>35000.0</v>
      </c>
      <c r="G375" s="2" t="s">
        <v>374</v>
      </c>
    </row>
    <row r="376">
      <c r="C376" s="1">
        <v>35000.0</v>
      </c>
      <c r="G376" s="2" t="s">
        <v>375</v>
      </c>
    </row>
    <row r="377">
      <c r="C377" s="1">
        <v>35000.0</v>
      </c>
      <c r="G377" s="2" t="s">
        <v>376</v>
      </c>
    </row>
    <row r="378">
      <c r="C378" s="1">
        <v>35000.0</v>
      </c>
      <c r="G378" s="2" t="s">
        <v>377</v>
      </c>
    </row>
    <row r="379">
      <c r="C379" s="1">
        <v>35000.0</v>
      </c>
      <c r="G379" s="2" t="s">
        <v>378</v>
      </c>
    </row>
    <row r="380">
      <c r="C380" s="1">
        <v>35000.0</v>
      </c>
      <c r="G380" s="2" t="s">
        <v>379</v>
      </c>
    </row>
    <row r="381">
      <c r="C381" s="1">
        <v>35000.0</v>
      </c>
      <c r="G381" s="2" t="s">
        <v>380</v>
      </c>
    </row>
    <row r="382">
      <c r="C382" s="1">
        <v>35000.0</v>
      </c>
      <c r="G382" s="2" t="s">
        <v>381</v>
      </c>
    </row>
    <row r="383">
      <c r="C383" s="1">
        <v>35000.0</v>
      </c>
      <c r="G383" s="2" t="s">
        <v>382</v>
      </c>
    </row>
    <row r="384">
      <c r="C384" s="1">
        <v>35000.0</v>
      </c>
      <c r="G384" s="2" t="s">
        <v>383</v>
      </c>
    </row>
    <row r="385">
      <c r="C385" s="1">
        <v>35000.0</v>
      </c>
      <c r="G385" s="2" t="s">
        <v>384</v>
      </c>
    </row>
    <row r="386">
      <c r="C386" s="1">
        <v>35000.0</v>
      </c>
      <c r="G386" s="2" t="s">
        <v>385</v>
      </c>
    </row>
    <row r="387">
      <c r="C387" s="1">
        <v>35000.0</v>
      </c>
      <c r="G387" s="2" t="s">
        <v>386</v>
      </c>
    </row>
    <row r="388">
      <c r="C388" s="1">
        <v>35000.0</v>
      </c>
      <c r="G388" s="2" t="s">
        <v>387</v>
      </c>
    </row>
    <row r="389">
      <c r="C389" s="1">
        <v>35000.0</v>
      </c>
      <c r="G389" s="2" t="s">
        <v>388</v>
      </c>
    </row>
    <row r="390">
      <c r="C390" s="1">
        <v>35000.0</v>
      </c>
      <c r="G390" s="2" t="s">
        <v>389</v>
      </c>
    </row>
    <row r="391">
      <c r="C391" s="1">
        <v>35000.0</v>
      </c>
      <c r="G391" s="2" t="s">
        <v>390</v>
      </c>
    </row>
    <row r="392">
      <c r="C392" s="1">
        <v>35000.0</v>
      </c>
      <c r="G392" s="2" t="s">
        <v>391</v>
      </c>
    </row>
    <row r="393">
      <c r="C393" s="1">
        <v>35000.0</v>
      </c>
      <c r="G393" s="2" t="s">
        <v>392</v>
      </c>
    </row>
    <row r="394">
      <c r="C394" s="1">
        <v>35000.0</v>
      </c>
      <c r="G394" s="2" t="s">
        <v>393</v>
      </c>
    </row>
    <row r="395">
      <c r="C395" s="1">
        <v>35000.0</v>
      </c>
      <c r="G395" s="2" t="s">
        <v>394</v>
      </c>
    </row>
    <row r="396">
      <c r="C396" s="1">
        <v>35000.0</v>
      </c>
      <c r="G396" s="2" t="s">
        <v>395</v>
      </c>
    </row>
    <row r="397">
      <c r="C397" s="1">
        <v>35000.0</v>
      </c>
      <c r="G397" s="2" t="s">
        <v>396</v>
      </c>
    </row>
    <row r="398">
      <c r="C398" s="1">
        <v>35000.0</v>
      </c>
      <c r="G398" s="2" t="s">
        <v>397</v>
      </c>
    </row>
    <row r="399">
      <c r="C399" s="1">
        <v>35000.0</v>
      </c>
      <c r="G399" s="2" t="s">
        <v>398</v>
      </c>
    </row>
    <row r="400">
      <c r="C400" s="1">
        <v>35000.0</v>
      </c>
      <c r="G400" s="2" t="s">
        <v>399</v>
      </c>
    </row>
    <row r="401">
      <c r="C401" s="1">
        <v>35000.0</v>
      </c>
      <c r="G401" s="2" t="s">
        <v>400</v>
      </c>
    </row>
    <row r="402">
      <c r="C402" s="1">
        <v>35000.0</v>
      </c>
      <c r="G402" s="2" t="s">
        <v>401</v>
      </c>
    </row>
    <row r="403">
      <c r="C403" s="1">
        <v>35000.0</v>
      </c>
      <c r="G403" s="2" t="s">
        <v>402</v>
      </c>
    </row>
    <row r="404">
      <c r="C404" s="1">
        <v>35000.0</v>
      </c>
      <c r="G404" s="2" t="s">
        <v>403</v>
      </c>
    </row>
    <row r="405">
      <c r="C405" s="1">
        <v>35000.0</v>
      </c>
      <c r="G405" s="2" t="s">
        <v>404</v>
      </c>
    </row>
    <row r="406">
      <c r="C406" s="1">
        <v>35000.0</v>
      </c>
      <c r="G406" s="2" t="s">
        <v>405</v>
      </c>
    </row>
    <row r="407">
      <c r="C407" s="1">
        <v>35000.0</v>
      </c>
      <c r="G407" s="2" t="s">
        <v>406</v>
      </c>
    </row>
    <row r="408">
      <c r="C408" s="1">
        <v>35000.0</v>
      </c>
      <c r="G408" s="2" t="s">
        <v>407</v>
      </c>
    </row>
    <row r="409">
      <c r="C409" s="1">
        <v>35000.0</v>
      </c>
      <c r="G409" s="2" t="s">
        <v>408</v>
      </c>
    </row>
    <row r="410">
      <c r="C410" s="1">
        <v>35000.0</v>
      </c>
      <c r="G410" s="2" t="s">
        <v>409</v>
      </c>
    </row>
    <row r="411">
      <c r="C411" s="1">
        <v>35000.0</v>
      </c>
      <c r="G411" s="2" t="s">
        <v>410</v>
      </c>
    </row>
    <row r="412">
      <c r="C412" s="1">
        <v>35000.0</v>
      </c>
      <c r="G412" s="2" t="s">
        <v>411</v>
      </c>
    </row>
    <row r="413">
      <c r="C413" s="1">
        <v>35000.0</v>
      </c>
      <c r="G413" s="2" t="s">
        <v>412</v>
      </c>
    </row>
    <row r="414">
      <c r="C414" s="1">
        <v>35000.0</v>
      </c>
      <c r="G414" s="2" t="s">
        <v>413</v>
      </c>
    </row>
    <row r="415">
      <c r="C415" s="1">
        <v>35000.0</v>
      </c>
      <c r="G415" s="2" t="s">
        <v>414</v>
      </c>
    </row>
    <row r="416">
      <c r="C416" s="1">
        <v>35000.0</v>
      </c>
      <c r="G416" s="2" t="s">
        <v>415</v>
      </c>
    </row>
    <row r="417">
      <c r="C417" s="1">
        <v>35000.0</v>
      </c>
      <c r="G417" s="2" t="s">
        <v>416</v>
      </c>
    </row>
    <row r="418">
      <c r="C418" s="1">
        <v>35000.0</v>
      </c>
      <c r="G418" s="2" t="s">
        <v>417</v>
      </c>
    </row>
    <row r="419">
      <c r="C419" s="1">
        <v>35000.0</v>
      </c>
      <c r="G419" s="2" t="s">
        <v>418</v>
      </c>
    </row>
    <row r="420">
      <c r="C420" s="1">
        <v>35000.0</v>
      </c>
      <c r="G420" s="2" t="s">
        <v>419</v>
      </c>
    </row>
    <row r="421">
      <c r="C421" s="1">
        <v>35000.0</v>
      </c>
      <c r="G421" s="2" t="s">
        <v>420</v>
      </c>
    </row>
    <row r="422">
      <c r="C422" s="1">
        <v>35000.0</v>
      </c>
      <c r="G422" s="2" t="s">
        <v>421</v>
      </c>
    </row>
    <row r="423">
      <c r="C423" s="1">
        <v>35000.0</v>
      </c>
      <c r="G423" s="2" t="s">
        <v>422</v>
      </c>
    </row>
    <row r="424">
      <c r="C424" s="1">
        <v>35000.0</v>
      </c>
      <c r="G424" s="2" t="s">
        <v>423</v>
      </c>
    </row>
    <row r="425">
      <c r="C425" s="1">
        <v>35000.0</v>
      </c>
      <c r="G425" s="2" t="s">
        <v>424</v>
      </c>
    </row>
    <row r="426">
      <c r="C426" s="1">
        <v>35000.0</v>
      </c>
      <c r="G426" s="2" t="s">
        <v>425</v>
      </c>
    </row>
    <row r="427">
      <c r="C427" s="1">
        <v>35000.0</v>
      </c>
      <c r="G427" s="2" t="s">
        <v>426</v>
      </c>
    </row>
    <row r="428">
      <c r="C428" s="1">
        <v>35000.0</v>
      </c>
      <c r="G428" s="2" t="s">
        <v>427</v>
      </c>
    </row>
    <row r="429">
      <c r="C429" s="1">
        <v>35000.0</v>
      </c>
      <c r="G429" s="2" t="s">
        <v>428</v>
      </c>
    </row>
    <row r="430">
      <c r="C430" s="1">
        <v>35000.0</v>
      </c>
      <c r="G430" s="2" t="s">
        <v>429</v>
      </c>
    </row>
    <row r="431">
      <c r="C431" s="1">
        <v>35000.0</v>
      </c>
      <c r="G431" s="2" t="s">
        <v>430</v>
      </c>
    </row>
    <row r="432">
      <c r="C432" s="1">
        <v>35000.0</v>
      </c>
      <c r="G432" s="2" t="s">
        <v>431</v>
      </c>
    </row>
    <row r="433">
      <c r="C433" s="1">
        <v>35000.0</v>
      </c>
      <c r="G433" s="2" t="s">
        <v>432</v>
      </c>
    </row>
    <row r="434">
      <c r="C434" s="1">
        <v>35000.0</v>
      </c>
      <c r="G434" s="2" t="s">
        <v>433</v>
      </c>
    </row>
    <row r="435">
      <c r="C435" s="1">
        <v>35000.0</v>
      </c>
      <c r="G435" s="2" t="s">
        <v>434</v>
      </c>
    </row>
    <row r="436">
      <c r="C436" s="1">
        <v>35000.0</v>
      </c>
      <c r="G436" s="2" t="s">
        <v>435</v>
      </c>
    </row>
    <row r="437">
      <c r="C437" s="1">
        <v>35000.0</v>
      </c>
      <c r="G437" s="2" t="s">
        <v>436</v>
      </c>
    </row>
    <row r="438">
      <c r="C438" s="1">
        <v>35000.0</v>
      </c>
      <c r="G438" s="2" t="s">
        <v>437</v>
      </c>
    </row>
    <row r="439">
      <c r="C439" s="1">
        <v>35000.0</v>
      </c>
      <c r="G439" s="2" t="s">
        <v>438</v>
      </c>
    </row>
    <row r="440">
      <c r="C440" s="1">
        <v>35000.0</v>
      </c>
      <c r="G440" s="2" t="s">
        <v>439</v>
      </c>
    </row>
    <row r="441">
      <c r="C441" s="1">
        <v>35000.0</v>
      </c>
      <c r="G441" s="2" t="s">
        <v>440</v>
      </c>
    </row>
    <row r="442">
      <c r="C442" s="1">
        <v>35000.0</v>
      </c>
      <c r="G442" s="2" t="s">
        <v>441</v>
      </c>
    </row>
    <row r="443">
      <c r="C443" s="1">
        <v>35000.0</v>
      </c>
      <c r="G443" s="2" t="s">
        <v>442</v>
      </c>
    </row>
    <row r="444">
      <c r="C444" s="1">
        <v>35000.0</v>
      </c>
      <c r="G444" s="2" t="s">
        <v>443</v>
      </c>
    </row>
    <row r="445">
      <c r="C445" s="1">
        <v>35000.0</v>
      </c>
      <c r="G445" s="2" t="s">
        <v>444</v>
      </c>
    </row>
    <row r="446">
      <c r="C446" s="1">
        <v>35000.0</v>
      </c>
      <c r="G446" s="2" t="s">
        <v>445</v>
      </c>
    </row>
    <row r="447">
      <c r="C447" s="1">
        <v>35000.0</v>
      </c>
      <c r="G447" s="2" t="s">
        <v>446</v>
      </c>
    </row>
    <row r="448">
      <c r="C448" s="1">
        <v>35000.0</v>
      </c>
      <c r="G448" s="2" t="s">
        <v>447</v>
      </c>
    </row>
    <row r="449">
      <c r="C449" s="1">
        <v>35000.0</v>
      </c>
      <c r="G449" s="2" t="s">
        <v>448</v>
      </c>
    </row>
    <row r="450">
      <c r="C450" s="1">
        <v>35000.0</v>
      </c>
      <c r="G450" s="2" t="s">
        <v>449</v>
      </c>
    </row>
    <row r="451">
      <c r="C451" s="1">
        <v>35000.0</v>
      </c>
      <c r="G451" s="2" t="s">
        <v>450</v>
      </c>
    </row>
    <row r="452">
      <c r="C452" s="1">
        <v>35000.0</v>
      </c>
      <c r="G452" s="2" t="s">
        <v>451</v>
      </c>
    </row>
    <row r="453">
      <c r="C453" s="1">
        <v>35000.0</v>
      </c>
      <c r="G453" s="2" t="s">
        <v>452</v>
      </c>
    </row>
    <row r="454">
      <c r="C454" s="1">
        <v>35000.0</v>
      </c>
      <c r="G454" s="2" t="s">
        <v>453</v>
      </c>
    </row>
    <row r="455">
      <c r="C455" s="1">
        <v>35000.0</v>
      </c>
      <c r="G455" s="2" t="s">
        <v>454</v>
      </c>
    </row>
    <row r="456">
      <c r="C456" s="1">
        <v>35000.0</v>
      </c>
      <c r="G456" s="2" t="s">
        <v>455</v>
      </c>
    </row>
    <row r="457">
      <c r="C457" s="1">
        <v>35000.0</v>
      </c>
      <c r="G457" s="2" t="s">
        <v>456</v>
      </c>
    </row>
    <row r="458">
      <c r="C458" s="1">
        <v>35000.0</v>
      </c>
      <c r="G458" s="2" t="s">
        <v>457</v>
      </c>
    </row>
    <row r="459">
      <c r="C459" s="1">
        <v>35000.0</v>
      </c>
      <c r="G459" s="2" t="s">
        <v>458</v>
      </c>
    </row>
    <row r="460">
      <c r="C460" s="1">
        <v>35000.0</v>
      </c>
      <c r="G460" s="2" t="s">
        <v>459</v>
      </c>
    </row>
    <row r="461">
      <c r="C461" s="1">
        <v>35000.0</v>
      </c>
      <c r="G461" s="2" t="s">
        <v>460</v>
      </c>
    </row>
    <row r="462">
      <c r="C462" s="1">
        <v>35000.0</v>
      </c>
      <c r="G462" s="2" t="s">
        <v>461</v>
      </c>
    </row>
    <row r="463">
      <c r="C463" s="1">
        <v>35000.0</v>
      </c>
      <c r="G463" s="2" t="s">
        <v>462</v>
      </c>
    </row>
    <row r="464">
      <c r="C464" s="1">
        <v>35000.0</v>
      </c>
      <c r="G464" s="2" t="s">
        <v>463</v>
      </c>
    </row>
    <row r="465">
      <c r="C465" s="1">
        <v>35000.0</v>
      </c>
      <c r="G465" s="2" t="s">
        <v>464</v>
      </c>
    </row>
    <row r="466">
      <c r="C466" s="1">
        <v>35000.0</v>
      </c>
      <c r="G466" s="2" t="s">
        <v>465</v>
      </c>
    </row>
    <row r="467">
      <c r="C467" s="1">
        <v>35000.0</v>
      </c>
      <c r="G467" s="2" t="s">
        <v>466</v>
      </c>
    </row>
    <row r="468">
      <c r="C468" s="1">
        <v>35000.0</v>
      </c>
      <c r="G468" s="2" t="s">
        <v>467</v>
      </c>
    </row>
    <row r="469">
      <c r="C469" s="1">
        <v>35000.0</v>
      </c>
      <c r="G469" s="2" t="s">
        <v>468</v>
      </c>
    </row>
    <row r="470">
      <c r="C470" s="1">
        <v>35000.0</v>
      </c>
      <c r="G470" s="2" t="s">
        <v>469</v>
      </c>
    </row>
    <row r="471">
      <c r="C471" s="1">
        <v>35000.0</v>
      </c>
      <c r="G471" s="2" t="s">
        <v>470</v>
      </c>
    </row>
    <row r="472">
      <c r="C472" s="1">
        <v>35000.0</v>
      </c>
      <c r="G472" s="2" t="s">
        <v>471</v>
      </c>
    </row>
    <row r="473">
      <c r="C473" s="1">
        <v>35000.0</v>
      </c>
      <c r="G473" s="2" t="s">
        <v>472</v>
      </c>
    </row>
    <row r="474">
      <c r="C474" s="1">
        <v>35000.0</v>
      </c>
      <c r="G474" s="2" t="s">
        <v>473</v>
      </c>
    </row>
    <row r="475">
      <c r="C475" s="1">
        <v>35000.0</v>
      </c>
      <c r="G475" s="2" t="s">
        <v>474</v>
      </c>
    </row>
    <row r="476">
      <c r="C476" s="1">
        <v>35000.0</v>
      </c>
      <c r="G476" s="2" t="s">
        <v>475</v>
      </c>
    </row>
    <row r="477">
      <c r="C477" s="1">
        <v>35000.0</v>
      </c>
      <c r="G477" s="2" t="s">
        <v>476</v>
      </c>
    </row>
    <row r="478">
      <c r="C478" s="1">
        <v>35000.0</v>
      </c>
      <c r="G478" s="2" t="s">
        <v>477</v>
      </c>
    </row>
    <row r="479">
      <c r="C479" s="1">
        <v>35000.0</v>
      </c>
      <c r="G479" s="2" t="s">
        <v>478</v>
      </c>
    </row>
    <row r="480">
      <c r="C480" s="1">
        <v>35000.0</v>
      </c>
      <c r="G480" s="2" t="s">
        <v>479</v>
      </c>
    </row>
    <row r="481">
      <c r="C481" s="1">
        <v>35000.0</v>
      </c>
      <c r="G481" s="2" t="s">
        <v>480</v>
      </c>
    </row>
    <row r="482">
      <c r="C482" s="1">
        <v>35000.0</v>
      </c>
      <c r="G482" s="2" t="s">
        <v>481</v>
      </c>
    </row>
    <row r="483">
      <c r="C483" s="1">
        <v>35000.0</v>
      </c>
      <c r="G483" s="2" t="s">
        <v>482</v>
      </c>
    </row>
    <row r="484">
      <c r="C484" s="1">
        <v>35000.0</v>
      </c>
      <c r="G484" s="2" t="s">
        <v>483</v>
      </c>
    </row>
    <row r="485">
      <c r="C485" s="1">
        <v>35000.0</v>
      </c>
      <c r="G485" s="2" t="s">
        <v>484</v>
      </c>
    </row>
    <row r="486">
      <c r="C486" s="1">
        <v>35000.0</v>
      </c>
      <c r="G486" s="2" t="s">
        <v>485</v>
      </c>
    </row>
    <row r="487">
      <c r="C487" s="1">
        <v>35000.0</v>
      </c>
      <c r="G487" s="2" t="s">
        <v>486</v>
      </c>
    </row>
    <row r="488">
      <c r="C488" s="1">
        <v>35000.0</v>
      </c>
      <c r="G488" s="2" t="s">
        <v>487</v>
      </c>
    </row>
    <row r="489">
      <c r="C489" s="1">
        <v>35000.0</v>
      </c>
      <c r="G489" s="2" t="s">
        <v>488</v>
      </c>
    </row>
    <row r="490">
      <c r="C490" s="1">
        <v>35000.0</v>
      </c>
      <c r="G490" s="2" t="s">
        <v>489</v>
      </c>
    </row>
    <row r="491">
      <c r="C491" s="1">
        <v>35000.0</v>
      </c>
      <c r="G491" s="2" t="s">
        <v>490</v>
      </c>
    </row>
    <row r="492">
      <c r="C492" s="1">
        <v>35000.0</v>
      </c>
      <c r="G492" s="2" t="s">
        <v>491</v>
      </c>
    </row>
    <row r="493">
      <c r="C493" s="1">
        <v>35000.0</v>
      </c>
      <c r="G493" s="2" t="s">
        <v>492</v>
      </c>
    </row>
    <row r="494">
      <c r="C494" s="1">
        <v>35000.0</v>
      </c>
      <c r="G494" s="2" t="s">
        <v>493</v>
      </c>
    </row>
    <row r="495">
      <c r="C495" s="1">
        <v>35000.0</v>
      </c>
      <c r="G495" s="2" t="s">
        <v>494</v>
      </c>
    </row>
    <row r="496">
      <c r="C496" s="1">
        <v>35000.0</v>
      </c>
      <c r="G496" s="2" t="s">
        <v>495</v>
      </c>
    </row>
    <row r="497">
      <c r="C497" s="1">
        <v>35000.0</v>
      </c>
      <c r="G497" s="2" t="s">
        <v>496</v>
      </c>
    </row>
    <row r="498">
      <c r="C498" s="1">
        <v>35000.0</v>
      </c>
      <c r="G498" s="2" t="s">
        <v>497</v>
      </c>
    </row>
    <row r="499">
      <c r="C499" s="1">
        <v>35000.0</v>
      </c>
      <c r="G499" s="2" t="s">
        <v>498</v>
      </c>
    </row>
    <row r="500">
      <c r="C500" s="1">
        <v>35000.0</v>
      </c>
      <c r="G500" s="2" t="s">
        <v>499</v>
      </c>
    </row>
    <row r="501">
      <c r="C501" s="1">
        <v>35000.0</v>
      </c>
      <c r="G501" s="2" t="s">
        <v>500</v>
      </c>
    </row>
    <row r="502">
      <c r="C502" s="1">
        <v>35000.0</v>
      </c>
      <c r="G502" s="2" t="s">
        <v>501</v>
      </c>
    </row>
    <row r="503">
      <c r="C503" s="1">
        <v>35000.0</v>
      </c>
      <c r="G503" s="2" t="s">
        <v>502</v>
      </c>
    </row>
    <row r="504">
      <c r="C504" s="1">
        <v>35000.0</v>
      </c>
      <c r="G504" s="2" t="s">
        <v>503</v>
      </c>
    </row>
    <row r="505">
      <c r="C505" s="1">
        <v>35000.0</v>
      </c>
      <c r="G505" s="2" t="s">
        <v>504</v>
      </c>
    </row>
    <row r="506">
      <c r="C506" s="1">
        <v>35000.0</v>
      </c>
      <c r="G506" s="2" t="s">
        <v>505</v>
      </c>
    </row>
    <row r="507">
      <c r="C507" s="1">
        <v>35000.0</v>
      </c>
      <c r="G507" s="2" t="s">
        <v>506</v>
      </c>
    </row>
    <row r="508">
      <c r="C508" s="1">
        <v>35000.0</v>
      </c>
      <c r="G508" s="2" t="s">
        <v>507</v>
      </c>
    </row>
    <row r="509">
      <c r="C509" s="1">
        <v>35000.0</v>
      </c>
      <c r="G509" s="2" t="s">
        <v>508</v>
      </c>
    </row>
    <row r="510">
      <c r="C510" s="1">
        <v>35000.0</v>
      </c>
      <c r="G510" s="2" t="s">
        <v>509</v>
      </c>
    </row>
    <row r="511">
      <c r="C511" s="1">
        <v>35000.0</v>
      </c>
      <c r="G511" s="2" t="s">
        <v>510</v>
      </c>
    </row>
    <row r="512">
      <c r="C512" s="1">
        <v>35000.0</v>
      </c>
      <c r="G512" s="2" t="s">
        <v>511</v>
      </c>
    </row>
    <row r="513">
      <c r="C513" s="1">
        <v>35000.0</v>
      </c>
      <c r="G513" s="2" t="s">
        <v>512</v>
      </c>
    </row>
    <row r="514">
      <c r="C514" s="1">
        <v>35000.0</v>
      </c>
      <c r="G514" s="2" t="s">
        <v>513</v>
      </c>
    </row>
    <row r="515">
      <c r="C515" s="1">
        <v>35000.0</v>
      </c>
      <c r="G515" s="2" t="s">
        <v>514</v>
      </c>
    </row>
    <row r="516">
      <c r="C516" s="1">
        <v>35000.0</v>
      </c>
      <c r="G516" s="2" t="s">
        <v>515</v>
      </c>
    </row>
    <row r="517">
      <c r="C517" s="1">
        <v>35000.0</v>
      </c>
      <c r="G517" s="2" t="s">
        <v>516</v>
      </c>
    </row>
    <row r="518">
      <c r="C518" s="1">
        <v>35000.0</v>
      </c>
      <c r="G518" s="2" t="s">
        <v>517</v>
      </c>
    </row>
    <row r="519">
      <c r="C519" s="1">
        <v>35000.0</v>
      </c>
      <c r="G519" s="2" t="s">
        <v>518</v>
      </c>
    </row>
    <row r="520">
      <c r="C520" s="1">
        <v>35000.0</v>
      </c>
      <c r="G520" s="2" t="s">
        <v>519</v>
      </c>
    </row>
    <row r="521">
      <c r="C521" s="1">
        <v>35000.0</v>
      </c>
      <c r="G521" s="2" t="s">
        <v>520</v>
      </c>
    </row>
    <row r="522">
      <c r="C522" s="1">
        <v>35000.0</v>
      </c>
      <c r="G522" s="2" t="s">
        <v>521</v>
      </c>
    </row>
    <row r="523">
      <c r="C523" s="1">
        <v>35000.0</v>
      </c>
      <c r="G523" s="2" t="s">
        <v>522</v>
      </c>
    </row>
    <row r="524">
      <c r="C524" s="1">
        <v>35000.0</v>
      </c>
      <c r="G524" s="2" t="s">
        <v>523</v>
      </c>
    </row>
    <row r="525">
      <c r="C525" s="1">
        <v>35000.0</v>
      </c>
      <c r="G525" s="2" t="s">
        <v>524</v>
      </c>
    </row>
    <row r="526">
      <c r="C526" s="1">
        <v>35000.0</v>
      </c>
      <c r="G526" s="2" t="s">
        <v>525</v>
      </c>
    </row>
    <row r="527">
      <c r="C527" s="1">
        <v>35000.0</v>
      </c>
      <c r="G527" s="2" t="s">
        <v>526</v>
      </c>
    </row>
    <row r="528">
      <c r="C528" s="1">
        <v>35000.0</v>
      </c>
      <c r="G528" s="2" t="s">
        <v>527</v>
      </c>
    </row>
    <row r="529">
      <c r="C529" s="1">
        <v>35000.0</v>
      </c>
      <c r="G529" s="2" t="s">
        <v>528</v>
      </c>
    </row>
    <row r="530">
      <c r="C530" s="1">
        <v>35000.0</v>
      </c>
      <c r="G530" s="2" t="s">
        <v>529</v>
      </c>
    </row>
    <row r="531">
      <c r="C531" s="1">
        <v>35000.0</v>
      </c>
      <c r="G531" s="2" t="s">
        <v>530</v>
      </c>
    </row>
    <row r="532">
      <c r="C532" s="1">
        <v>35000.0</v>
      </c>
      <c r="G532" s="2" t="s">
        <v>531</v>
      </c>
    </row>
    <row r="533">
      <c r="C533" s="1">
        <v>35000.0</v>
      </c>
      <c r="G533" s="2" t="s">
        <v>532</v>
      </c>
    </row>
    <row r="534">
      <c r="C534" s="1">
        <v>35000.0</v>
      </c>
      <c r="G534" s="2" t="s">
        <v>533</v>
      </c>
    </row>
    <row r="535">
      <c r="C535" s="1">
        <v>35000.0</v>
      </c>
      <c r="G535" s="2" t="s">
        <v>534</v>
      </c>
    </row>
    <row r="536">
      <c r="C536" s="1">
        <v>35000.0</v>
      </c>
      <c r="G536" s="2" t="s">
        <v>535</v>
      </c>
    </row>
    <row r="537">
      <c r="C537" s="1">
        <v>35000.0</v>
      </c>
      <c r="G537" s="2" t="s">
        <v>536</v>
      </c>
    </row>
    <row r="538">
      <c r="C538" s="1">
        <v>35000.0</v>
      </c>
      <c r="G538" s="2" t="s">
        <v>537</v>
      </c>
    </row>
    <row r="539">
      <c r="C539" s="1">
        <v>35000.0</v>
      </c>
      <c r="G539" s="2" t="s">
        <v>538</v>
      </c>
    </row>
    <row r="540">
      <c r="C540" s="1">
        <v>35000.0</v>
      </c>
      <c r="G540" s="2" t="s">
        <v>539</v>
      </c>
    </row>
    <row r="541">
      <c r="C541" s="1">
        <v>35000.0</v>
      </c>
      <c r="G541" s="2" t="s">
        <v>540</v>
      </c>
    </row>
    <row r="542">
      <c r="C542" s="1">
        <v>35000.0</v>
      </c>
      <c r="G542" s="2" t="s">
        <v>541</v>
      </c>
    </row>
    <row r="543">
      <c r="C543" s="1">
        <v>35000.0</v>
      </c>
      <c r="G543" s="2" t="s">
        <v>542</v>
      </c>
    </row>
    <row r="544">
      <c r="C544" s="1">
        <v>35000.0</v>
      </c>
      <c r="G544" s="2" t="s">
        <v>543</v>
      </c>
    </row>
    <row r="545">
      <c r="C545" s="1">
        <v>35000.0</v>
      </c>
      <c r="G545" s="2" t="s">
        <v>544</v>
      </c>
    </row>
    <row r="546">
      <c r="C546" s="1">
        <v>35000.0</v>
      </c>
      <c r="G546" s="2" t="s">
        <v>545</v>
      </c>
    </row>
    <row r="547">
      <c r="C547" s="1">
        <v>35000.0</v>
      </c>
      <c r="G547" s="2" t="s">
        <v>546</v>
      </c>
    </row>
    <row r="548">
      <c r="C548" s="1">
        <v>35000.0</v>
      </c>
      <c r="G548" s="2" t="s">
        <v>547</v>
      </c>
    </row>
    <row r="549">
      <c r="C549" s="1">
        <v>35000.0</v>
      </c>
      <c r="G549" s="2" t="s">
        <v>548</v>
      </c>
    </row>
    <row r="550">
      <c r="C550" s="1">
        <v>35000.0</v>
      </c>
      <c r="G550" s="2" t="s">
        <v>549</v>
      </c>
    </row>
    <row r="551">
      <c r="C551" s="1">
        <v>35000.0</v>
      </c>
      <c r="G551" s="2" t="s">
        <v>550</v>
      </c>
    </row>
    <row r="552">
      <c r="C552" s="1">
        <v>35000.0</v>
      </c>
      <c r="G552" s="2" t="s">
        <v>551</v>
      </c>
    </row>
    <row r="553">
      <c r="C553" s="1">
        <v>35000.0</v>
      </c>
      <c r="G553" s="2" t="s">
        <v>552</v>
      </c>
    </row>
    <row r="554">
      <c r="C554" s="1">
        <v>35000.0</v>
      </c>
      <c r="G554" s="2" t="s">
        <v>553</v>
      </c>
    </row>
    <row r="555">
      <c r="C555" s="1">
        <v>35000.0</v>
      </c>
      <c r="G555" s="2" t="s">
        <v>554</v>
      </c>
    </row>
    <row r="556">
      <c r="C556" s="1">
        <v>35000.0</v>
      </c>
      <c r="G556" s="2" t="s">
        <v>555</v>
      </c>
    </row>
    <row r="557">
      <c r="C557" s="1">
        <v>70000.0</v>
      </c>
      <c r="G557" s="2" t="s">
        <v>556</v>
      </c>
    </row>
    <row r="558">
      <c r="C558" s="1">
        <v>70000.0</v>
      </c>
      <c r="G558" s="2" t="s">
        <v>557</v>
      </c>
    </row>
    <row r="559">
      <c r="C559" s="1">
        <v>70000.0</v>
      </c>
      <c r="G559" s="2" t="s">
        <v>558</v>
      </c>
    </row>
    <row r="560">
      <c r="C560" s="1">
        <v>70000.0</v>
      </c>
      <c r="G560" s="2" t="s">
        <v>559</v>
      </c>
    </row>
    <row r="561">
      <c r="C561" s="1">
        <v>70000.0</v>
      </c>
      <c r="G561" s="2" t="s">
        <v>560</v>
      </c>
    </row>
    <row r="562">
      <c r="C562" s="1">
        <v>70000.0</v>
      </c>
      <c r="G562" s="2" t="s">
        <v>561</v>
      </c>
    </row>
    <row r="563">
      <c r="C563" s="1">
        <v>70000.0</v>
      </c>
      <c r="G563" s="2" t="s">
        <v>562</v>
      </c>
    </row>
    <row r="564">
      <c r="C564" s="1">
        <v>70000.0</v>
      </c>
      <c r="G564" s="2" t="s">
        <v>563</v>
      </c>
    </row>
    <row r="565">
      <c r="C565" s="1">
        <v>70000.0</v>
      </c>
      <c r="G565" s="2" t="s">
        <v>564</v>
      </c>
    </row>
    <row r="566">
      <c r="C566" s="1">
        <v>70000.0</v>
      </c>
      <c r="G566" s="2" t="s">
        <v>565</v>
      </c>
    </row>
    <row r="567">
      <c r="C567" s="1">
        <v>70000.0</v>
      </c>
      <c r="G567" s="2" t="s">
        <v>566</v>
      </c>
    </row>
    <row r="568">
      <c r="C568" s="1">
        <v>70000.0</v>
      </c>
      <c r="G568" s="2" t="s">
        <v>567</v>
      </c>
    </row>
    <row r="569">
      <c r="C569" s="1">
        <v>70000.0</v>
      </c>
      <c r="G569" s="2" t="s">
        <v>568</v>
      </c>
    </row>
    <row r="570">
      <c r="C570" s="1">
        <v>70000.0</v>
      </c>
      <c r="G570" s="2" t="s">
        <v>569</v>
      </c>
    </row>
    <row r="571">
      <c r="C571" s="1">
        <v>70000.0</v>
      </c>
      <c r="G571" s="2" t="s">
        <v>570</v>
      </c>
    </row>
    <row r="572">
      <c r="C572" s="1">
        <v>70000.0</v>
      </c>
      <c r="G572" s="2" t="s">
        <v>571</v>
      </c>
    </row>
    <row r="573">
      <c r="C573" s="1">
        <v>70000.0</v>
      </c>
      <c r="G573" s="2" t="s">
        <v>572</v>
      </c>
    </row>
    <row r="574">
      <c r="C574" s="1">
        <v>70000.0</v>
      </c>
      <c r="G574" s="2" t="s">
        <v>573</v>
      </c>
    </row>
    <row r="575">
      <c r="C575" s="1">
        <v>70000.0</v>
      </c>
      <c r="G575" s="2" t="s">
        <v>574</v>
      </c>
    </row>
    <row r="576">
      <c r="C576" s="1">
        <v>70000.0</v>
      </c>
      <c r="G576" s="2" t="s">
        <v>575</v>
      </c>
    </row>
    <row r="577">
      <c r="C577" s="1">
        <v>70000.0</v>
      </c>
      <c r="G577" s="2" t="s">
        <v>576</v>
      </c>
    </row>
    <row r="578">
      <c r="C578" s="1">
        <v>70000.0</v>
      </c>
      <c r="G578" s="2" t="s">
        <v>577</v>
      </c>
    </row>
    <row r="579">
      <c r="C579" s="1">
        <v>70000.0</v>
      </c>
      <c r="G579" s="2" t="s">
        <v>578</v>
      </c>
    </row>
    <row r="580">
      <c r="C580" s="1">
        <v>70000.0</v>
      </c>
      <c r="G580" s="2" t="s">
        <v>579</v>
      </c>
    </row>
    <row r="581">
      <c r="C581" s="1">
        <v>70000.0</v>
      </c>
      <c r="G581" s="2" t="s">
        <v>580</v>
      </c>
    </row>
    <row r="582">
      <c r="C582" s="1">
        <v>70000.0</v>
      </c>
      <c r="G582" s="2" t="s">
        <v>581</v>
      </c>
    </row>
    <row r="583">
      <c r="C583" s="1">
        <v>70000.0</v>
      </c>
      <c r="G583" s="2" t="s">
        <v>582</v>
      </c>
    </row>
    <row r="584">
      <c r="C584" s="1">
        <v>70000.0</v>
      </c>
      <c r="G584" s="2" t="s">
        <v>583</v>
      </c>
    </row>
    <row r="585">
      <c r="C585" s="1">
        <v>70000.0</v>
      </c>
      <c r="G585" s="2" t="s">
        <v>584</v>
      </c>
    </row>
    <row r="586">
      <c r="C586" s="1">
        <v>70000.0</v>
      </c>
      <c r="G586" s="2" t="s">
        <v>585</v>
      </c>
    </row>
    <row r="587">
      <c r="C587" s="1">
        <v>70000.0</v>
      </c>
      <c r="G587" s="2" t="s">
        <v>586</v>
      </c>
    </row>
    <row r="588">
      <c r="C588" s="1">
        <v>70000.0</v>
      </c>
      <c r="G588" s="2" t="s">
        <v>587</v>
      </c>
    </row>
    <row r="589">
      <c r="C589" s="1">
        <v>70000.0</v>
      </c>
      <c r="G589" s="2" t="s">
        <v>588</v>
      </c>
    </row>
    <row r="590">
      <c r="C590" s="1">
        <v>70000.0</v>
      </c>
      <c r="G590" s="2" t="s">
        <v>589</v>
      </c>
    </row>
    <row r="591">
      <c r="C591" s="1">
        <v>70000.0</v>
      </c>
      <c r="G591" s="2" t="s">
        <v>590</v>
      </c>
    </row>
    <row r="592">
      <c r="C592" s="1">
        <v>70000.0</v>
      </c>
      <c r="G592" s="2" t="s">
        <v>591</v>
      </c>
    </row>
    <row r="593">
      <c r="C593" s="1">
        <v>70000.0</v>
      </c>
      <c r="G593" s="2" t="s">
        <v>592</v>
      </c>
    </row>
    <row r="594">
      <c r="C594" s="1">
        <v>70000.0</v>
      </c>
      <c r="G594" s="2" t="s">
        <v>593</v>
      </c>
    </row>
    <row r="595">
      <c r="C595" s="1">
        <v>70000.0</v>
      </c>
      <c r="G595" s="2" t="s">
        <v>594</v>
      </c>
    </row>
    <row r="596">
      <c r="C596" s="1">
        <v>70000.0</v>
      </c>
      <c r="G596" s="2" t="s">
        <v>595</v>
      </c>
    </row>
    <row r="597">
      <c r="C597" s="1">
        <v>70000.0</v>
      </c>
      <c r="G597" s="2" t="s">
        <v>596</v>
      </c>
    </row>
    <row r="598">
      <c r="C598" s="1">
        <v>70000.0</v>
      </c>
      <c r="G598" s="2" t="s">
        <v>597</v>
      </c>
    </row>
    <row r="599">
      <c r="C599" s="1">
        <v>70000.0</v>
      </c>
      <c r="G599" s="2" t="s">
        <v>598</v>
      </c>
    </row>
    <row r="600">
      <c r="C600" s="1">
        <v>70000.0</v>
      </c>
      <c r="G600" s="2" t="s">
        <v>599</v>
      </c>
    </row>
    <row r="601">
      <c r="C601" s="1">
        <v>70000.0</v>
      </c>
      <c r="G601" s="2" t="s">
        <v>600</v>
      </c>
    </row>
    <row r="602">
      <c r="C602" s="1">
        <v>70000.0</v>
      </c>
      <c r="G602" s="2" t="s">
        <v>601</v>
      </c>
    </row>
    <row r="603">
      <c r="C603" s="1">
        <v>70000.0</v>
      </c>
      <c r="G603" s="2" t="s">
        <v>602</v>
      </c>
    </row>
    <row r="604">
      <c r="C604" s="1">
        <v>70000.0</v>
      </c>
      <c r="G604" s="2" t="s">
        <v>603</v>
      </c>
    </row>
    <row r="605">
      <c r="C605" s="1">
        <v>70000.0</v>
      </c>
      <c r="G605" s="2" t="s">
        <v>604</v>
      </c>
    </row>
    <row r="606">
      <c r="C606" s="1">
        <v>70000.0</v>
      </c>
      <c r="G606" s="2" t="s">
        <v>605</v>
      </c>
    </row>
    <row r="607">
      <c r="C607" s="1">
        <v>70000.0</v>
      </c>
      <c r="G607" s="2" t="s">
        <v>606</v>
      </c>
    </row>
    <row r="608">
      <c r="C608" s="1">
        <v>70000.0</v>
      </c>
      <c r="G608" s="2" t="s">
        <v>607</v>
      </c>
    </row>
    <row r="609">
      <c r="C609" s="1">
        <v>70000.0</v>
      </c>
      <c r="G609" s="2" t="s">
        <v>608</v>
      </c>
    </row>
    <row r="610">
      <c r="C610" s="1">
        <v>70000.0</v>
      </c>
      <c r="G610" s="2" t="s">
        <v>609</v>
      </c>
    </row>
    <row r="611">
      <c r="C611" s="1">
        <v>70000.0</v>
      </c>
      <c r="G611" s="2" t="s">
        <v>610</v>
      </c>
    </row>
    <row r="612">
      <c r="C612" s="1">
        <v>70000.0</v>
      </c>
      <c r="G612" s="2" t="s">
        <v>611</v>
      </c>
    </row>
    <row r="613">
      <c r="C613" s="1">
        <v>70000.0</v>
      </c>
      <c r="G613" s="2" t="s">
        <v>612</v>
      </c>
    </row>
    <row r="614">
      <c r="C614" s="1">
        <v>70000.0</v>
      </c>
      <c r="G614" s="2" t="s">
        <v>613</v>
      </c>
    </row>
    <row r="615">
      <c r="C615" s="1">
        <v>70000.0</v>
      </c>
      <c r="G615" s="2" t="s">
        <v>614</v>
      </c>
    </row>
    <row r="616">
      <c r="C616" s="1">
        <v>70000.0</v>
      </c>
      <c r="G616" s="2" t="s">
        <v>615</v>
      </c>
    </row>
    <row r="617">
      <c r="C617" s="1">
        <v>70000.0</v>
      </c>
      <c r="G617" s="2" t="s">
        <v>616</v>
      </c>
    </row>
    <row r="618">
      <c r="C618" s="1">
        <v>70000.0</v>
      </c>
      <c r="G618" s="2" t="s">
        <v>617</v>
      </c>
    </row>
    <row r="619">
      <c r="C619" s="1">
        <v>70000.0</v>
      </c>
      <c r="G619" s="2" t="s">
        <v>618</v>
      </c>
    </row>
    <row r="620">
      <c r="C620" s="1">
        <v>70000.0</v>
      </c>
      <c r="G620" s="2" t="s">
        <v>619</v>
      </c>
    </row>
    <row r="621">
      <c r="C621" s="1">
        <v>70000.0</v>
      </c>
      <c r="G621" s="2" t="s">
        <v>620</v>
      </c>
    </row>
    <row r="622">
      <c r="C622" s="1">
        <v>70000.0</v>
      </c>
      <c r="G622" s="2" t="s">
        <v>621</v>
      </c>
    </row>
    <row r="623">
      <c r="C623" s="1">
        <v>70000.0</v>
      </c>
      <c r="G623" s="2" t="s">
        <v>622</v>
      </c>
    </row>
    <row r="624">
      <c r="C624" s="1">
        <v>70000.0</v>
      </c>
      <c r="G624" s="2" t="s">
        <v>623</v>
      </c>
    </row>
    <row r="625">
      <c r="C625" s="1">
        <v>70000.0</v>
      </c>
      <c r="G625" s="2" t="s">
        <v>624</v>
      </c>
    </row>
    <row r="626">
      <c r="C626" s="1">
        <v>70000.0</v>
      </c>
      <c r="G626" s="2" t="s">
        <v>625</v>
      </c>
    </row>
    <row r="627">
      <c r="C627" s="1">
        <v>70000.0</v>
      </c>
      <c r="G627" s="2" t="s">
        <v>626</v>
      </c>
    </row>
    <row r="628">
      <c r="C628" s="1">
        <v>70000.0</v>
      </c>
      <c r="G628" s="2" t="s">
        <v>627</v>
      </c>
    </row>
    <row r="629">
      <c r="C629" s="1">
        <v>70000.0</v>
      </c>
      <c r="G629" s="2" t="s">
        <v>628</v>
      </c>
    </row>
    <row r="630">
      <c r="C630" s="1">
        <v>70000.0</v>
      </c>
      <c r="G630" s="2" t="s">
        <v>629</v>
      </c>
    </row>
    <row r="631">
      <c r="C631" s="1">
        <v>70000.0</v>
      </c>
      <c r="G631" s="2" t="s">
        <v>630</v>
      </c>
    </row>
    <row r="632">
      <c r="C632" s="1">
        <v>70000.0</v>
      </c>
      <c r="G632" s="2" t="s">
        <v>631</v>
      </c>
    </row>
    <row r="633">
      <c r="C633" s="1">
        <v>70000.0</v>
      </c>
      <c r="G633" s="2" t="s">
        <v>632</v>
      </c>
    </row>
    <row r="634">
      <c r="C634" s="1">
        <v>70000.0</v>
      </c>
      <c r="G634" s="2" t="s">
        <v>633</v>
      </c>
    </row>
    <row r="635">
      <c r="C635" s="1">
        <v>70000.0</v>
      </c>
      <c r="G635" s="2" t="s">
        <v>634</v>
      </c>
    </row>
    <row r="636">
      <c r="C636" s="1">
        <v>70000.0</v>
      </c>
      <c r="G636" s="2" t="s">
        <v>635</v>
      </c>
    </row>
    <row r="637">
      <c r="C637" s="1">
        <v>70000.0</v>
      </c>
      <c r="G637" s="2" t="s">
        <v>636</v>
      </c>
    </row>
    <row r="638">
      <c r="C638" s="1">
        <v>70000.0</v>
      </c>
      <c r="G638" s="2" t="s">
        <v>637</v>
      </c>
    </row>
    <row r="639">
      <c r="C639" s="1">
        <v>70000.0</v>
      </c>
      <c r="G639" s="2" t="s">
        <v>638</v>
      </c>
    </row>
    <row r="640">
      <c r="C640" s="1">
        <v>70000.0</v>
      </c>
      <c r="G640" s="2" t="s">
        <v>639</v>
      </c>
    </row>
    <row r="641">
      <c r="C641" s="1">
        <v>70000.0</v>
      </c>
      <c r="G641" s="2" t="s">
        <v>640</v>
      </c>
    </row>
    <row r="642">
      <c r="C642" s="1">
        <v>70000.0</v>
      </c>
      <c r="G642" s="2" t="s">
        <v>641</v>
      </c>
    </row>
    <row r="643">
      <c r="C643" s="1">
        <v>70000.0</v>
      </c>
      <c r="G643" s="2" t="s">
        <v>642</v>
      </c>
    </row>
    <row r="644">
      <c r="C644" s="1">
        <v>70000.0</v>
      </c>
      <c r="G644" s="2" t="s">
        <v>643</v>
      </c>
    </row>
    <row r="645">
      <c r="C645" s="1">
        <v>70000.0</v>
      </c>
      <c r="G645" s="2" t="s">
        <v>644</v>
      </c>
    </row>
    <row r="646">
      <c r="C646" s="1">
        <v>70000.0</v>
      </c>
      <c r="G646" s="2" t="s">
        <v>645</v>
      </c>
    </row>
    <row r="647">
      <c r="C647" s="1">
        <v>70000.0</v>
      </c>
      <c r="G647" s="2" t="s">
        <v>646</v>
      </c>
    </row>
    <row r="648">
      <c r="C648" s="1">
        <v>70000.0</v>
      </c>
      <c r="G648" s="2" t="s">
        <v>647</v>
      </c>
    </row>
    <row r="649">
      <c r="C649" s="1">
        <v>70000.0</v>
      </c>
      <c r="G649" s="2" t="s">
        <v>648</v>
      </c>
    </row>
    <row r="650">
      <c r="C650" s="1">
        <v>70000.0</v>
      </c>
      <c r="G650" s="2" t="s">
        <v>649</v>
      </c>
    </row>
    <row r="651">
      <c r="C651" s="1">
        <v>70000.0</v>
      </c>
      <c r="G651" s="2" t="s">
        <v>650</v>
      </c>
    </row>
    <row r="652">
      <c r="C652" s="1">
        <v>70000.0</v>
      </c>
      <c r="G652" s="2" t="s">
        <v>651</v>
      </c>
    </row>
    <row r="653">
      <c r="C653" s="1">
        <v>70000.0</v>
      </c>
      <c r="G653" s="2" t="s">
        <v>652</v>
      </c>
    </row>
    <row r="654">
      <c r="C654" s="1">
        <v>70000.0</v>
      </c>
      <c r="G654" s="2" t="s">
        <v>653</v>
      </c>
    </row>
    <row r="655">
      <c r="C655" s="1">
        <v>70000.0</v>
      </c>
      <c r="G655" s="2" t="s">
        <v>654</v>
      </c>
    </row>
    <row r="656">
      <c r="C656" s="1">
        <v>70000.0</v>
      </c>
      <c r="G656" s="2" t="s">
        <v>655</v>
      </c>
    </row>
    <row r="657">
      <c r="C657" s="1">
        <v>70000.0</v>
      </c>
      <c r="G657" s="2" t="s">
        <v>656</v>
      </c>
    </row>
    <row r="658">
      <c r="C658" s="1">
        <v>70000.0</v>
      </c>
      <c r="G658" s="2" t="s">
        <v>657</v>
      </c>
    </row>
    <row r="659">
      <c r="C659" s="1">
        <v>70000.0</v>
      </c>
      <c r="G659" s="2" t="s">
        <v>658</v>
      </c>
    </row>
    <row r="660">
      <c r="C660" s="1">
        <v>70000.0</v>
      </c>
      <c r="G660" s="2" t="s">
        <v>659</v>
      </c>
    </row>
    <row r="661">
      <c r="C661" s="1">
        <v>70000.0</v>
      </c>
      <c r="G661" s="2" t="s">
        <v>660</v>
      </c>
    </row>
    <row r="662">
      <c r="C662" s="1">
        <v>70000.0</v>
      </c>
      <c r="G662" s="2" t="s">
        <v>661</v>
      </c>
    </row>
    <row r="663">
      <c r="C663" s="1">
        <v>70000.0</v>
      </c>
      <c r="G663" s="2" t="s">
        <v>662</v>
      </c>
    </row>
    <row r="664">
      <c r="C664" s="1">
        <v>70000.0</v>
      </c>
      <c r="G664" s="2" t="s">
        <v>663</v>
      </c>
    </row>
    <row r="665">
      <c r="C665" s="1">
        <v>70000.0</v>
      </c>
      <c r="G665" s="2" t="s">
        <v>664</v>
      </c>
    </row>
    <row r="666">
      <c r="C666" s="1">
        <v>70000.0</v>
      </c>
      <c r="G666" s="2" t="s">
        <v>665</v>
      </c>
    </row>
    <row r="667">
      <c r="C667" s="1">
        <v>70000.0</v>
      </c>
      <c r="G667" s="2" t="s">
        <v>666</v>
      </c>
    </row>
    <row r="668">
      <c r="C668" s="1">
        <v>70000.0</v>
      </c>
      <c r="G668" s="2" t="s">
        <v>667</v>
      </c>
    </row>
    <row r="669">
      <c r="C669" s="1">
        <v>70000.0</v>
      </c>
      <c r="G669" s="2" t="s">
        <v>668</v>
      </c>
    </row>
    <row r="670">
      <c r="C670" s="1">
        <v>70000.0</v>
      </c>
      <c r="G670" s="2" t="s">
        <v>669</v>
      </c>
    </row>
    <row r="671">
      <c r="C671" s="1">
        <v>70000.0</v>
      </c>
      <c r="G671" s="2" t="s">
        <v>670</v>
      </c>
    </row>
    <row r="672">
      <c r="C672" s="1">
        <v>70000.0</v>
      </c>
      <c r="G672" s="2" t="s">
        <v>671</v>
      </c>
    </row>
    <row r="673">
      <c r="C673" s="1">
        <v>70000.0</v>
      </c>
      <c r="G673" s="2" t="s">
        <v>672</v>
      </c>
    </row>
    <row r="674">
      <c r="C674" s="1">
        <v>70000.0</v>
      </c>
      <c r="G674" s="2" t="s">
        <v>673</v>
      </c>
    </row>
    <row r="675">
      <c r="C675" s="1">
        <v>70000.0</v>
      </c>
      <c r="G675" s="2" t="s">
        <v>674</v>
      </c>
    </row>
    <row r="676">
      <c r="C676" s="1">
        <v>70000.0</v>
      </c>
      <c r="G676" s="2" t="s">
        <v>675</v>
      </c>
    </row>
    <row r="677">
      <c r="C677" s="1">
        <v>70000.0</v>
      </c>
      <c r="G677" s="2" t="s">
        <v>676</v>
      </c>
    </row>
    <row r="678">
      <c r="C678" s="1">
        <v>70000.0</v>
      </c>
      <c r="G678" s="2" t="s">
        <v>677</v>
      </c>
    </row>
    <row r="679">
      <c r="C679" s="1">
        <v>70000.0</v>
      </c>
      <c r="G679" s="2" t="s">
        <v>678</v>
      </c>
    </row>
    <row r="680">
      <c r="C680" s="1">
        <v>70000.0</v>
      </c>
      <c r="G680" s="2" t="s">
        <v>679</v>
      </c>
    </row>
    <row r="681">
      <c r="C681" s="1">
        <v>70000.0</v>
      </c>
      <c r="G681" s="2" t="s">
        <v>680</v>
      </c>
    </row>
    <row r="682">
      <c r="C682" s="1">
        <v>70000.0</v>
      </c>
      <c r="G682" s="2" t="s">
        <v>681</v>
      </c>
    </row>
    <row r="683">
      <c r="C683" s="1">
        <v>70000.0</v>
      </c>
      <c r="G683" s="2" t="s">
        <v>682</v>
      </c>
    </row>
    <row r="684">
      <c r="C684" s="1">
        <v>70000.0</v>
      </c>
      <c r="G684" s="2" t="s">
        <v>683</v>
      </c>
    </row>
    <row r="685">
      <c r="C685" s="1">
        <v>70000.0</v>
      </c>
      <c r="G685" s="2" t="s">
        <v>684</v>
      </c>
    </row>
    <row r="686">
      <c r="C686" s="1">
        <v>70000.0</v>
      </c>
      <c r="G686" s="2" t="s">
        <v>685</v>
      </c>
    </row>
    <row r="687">
      <c r="C687" s="1">
        <v>70000.0</v>
      </c>
      <c r="G687" s="2" t="s">
        <v>686</v>
      </c>
    </row>
    <row r="688">
      <c r="C688" s="1">
        <v>70000.0</v>
      </c>
      <c r="G688" s="2" t="s">
        <v>687</v>
      </c>
    </row>
    <row r="689">
      <c r="C689" s="1">
        <v>70000.0</v>
      </c>
      <c r="G689" s="2" t="s">
        <v>688</v>
      </c>
    </row>
    <row r="690">
      <c r="C690" s="1">
        <v>70000.0</v>
      </c>
      <c r="G690" s="2" t="s">
        <v>689</v>
      </c>
    </row>
    <row r="691">
      <c r="C691" s="1">
        <v>70000.0</v>
      </c>
      <c r="G691" s="2" t="s">
        <v>690</v>
      </c>
    </row>
    <row r="692">
      <c r="C692" s="1">
        <v>70000.0</v>
      </c>
      <c r="G692" s="2" t="s">
        <v>691</v>
      </c>
    </row>
    <row r="693">
      <c r="C693" s="1">
        <v>70000.0</v>
      </c>
      <c r="G693" s="2" t="s">
        <v>692</v>
      </c>
    </row>
    <row r="694">
      <c r="C694" s="1">
        <v>70000.0</v>
      </c>
      <c r="G694" s="2" t="s">
        <v>693</v>
      </c>
    </row>
    <row r="695">
      <c r="C695" s="1">
        <v>70000.0</v>
      </c>
      <c r="G695" s="2" t="s">
        <v>694</v>
      </c>
    </row>
    <row r="696">
      <c r="C696" s="1">
        <v>70000.0</v>
      </c>
      <c r="G696" s="2" t="s">
        <v>695</v>
      </c>
    </row>
    <row r="697">
      <c r="C697" s="1">
        <v>70000.0</v>
      </c>
      <c r="G697" s="2" t="s">
        <v>696</v>
      </c>
    </row>
    <row r="698">
      <c r="C698" s="1">
        <v>70000.0</v>
      </c>
      <c r="G698" s="2" t="s">
        <v>697</v>
      </c>
    </row>
    <row r="699">
      <c r="C699" s="1">
        <v>70000.0</v>
      </c>
      <c r="G699" s="2" t="s">
        <v>698</v>
      </c>
    </row>
    <row r="700">
      <c r="C700" s="1">
        <v>70000.0</v>
      </c>
      <c r="G700" s="2" t="s">
        <v>699</v>
      </c>
    </row>
    <row r="701">
      <c r="C701" s="1">
        <v>70000.0</v>
      </c>
      <c r="G701" s="2" t="s">
        <v>700</v>
      </c>
    </row>
    <row r="702">
      <c r="C702" s="1">
        <v>70000.0</v>
      </c>
      <c r="G702" s="2" t="s">
        <v>701</v>
      </c>
    </row>
    <row r="703">
      <c r="C703" s="1">
        <v>70000.0</v>
      </c>
      <c r="G703" s="2" t="s">
        <v>702</v>
      </c>
    </row>
    <row r="704">
      <c r="C704" s="1">
        <v>70000.0</v>
      </c>
      <c r="G704" s="2" t="s">
        <v>703</v>
      </c>
    </row>
    <row r="705">
      <c r="C705" s="1">
        <v>70000.0</v>
      </c>
      <c r="G705" s="2" t="s">
        <v>704</v>
      </c>
    </row>
    <row r="706">
      <c r="C706" s="1">
        <v>70000.0</v>
      </c>
      <c r="G706" s="2" t="s">
        <v>705</v>
      </c>
    </row>
    <row r="707">
      <c r="C707" s="1">
        <v>70000.0</v>
      </c>
      <c r="G707" s="2" t="s">
        <v>706</v>
      </c>
    </row>
    <row r="708">
      <c r="C708" s="1">
        <v>70000.0</v>
      </c>
      <c r="G708" s="2" t="s">
        <v>707</v>
      </c>
    </row>
    <row r="709">
      <c r="C709" s="1">
        <v>70000.0</v>
      </c>
      <c r="G709" s="2" t="s">
        <v>708</v>
      </c>
    </row>
    <row r="710">
      <c r="C710" s="1">
        <v>70000.0</v>
      </c>
      <c r="G710" s="2" t="s">
        <v>709</v>
      </c>
    </row>
    <row r="711">
      <c r="C711" s="1">
        <v>70000.0</v>
      </c>
      <c r="G711" s="2" t="s">
        <v>710</v>
      </c>
    </row>
    <row r="712">
      <c r="C712" s="1">
        <v>70000.0</v>
      </c>
      <c r="G712" s="2" t="s">
        <v>711</v>
      </c>
    </row>
    <row r="713">
      <c r="C713" s="1">
        <v>70000.0</v>
      </c>
      <c r="G713" s="2" t="s">
        <v>712</v>
      </c>
    </row>
    <row r="714">
      <c r="C714" s="1">
        <v>70000.0</v>
      </c>
      <c r="G714" s="2" t="s">
        <v>713</v>
      </c>
    </row>
    <row r="715">
      <c r="C715" s="1">
        <v>70000.0</v>
      </c>
      <c r="G715" s="2" t="s">
        <v>714</v>
      </c>
    </row>
    <row r="716">
      <c r="C716" s="1">
        <v>70000.0</v>
      </c>
      <c r="G716" s="2" t="s">
        <v>715</v>
      </c>
    </row>
    <row r="717">
      <c r="C717" s="1">
        <v>70000.0</v>
      </c>
      <c r="G717" s="2" t="s">
        <v>716</v>
      </c>
    </row>
    <row r="718">
      <c r="C718" s="1">
        <v>70000.0</v>
      </c>
      <c r="G718" s="2" t="s">
        <v>717</v>
      </c>
    </row>
    <row r="719">
      <c r="C719" s="1">
        <v>70000.0</v>
      </c>
      <c r="G719" s="2" t="s">
        <v>718</v>
      </c>
    </row>
    <row r="720">
      <c r="C720" s="1">
        <v>70000.0</v>
      </c>
      <c r="G720" s="2" t="s">
        <v>719</v>
      </c>
    </row>
    <row r="721">
      <c r="C721" s="1">
        <v>70000.0</v>
      </c>
      <c r="G721" s="2" t="s">
        <v>720</v>
      </c>
    </row>
    <row r="722">
      <c r="C722" s="1">
        <v>70000.0</v>
      </c>
      <c r="G722" s="2" t="s">
        <v>721</v>
      </c>
    </row>
    <row r="723">
      <c r="C723" s="1">
        <v>70000.0</v>
      </c>
      <c r="G723" s="2" t="s">
        <v>722</v>
      </c>
    </row>
    <row r="724">
      <c r="C724" s="1">
        <v>70000.0</v>
      </c>
      <c r="G724" s="2" t="s">
        <v>723</v>
      </c>
    </row>
    <row r="725">
      <c r="C725" s="1">
        <v>70000.0</v>
      </c>
      <c r="G725" s="2" t="s">
        <v>724</v>
      </c>
    </row>
    <row r="726">
      <c r="C726" s="1">
        <v>70000.0</v>
      </c>
      <c r="G726" s="2" t="s">
        <v>725</v>
      </c>
    </row>
    <row r="727">
      <c r="C727" s="1">
        <v>70000.0</v>
      </c>
      <c r="G727" s="2" t="s">
        <v>726</v>
      </c>
    </row>
    <row r="728">
      <c r="C728" s="1">
        <v>70000.0</v>
      </c>
      <c r="G728" s="2" t="s">
        <v>727</v>
      </c>
    </row>
    <row r="729">
      <c r="C729" s="1">
        <v>70000.0</v>
      </c>
      <c r="G729" s="2" t="s">
        <v>728</v>
      </c>
    </row>
    <row r="730">
      <c r="C730" s="1">
        <v>70000.0</v>
      </c>
      <c r="G730" s="2" t="s">
        <v>729</v>
      </c>
    </row>
    <row r="731">
      <c r="C731" s="1">
        <v>70000.0</v>
      </c>
      <c r="G731" s="2" t="s">
        <v>730</v>
      </c>
    </row>
    <row r="732">
      <c r="C732" s="1">
        <v>70000.0</v>
      </c>
      <c r="G732" s="2" t="s">
        <v>731</v>
      </c>
    </row>
    <row r="733">
      <c r="C733" s="1">
        <v>70000.0</v>
      </c>
      <c r="G733" s="2" t="s">
        <v>732</v>
      </c>
    </row>
    <row r="734">
      <c r="C734" s="1">
        <v>70000.0</v>
      </c>
      <c r="G734" s="2" t="s">
        <v>733</v>
      </c>
    </row>
    <row r="735">
      <c r="C735" s="1">
        <v>70000.0</v>
      </c>
      <c r="G735" s="2" t="s">
        <v>734</v>
      </c>
    </row>
    <row r="736">
      <c r="C736" s="1">
        <v>70000.0</v>
      </c>
      <c r="G736" s="2" t="s">
        <v>735</v>
      </c>
    </row>
    <row r="737">
      <c r="C737" s="1">
        <v>70000.0</v>
      </c>
      <c r="G737" s="2" t="s">
        <v>736</v>
      </c>
    </row>
    <row r="738">
      <c r="C738" s="1">
        <v>70000.0</v>
      </c>
      <c r="G738" s="2" t="s">
        <v>737</v>
      </c>
    </row>
    <row r="739">
      <c r="C739" s="1">
        <v>70000.0</v>
      </c>
      <c r="G739" s="2" t="s">
        <v>738</v>
      </c>
    </row>
    <row r="740">
      <c r="C740" s="1">
        <v>70000.0</v>
      </c>
      <c r="G740" s="2" t="s">
        <v>739</v>
      </c>
    </row>
    <row r="741">
      <c r="C741" s="1">
        <v>70000.0</v>
      </c>
      <c r="G741" s="2" t="s">
        <v>740</v>
      </c>
    </row>
    <row r="742">
      <c r="C742" s="1">
        <v>70000.0</v>
      </c>
      <c r="G742" s="2" t="s">
        <v>741</v>
      </c>
    </row>
    <row r="743">
      <c r="C743" s="1">
        <v>70000.0</v>
      </c>
      <c r="G743" s="2" t="s">
        <v>742</v>
      </c>
    </row>
    <row r="744">
      <c r="C744" s="1">
        <v>70000.0</v>
      </c>
      <c r="G744" s="2" t="s">
        <v>743</v>
      </c>
    </row>
    <row r="745">
      <c r="C745" s="1">
        <v>70000.0</v>
      </c>
      <c r="G745" s="2" t="s">
        <v>744</v>
      </c>
    </row>
    <row r="746">
      <c r="C746" s="1">
        <v>70000.0</v>
      </c>
      <c r="G746" s="2" t="s">
        <v>745</v>
      </c>
    </row>
    <row r="747">
      <c r="C747" s="1">
        <v>70000.0</v>
      </c>
      <c r="G747" s="2" t="s">
        <v>746</v>
      </c>
    </row>
    <row r="748">
      <c r="C748" s="1">
        <v>70000.0</v>
      </c>
      <c r="G748" s="2" t="s">
        <v>747</v>
      </c>
    </row>
    <row r="749">
      <c r="C749" s="1">
        <v>70000.0</v>
      </c>
      <c r="G749" s="2" t="s">
        <v>748</v>
      </c>
    </row>
    <row r="750">
      <c r="C750" s="1">
        <v>70000.0</v>
      </c>
      <c r="G750" s="2" t="s">
        <v>749</v>
      </c>
    </row>
    <row r="751">
      <c r="C751" s="1">
        <v>70000.0</v>
      </c>
      <c r="G751" s="2" t="s">
        <v>750</v>
      </c>
    </row>
    <row r="752">
      <c r="C752" s="1">
        <v>70000.0</v>
      </c>
      <c r="G752" s="2" t="s">
        <v>751</v>
      </c>
    </row>
    <row r="753">
      <c r="C753" s="1">
        <v>70000.0</v>
      </c>
      <c r="G753" s="2" t="s">
        <v>752</v>
      </c>
    </row>
    <row r="754">
      <c r="C754" s="1">
        <v>70000.0</v>
      </c>
      <c r="G754" s="2" t="s">
        <v>753</v>
      </c>
    </row>
    <row r="755">
      <c r="C755" s="1">
        <v>70000.0</v>
      </c>
      <c r="G755" s="2" t="s">
        <v>754</v>
      </c>
    </row>
    <row r="756">
      <c r="C756" s="1">
        <v>70000.0</v>
      </c>
      <c r="G756" s="2" t="s">
        <v>755</v>
      </c>
    </row>
    <row r="757">
      <c r="C757" s="1">
        <v>70000.0</v>
      </c>
      <c r="G757" s="2" t="s">
        <v>756</v>
      </c>
    </row>
    <row r="758">
      <c r="C758" s="1">
        <v>70000.0</v>
      </c>
      <c r="G758" s="2" t="s">
        <v>757</v>
      </c>
    </row>
    <row r="759">
      <c r="C759" s="1">
        <v>70000.0</v>
      </c>
      <c r="G759" s="2" t="s">
        <v>758</v>
      </c>
    </row>
    <row r="760">
      <c r="C760" s="1">
        <v>70000.0</v>
      </c>
      <c r="G760" s="2" t="s">
        <v>759</v>
      </c>
    </row>
    <row r="761">
      <c r="C761" s="1">
        <v>70000.0</v>
      </c>
      <c r="G761" s="2" t="s">
        <v>760</v>
      </c>
    </row>
    <row r="762">
      <c r="C762" s="1">
        <v>70000.0</v>
      </c>
      <c r="G762" s="2" t="s">
        <v>761</v>
      </c>
    </row>
    <row r="763">
      <c r="C763" s="1">
        <v>70000.0</v>
      </c>
      <c r="G763" s="2" t="s">
        <v>762</v>
      </c>
    </row>
    <row r="764">
      <c r="C764" s="1">
        <v>70000.0</v>
      </c>
      <c r="G764" s="2" t="s">
        <v>763</v>
      </c>
    </row>
    <row r="765">
      <c r="C765" s="1">
        <v>70000.0</v>
      </c>
      <c r="G765" s="2" t="s">
        <v>764</v>
      </c>
    </row>
    <row r="766">
      <c r="C766" s="1">
        <v>70000.0</v>
      </c>
      <c r="G766" s="2" t="s">
        <v>765</v>
      </c>
    </row>
    <row r="767">
      <c r="C767" s="1">
        <v>70000.0</v>
      </c>
      <c r="G767" s="2" t="s">
        <v>766</v>
      </c>
    </row>
    <row r="768">
      <c r="C768" s="1">
        <v>70000.0</v>
      </c>
      <c r="G768" s="2" t="s">
        <v>767</v>
      </c>
    </row>
    <row r="769">
      <c r="C769" s="1">
        <v>70000.0</v>
      </c>
      <c r="G769" s="2" t="s">
        <v>768</v>
      </c>
    </row>
    <row r="770">
      <c r="C770" s="1">
        <v>70000.0</v>
      </c>
      <c r="G770" s="2" t="s">
        <v>769</v>
      </c>
    </row>
    <row r="771">
      <c r="C771" s="1">
        <v>70000.0</v>
      </c>
      <c r="G771" s="2" t="s">
        <v>770</v>
      </c>
    </row>
    <row r="772">
      <c r="C772" s="1">
        <v>70000.0</v>
      </c>
      <c r="G772" s="2" t="s">
        <v>771</v>
      </c>
    </row>
    <row r="773">
      <c r="C773" s="1">
        <v>70000.0</v>
      </c>
      <c r="G773" s="2" t="s">
        <v>772</v>
      </c>
    </row>
    <row r="774">
      <c r="C774" s="1">
        <v>70000.0</v>
      </c>
      <c r="G774" s="2" t="s">
        <v>773</v>
      </c>
    </row>
    <row r="775">
      <c r="C775" s="1">
        <v>70000.0</v>
      </c>
      <c r="G775" s="2" t="s">
        <v>774</v>
      </c>
    </row>
    <row r="776">
      <c r="C776" s="1">
        <v>70000.0</v>
      </c>
      <c r="G776" s="2" t="s">
        <v>775</v>
      </c>
    </row>
    <row r="777">
      <c r="C777" s="1">
        <v>70000.0</v>
      </c>
      <c r="G777" s="2" t="s">
        <v>776</v>
      </c>
    </row>
    <row r="778">
      <c r="C778" s="1">
        <v>70000.0</v>
      </c>
      <c r="G778" s="2" t="s">
        <v>777</v>
      </c>
    </row>
    <row r="779">
      <c r="C779" s="1">
        <v>70000.0</v>
      </c>
      <c r="G779" s="2" t="s">
        <v>778</v>
      </c>
    </row>
    <row r="780">
      <c r="C780" s="1">
        <v>70000.0</v>
      </c>
      <c r="G780" s="2" t="s">
        <v>779</v>
      </c>
    </row>
    <row r="781">
      <c r="C781" s="1">
        <v>70000.0</v>
      </c>
      <c r="G781" s="2" t="s">
        <v>780</v>
      </c>
    </row>
    <row r="782">
      <c r="C782" s="1">
        <v>70000.0</v>
      </c>
      <c r="G782" s="2" t="s">
        <v>781</v>
      </c>
    </row>
    <row r="783">
      <c r="C783" s="1">
        <v>70000.0</v>
      </c>
      <c r="G783" s="2" t="s">
        <v>782</v>
      </c>
    </row>
    <row r="784">
      <c r="C784" s="1">
        <v>70000.0</v>
      </c>
      <c r="G784" s="2" t="s">
        <v>783</v>
      </c>
    </row>
    <row r="785">
      <c r="C785" s="1">
        <v>70000.0</v>
      </c>
      <c r="G785" s="2" t="s">
        <v>784</v>
      </c>
    </row>
    <row r="786">
      <c r="C786" s="1">
        <v>70000.0</v>
      </c>
      <c r="G786" s="2" t="s">
        <v>785</v>
      </c>
    </row>
    <row r="787">
      <c r="C787" s="1">
        <v>70000.0</v>
      </c>
      <c r="G787" s="2" t="s">
        <v>786</v>
      </c>
    </row>
    <row r="788">
      <c r="C788" s="1">
        <v>70000.0</v>
      </c>
      <c r="G788" s="2" t="s">
        <v>787</v>
      </c>
    </row>
    <row r="789">
      <c r="C789" s="1">
        <v>70000.0</v>
      </c>
      <c r="G789" s="2" t="s">
        <v>788</v>
      </c>
    </row>
    <row r="790">
      <c r="C790" s="1">
        <v>70000.0</v>
      </c>
      <c r="G790" s="2" t="s">
        <v>789</v>
      </c>
    </row>
    <row r="791">
      <c r="C791" s="1">
        <v>70000.0</v>
      </c>
      <c r="G791" s="2" t="s">
        <v>790</v>
      </c>
    </row>
    <row r="792">
      <c r="C792" s="1">
        <v>70000.0</v>
      </c>
      <c r="G792" s="2" t="s">
        <v>791</v>
      </c>
    </row>
    <row r="793">
      <c r="C793" s="1">
        <v>70000.0</v>
      </c>
      <c r="G793" s="2" t="s">
        <v>792</v>
      </c>
    </row>
    <row r="794">
      <c r="C794" s="1">
        <v>70000.0</v>
      </c>
      <c r="G794" s="2" t="s">
        <v>793</v>
      </c>
    </row>
    <row r="795">
      <c r="C795" s="1">
        <v>70000.0</v>
      </c>
      <c r="G795" s="2" t="s">
        <v>794</v>
      </c>
    </row>
    <row r="796">
      <c r="C796" s="1">
        <v>70000.0</v>
      </c>
      <c r="G796" s="2" t="s">
        <v>795</v>
      </c>
    </row>
    <row r="797">
      <c r="C797" s="1">
        <v>70000.0</v>
      </c>
      <c r="G797" s="2" t="s">
        <v>796</v>
      </c>
    </row>
    <row r="798">
      <c r="C798" s="1">
        <v>70000.0</v>
      </c>
      <c r="G798" s="2" t="s">
        <v>797</v>
      </c>
    </row>
    <row r="799">
      <c r="C799" s="1">
        <v>70000.0</v>
      </c>
      <c r="G799" s="2" t="s">
        <v>798</v>
      </c>
    </row>
    <row r="800">
      <c r="C800" s="1">
        <v>70000.0</v>
      </c>
      <c r="G800" s="2" t="s">
        <v>799</v>
      </c>
    </row>
    <row r="801">
      <c r="C801" s="1">
        <v>70000.0</v>
      </c>
      <c r="G801" s="2" t="s">
        <v>800</v>
      </c>
    </row>
    <row r="802">
      <c r="C802" s="1">
        <v>70000.0</v>
      </c>
      <c r="G802" s="2" t="s">
        <v>801</v>
      </c>
    </row>
    <row r="803">
      <c r="C803" s="1">
        <v>70000.0</v>
      </c>
      <c r="G803" s="2" t="s">
        <v>802</v>
      </c>
    </row>
    <row r="804">
      <c r="C804" s="1">
        <v>70000.0</v>
      </c>
      <c r="G804" s="2" t="s">
        <v>803</v>
      </c>
    </row>
    <row r="805">
      <c r="C805" s="1">
        <v>70000.0</v>
      </c>
      <c r="G805" s="2" t="s">
        <v>804</v>
      </c>
    </row>
    <row r="806">
      <c r="C806" s="1">
        <v>70000.0</v>
      </c>
      <c r="G806" s="2" t="s">
        <v>805</v>
      </c>
    </row>
    <row r="807">
      <c r="C807" s="1">
        <v>70000.0</v>
      </c>
      <c r="G807" s="2" t="s">
        <v>806</v>
      </c>
    </row>
    <row r="808">
      <c r="C808" s="1">
        <v>70000.0</v>
      </c>
      <c r="G808" s="2" t="s">
        <v>807</v>
      </c>
    </row>
    <row r="809">
      <c r="C809" s="1">
        <v>70000.0</v>
      </c>
      <c r="G809" s="2" t="s">
        <v>808</v>
      </c>
    </row>
    <row r="810">
      <c r="C810" s="1">
        <v>70000.0</v>
      </c>
      <c r="G810" s="2" t="s">
        <v>809</v>
      </c>
    </row>
    <row r="811">
      <c r="C811" s="1">
        <v>70000.0</v>
      </c>
      <c r="G811" s="2" t="s">
        <v>810</v>
      </c>
    </row>
    <row r="812">
      <c r="C812" s="1">
        <v>70000.0</v>
      </c>
      <c r="G812" s="2" t="s">
        <v>811</v>
      </c>
    </row>
    <row r="813">
      <c r="C813" s="1">
        <v>70000.0</v>
      </c>
      <c r="G813" s="2" t="s">
        <v>812</v>
      </c>
    </row>
    <row r="814">
      <c r="C814" s="1">
        <v>70000.0</v>
      </c>
      <c r="G814" s="2" t="s">
        <v>813</v>
      </c>
    </row>
    <row r="815">
      <c r="C815" s="1">
        <v>70000.0</v>
      </c>
      <c r="G815" s="2" t="s">
        <v>814</v>
      </c>
    </row>
    <row r="816">
      <c r="C816" s="1">
        <v>70000.0</v>
      </c>
      <c r="G816" s="2" t="s">
        <v>815</v>
      </c>
    </row>
    <row r="817">
      <c r="C817" s="1">
        <v>70000.0</v>
      </c>
      <c r="G817" s="2" t="s">
        <v>816</v>
      </c>
    </row>
    <row r="818">
      <c r="C818" s="1">
        <v>70000.0</v>
      </c>
      <c r="G818" s="2" t="s">
        <v>817</v>
      </c>
    </row>
    <row r="819">
      <c r="C819" s="1">
        <v>70000.0</v>
      </c>
      <c r="G819" s="2" t="s">
        <v>818</v>
      </c>
    </row>
    <row r="820">
      <c r="C820" s="1">
        <v>70000.0</v>
      </c>
      <c r="G820" s="2" t="s">
        <v>819</v>
      </c>
    </row>
    <row r="821">
      <c r="C821" s="1">
        <v>70000.0</v>
      </c>
      <c r="G821" s="2" t="s">
        <v>820</v>
      </c>
    </row>
    <row r="822">
      <c r="C822" s="1">
        <v>70000.0</v>
      </c>
      <c r="G822" s="2" t="s">
        <v>821</v>
      </c>
    </row>
    <row r="823">
      <c r="C823" s="1">
        <v>70000.0</v>
      </c>
      <c r="G823" s="2" t="s">
        <v>822</v>
      </c>
    </row>
    <row r="824">
      <c r="C824" s="1">
        <v>70000.0</v>
      </c>
      <c r="G824" s="2" t="s">
        <v>823</v>
      </c>
    </row>
    <row r="825">
      <c r="C825" s="1">
        <v>70000.0</v>
      </c>
      <c r="G825" s="2" t="s">
        <v>824</v>
      </c>
    </row>
    <row r="826">
      <c r="C826" s="1">
        <v>70000.0</v>
      </c>
      <c r="G826" s="2" t="s">
        <v>825</v>
      </c>
    </row>
    <row r="827">
      <c r="C827" s="1">
        <v>70000.0</v>
      </c>
      <c r="G827" s="2" t="s">
        <v>826</v>
      </c>
    </row>
    <row r="828">
      <c r="C828" s="1">
        <v>70000.0</v>
      </c>
      <c r="G828" s="2" t="s">
        <v>827</v>
      </c>
    </row>
    <row r="829">
      <c r="C829" s="1">
        <v>70000.0</v>
      </c>
      <c r="G829" s="2" t="s">
        <v>828</v>
      </c>
    </row>
    <row r="830">
      <c r="C830" s="1">
        <v>70000.0</v>
      </c>
      <c r="G830" s="2" t="s">
        <v>829</v>
      </c>
    </row>
    <row r="831">
      <c r="C831" s="1">
        <v>70000.0</v>
      </c>
      <c r="G831" s="2" t="s">
        <v>830</v>
      </c>
    </row>
    <row r="832">
      <c r="C832" s="1">
        <v>70000.0</v>
      </c>
      <c r="G832" s="2" t="s">
        <v>831</v>
      </c>
    </row>
    <row r="833">
      <c r="C833" s="1">
        <v>70000.0</v>
      </c>
      <c r="G833" s="2" t="s">
        <v>832</v>
      </c>
    </row>
    <row r="834">
      <c r="C834" s="1">
        <v>70000.0</v>
      </c>
      <c r="G834" s="2" t="s">
        <v>833</v>
      </c>
    </row>
    <row r="835">
      <c r="C835" s="1">
        <v>70000.0</v>
      </c>
      <c r="G835" s="2" t="s">
        <v>834</v>
      </c>
    </row>
    <row r="836">
      <c r="C836" s="1">
        <v>70000.0</v>
      </c>
      <c r="G836" s="2" t="s">
        <v>835</v>
      </c>
    </row>
    <row r="837">
      <c r="C837" s="1">
        <v>70000.0</v>
      </c>
      <c r="G837" s="2" t="s">
        <v>836</v>
      </c>
    </row>
    <row r="838">
      <c r="C838" s="1">
        <v>70000.0</v>
      </c>
      <c r="G838" s="2" t="s">
        <v>837</v>
      </c>
    </row>
    <row r="839">
      <c r="C839" s="1">
        <v>70000.0</v>
      </c>
      <c r="G839" s="2" t="s">
        <v>838</v>
      </c>
    </row>
    <row r="840">
      <c r="C840" s="1">
        <v>70000.0</v>
      </c>
      <c r="G840" s="2" t="s">
        <v>839</v>
      </c>
    </row>
    <row r="841">
      <c r="C841" s="1">
        <v>70000.0</v>
      </c>
      <c r="G841" s="2" t="s">
        <v>840</v>
      </c>
    </row>
    <row r="842">
      <c r="C842" s="1">
        <v>70000.0</v>
      </c>
      <c r="G842" s="2" t="s">
        <v>841</v>
      </c>
    </row>
    <row r="843">
      <c r="C843" s="1">
        <v>70000.0</v>
      </c>
      <c r="G843" s="2" t="s">
        <v>842</v>
      </c>
    </row>
    <row r="844">
      <c r="C844" s="1">
        <v>70000.0</v>
      </c>
      <c r="G844" s="2" t="s">
        <v>843</v>
      </c>
    </row>
    <row r="845">
      <c r="C845" s="1">
        <v>70000.0</v>
      </c>
      <c r="G845" s="2" t="s">
        <v>844</v>
      </c>
    </row>
    <row r="846">
      <c r="C846" s="1">
        <v>70000.0</v>
      </c>
      <c r="G846" s="2" t="s">
        <v>845</v>
      </c>
    </row>
    <row r="847">
      <c r="C847" s="1">
        <v>70000.0</v>
      </c>
      <c r="G847" s="2" t="s">
        <v>846</v>
      </c>
    </row>
    <row r="848">
      <c r="C848" s="1">
        <v>70000.0</v>
      </c>
      <c r="G848" s="2" t="s">
        <v>847</v>
      </c>
    </row>
    <row r="849">
      <c r="C849" s="1">
        <v>70000.0</v>
      </c>
      <c r="G849" s="2" t="s">
        <v>848</v>
      </c>
    </row>
    <row r="850">
      <c r="C850" s="1">
        <v>70000.0</v>
      </c>
      <c r="G850" s="2" t="s">
        <v>849</v>
      </c>
    </row>
    <row r="851">
      <c r="C851" s="1">
        <v>70000.0</v>
      </c>
      <c r="G851" s="2" t="s">
        <v>850</v>
      </c>
    </row>
    <row r="852">
      <c r="C852" s="1">
        <v>70000.0</v>
      </c>
      <c r="G852" s="2" t="s">
        <v>851</v>
      </c>
    </row>
    <row r="853">
      <c r="C853" s="1">
        <v>70000.0</v>
      </c>
      <c r="G853" s="2" t="s">
        <v>852</v>
      </c>
    </row>
    <row r="854">
      <c r="C854" s="1">
        <v>70000.0</v>
      </c>
      <c r="G854" s="2" t="s">
        <v>853</v>
      </c>
    </row>
    <row r="855">
      <c r="C855" s="1">
        <v>70000.0</v>
      </c>
      <c r="G855" s="2" t="s">
        <v>854</v>
      </c>
    </row>
    <row r="856">
      <c r="C856" s="1">
        <v>70000.0</v>
      </c>
      <c r="G856" s="2" t="s">
        <v>855</v>
      </c>
    </row>
    <row r="857">
      <c r="C857" s="1">
        <v>70000.0</v>
      </c>
      <c r="G857" s="2" t="s">
        <v>856</v>
      </c>
    </row>
    <row r="858">
      <c r="C858" s="1">
        <v>70000.0</v>
      </c>
      <c r="G858" s="2" t="s">
        <v>857</v>
      </c>
    </row>
    <row r="859">
      <c r="C859" s="1">
        <v>70000.0</v>
      </c>
      <c r="G859" s="2" t="s">
        <v>858</v>
      </c>
    </row>
    <row r="860">
      <c r="C860" s="1">
        <v>70000.0</v>
      </c>
      <c r="G860" s="2" t="s">
        <v>859</v>
      </c>
    </row>
    <row r="861">
      <c r="C861" s="1">
        <v>70000.0</v>
      </c>
      <c r="G861" s="2" t="s">
        <v>860</v>
      </c>
    </row>
    <row r="862">
      <c r="C862" s="1">
        <v>70000.0</v>
      </c>
      <c r="G862" s="2" t="s">
        <v>861</v>
      </c>
    </row>
    <row r="863">
      <c r="C863" s="1">
        <v>70000.0</v>
      </c>
      <c r="G863" s="2" t="s">
        <v>862</v>
      </c>
    </row>
    <row r="864">
      <c r="C864" s="1">
        <v>70000.0</v>
      </c>
      <c r="G864" s="2" t="s">
        <v>863</v>
      </c>
    </row>
    <row r="865">
      <c r="C865" s="1">
        <v>70000.0</v>
      </c>
      <c r="G865" s="2" t="s">
        <v>864</v>
      </c>
    </row>
    <row r="866">
      <c r="C866" s="1">
        <v>70000.0</v>
      </c>
      <c r="G866" s="2" t="s">
        <v>865</v>
      </c>
    </row>
    <row r="867">
      <c r="C867" s="1">
        <v>70000.0</v>
      </c>
      <c r="G867" s="2" t="s">
        <v>866</v>
      </c>
    </row>
    <row r="868">
      <c r="C868" s="1">
        <v>70000.0</v>
      </c>
      <c r="G868" s="2" t="s">
        <v>867</v>
      </c>
    </row>
    <row r="869">
      <c r="C869" s="1">
        <v>70000.0</v>
      </c>
      <c r="G869" s="2" t="s">
        <v>868</v>
      </c>
    </row>
    <row r="870">
      <c r="C870" s="1">
        <v>70000.0</v>
      </c>
      <c r="G870" s="2" t="s">
        <v>869</v>
      </c>
    </row>
    <row r="871">
      <c r="C871" s="1">
        <v>70000.0</v>
      </c>
      <c r="G871" s="2" t="s">
        <v>870</v>
      </c>
    </row>
    <row r="872">
      <c r="C872" s="1">
        <v>70000.0</v>
      </c>
      <c r="G872" s="2" t="s">
        <v>871</v>
      </c>
    </row>
    <row r="873">
      <c r="C873" s="1">
        <v>70000.0</v>
      </c>
      <c r="G873" s="2" t="s">
        <v>872</v>
      </c>
    </row>
    <row r="874">
      <c r="C874" s="1">
        <v>70000.0</v>
      </c>
      <c r="G874" s="2" t="s">
        <v>873</v>
      </c>
    </row>
    <row r="875">
      <c r="C875" s="1">
        <v>70000.0</v>
      </c>
      <c r="G875" s="2" t="s">
        <v>874</v>
      </c>
    </row>
    <row r="876">
      <c r="C876" s="1">
        <v>70000.0</v>
      </c>
      <c r="G876" s="2" t="s">
        <v>875</v>
      </c>
    </row>
    <row r="877">
      <c r="C877" s="1">
        <v>70000.0</v>
      </c>
      <c r="G877" s="2" t="s">
        <v>876</v>
      </c>
    </row>
    <row r="878">
      <c r="C878" s="1">
        <v>70000.0</v>
      </c>
      <c r="G878" s="2" t="s">
        <v>877</v>
      </c>
    </row>
    <row r="879">
      <c r="C879" s="1">
        <v>70000.0</v>
      </c>
      <c r="G879" s="2" t="s">
        <v>878</v>
      </c>
    </row>
    <row r="880">
      <c r="C880" s="1">
        <v>70000.0</v>
      </c>
      <c r="G880" s="2" t="s">
        <v>879</v>
      </c>
    </row>
    <row r="881">
      <c r="C881" s="1">
        <v>70000.0</v>
      </c>
      <c r="G881" s="2" t="s">
        <v>880</v>
      </c>
    </row>
    <row r="882">
      <c r="C882" s="1">
        <v>70000.0</v>
      </c>
      <c r="G882" s="2" t="s">
        <v>881</v>
      </c>
    </row>
    <row r="883">
      <c r="C883" s="1">
        <v>70000.0</v>
      </c>
      <c r="G883" s="2" t="s">
        <v>882</v>
      </c>
    </row>
    <row r="884">
      <c r="C884" s="1">
        <v>70000.0</v>
      </c>
      <c r="G884" s="2" t="s">
        <v>883</v>
      </c>
    </row>
    <row r="885">
      <c r="C885" s="1">
        <v>70000.0</v>
      </c>
      <c r="G885" s="2" t="s">
        <v>884</v>
      </c>
    </row>
    <row r="886">
      <c r="C886" s="1">
        <v>70000.0</v>
      </c>
      <c r="G886" s="2" t="s">
        <v>885</v>
      </c>
    </row>
    <row r="887">
      <c r="C887" s="1">
        <v>70000.0</v>
      </c>
      <c r="G887" s="2" t="s">
        <v>886</v>
      </c>
    </row>
    <row r="888">
      <c r="C888" s="1">
        <v>70000.0</v>
      </c>
      <c r="G888" s="2" t="s">
        <v>887</v>
      </c>
    </row>
    <row r="889">
      <c r="C889" s="1">
        <v>70000.0</v>
      </c>
      <c r="G889" s="2" t="s">
        <v>888</v>
      </c>
    </row>
    <row r="890">
      <c r="C890" s="1">
        <v>70000.0</v>
      </c>
      <c r="G890" s="2" t="s">
        <v>889</v>
      </c>
    </row>
    <row r="891">
      <c r="C891" s="1">
        <v>70000.0</v>
      </c>
      <c r="G891" s="2" t="s">
        <v>890</v>
      </c>
    </row>
    <row r="892">
      <c r="C892" s="1">
        <v>70000.0</v>
      </c>
      <c r="G892" s="2" t="s">
        <v>891</v>
      </c>
    </row>
    <row r="893">
      <c r="C893" s="1">
        <v>70000.0</v>
      </c>
      <c r="G893" s="2" t="s">
        <v>892</v>
      </c>
    </row>
    <row r="894">
      <c r="C894" s="1">
        <v>70000.0</v>
      </c>
      <c r="G894" s="2" t="s">
        <v>893</v>
      </c>
    </row>
    <row r="895">
      <c r="C895" s="1">
        <v>70000.0</v>
      </c>
      <c r="G895" s="2" t="s">
        <v>894</v>
      </c>
    </row>
    <row r="896">
      <c r="C896" s="1">
        <v>70000.0</v>
      </c>
      <c r="G896" s="2" t="s">
        <v>895</v>
      </c>
    </row>
    <row r="897">
      <c r="C897" s="1">
        <v>70000.0</v>
      </c>
      <c r="G897" s="2" t="s">
        <v>896</v>
      </c>
    </row>
    <row r="898">
      <c r="C898" s="1">
        <v>70000.0</v>
      </c>
      <c r="G898" s="2" t="s">
        <v>897</v>
      </c>
    </row>
    <row r="899">
      <c r="C899" s="1">
        <v>70000.0</v>
      </c>
      <c r="G899" s="2" t="s">
        <v>898</v>
      </c>
    </row>
    <row r="900">
      <c r="C900" s="1">
        <v>70000.0</v>
      </c>
      <c r="G900" s="2" t="s">
        <v>899</v>
      </c>
    </row>
    <row r="901">
      <c r="C901" s="1">
        <v>70000.0</v>
      </c>
      <c r="G901" s="2" t="s">
        <v>900</v>
      </c>
    </row>
    <row r="902">
      <c r="C902" s="1">
        <v>70000.0</v>
      </c>
      <c r="G902" s="2" t="s">
        <v>901</v>
      </c>
    </row>
    <row r="903">
      <c r="C903" s="1">
        <v>70000.0</v>
      </c>
      <c r="G903" s="2" t="s">
        <v>902</v>
      </c>
    </row>
    <row r="904">
      <c r="C904" s="1">
        <v>70000.0</v>
      </c>
      <c r="G904" s="2" t="s">
        <v>903</v>
      </c>
    </row>
    <row r="905">
      <c r="C905" s="1">
        <v>70000.0</v>
      </c>
      <c r="G905" s="2" t="s">
        <v>904</v>
      </c>
    </row>
    <row r="906">
      <c r="C906" s="1">
        <v>70000.0</v>
      </c>
      <c r="G906" s="2" t="s">
        <v>905</v>
      </c>
    </row>
    <row r="907">
      <c r="C907" s="1">
        <v>70000.0</v>
      </c>
      <c r="G907" s="2" t="s">
        <v>906</v>
      </c>
    </row>
    <row r="908">
      <c r="C908" s="1">
        <v>70000.0</v>
      </c>
      <c r="G908" s="2" t="s">
        <v>907</v>
      </c>
    </row>
    <row r="909">
      <c r="C909" s="1">
        <v>70000.0</v>
      </c>
      <c r="G909" s="2" t="s">
        <v>908</v>
      </c>
    </row>
    <row r="910">
      <c r="C910" s="1">
        <v>70000.0</v>
      </c>
      <c r="G910" s="2" t="s">
        <v>909</v>
      </c>
    </row>
    <row r="911">
      <c r="C911" s="1">
        <v>70000.0</v>
      </c>
      <c r="G911" s="2" t="s">
        <v>910</v>
      </c>
    </row>
    <row r="912">
      <c r="C912" s="1">
        <v>70000.0</v>
      </c>
      <c r="G912" s="2" t="s">
        <v>911</v>
      </c>
    </row>
    <row r="913">
      <c r="C913" s="1">
        <v>70000.0</v>
      </c>
      <c r="G913" s="2" t="s">
        <v>912</v>
      </c>
    </row>
    <row r="914">
      <c r="C914" s="1">
        <v>70000.0</v>
      </c>
      <c r="G914" s="2" t="s">
        <v>913</v>
      </c>
    </row>
    <row r="915">
      <c r="C915" s="1">
        <v>70000.0</v>
      </c>
      <c r="G915" s="2" t="s">
        <v>914</v>
      </c>
    </row>
    <row r="916">
      <c r="C916" s="1">
        <v>70000.0</v>
      </c>
      <c r="G916" s="2" t="s">
        <v>915</v>
      </c>
    </row>
    <row r="917">
      <c r="C917" s="1">
        <v>70000.0</v>
      </c>
      <c r="G917" s="2" t="s">
        <v>916</v>
      </c>
    </row>
    <row r="918">
      <c r="C918" s="1">
        <v>70000.0</v>
      </c>
      <c r="G918" s="2" t="s">
        <v>917</v>
      </c>
    </row>
    <row r="919">
      <c r="C919" s="1">
        <v>70000.0</v>
      </c>
      <c r="G919" s="2" t="s">
        <v>918</v>
      </c>
    </row>
    <row r="920">
      <c r="C920" s="1">
        <v>70000.0</v>
      </c>
      <c r="G920" s="2" t="s">
        <v>919</v>
      </c>
    </row>
    <row r="921">
      <c r="C921" s="1">
        <v>70000.0</v>
      </c>
      <c r="G921" s="2" t="s">
        <v>920</v>
      </c>
    </row>
    <row r="922">
      <c r="C922" s="1">
        <v>70000.0</v>
      </c>
      <c r="G922" s="2" t="s">
        <v>921</v>
      </c>
    </row>
    <row r="923">
      <c r="C923" s="1">
        <v>70000.0</v>
      </c>
      <c r="G923" s="2" t="s">
        <v>922</v>
      </c>
    </row>
    <row r="924">
      <c r="C924" s="1">
        <v>70000.0</v>
      </c>
      <c r="G924" s="2" t="s">
        <v>923</v>
      </c>
    </row>
    <row r="925">
      <c r="C925" s="1">
        <v>70000.0</v>
      </c>
      <c r="G925" s="2" t="s">
        <v>924</v>
      </c>
    </row>
    <row r="926">
      <c r="C926" s="1">
        <v>70000.0</v>
      </c>
      <c r="G926" s="2" t="s">
        <v>925</v>
      </c>
    </row>
    <row r="927">
      <c r="C927" s="1">
        <v>70000.0</v>
      </c>
      <c r="G927" s="2" t="s">
        <v>926</v>
      </c>
    </row>
    <row r="928">
      <c r="C928" s="1">
        <v>70000.0</v>
      </c>
      <c r="G928" s="2" t="s">
        <v>927</v>
      </c>
    </row>
    <row r="929">
      <c r="C929" s="1">
        <v>70000.0</v>
      </c>
      <c r="G929" s="2" t="s">
        <v>928</v>
      </c>
    </row>
    <row r="930">
      <c r="C930" s="1">
        <v>70000.0</v>
      </c>
      <c r="G930" s="2" t="s">
        <v>929</v>
      </c>
    </row>
    <row r="931">
      <c r="C931" s="1">
        <v>70000.0</v>
      </c>
      <c r="G931" s="2" t="s">
        <v>930</v>
      </c>
    </row>
    <row r="932">
      <c r="C932" s="1">
        <v>70000.0</v>
      </c>
      <c r="G932" s="2" t="s">
        <v>931</v>
      </c>
    </row>
    <row r="933">
      <c r="C933" s="1">
        <v>70000.0</v>
      </c>
      <c r="G933" s="2" t="s">
        <v>932</v>
      </c>
    </row>
    <row r="934">
      <c r="C934" s="1">
        <v>70000.0</v>
      </c>
      <c r="G934" s="2" t="s">
        <v>933</v>
      </c>
    </row>
    <row r="935">
      <c r="C935" s="1">
        <v>70000.0</v>
      </c>
      <c r="G935" s="2" t="s">
        <v>934</v>
      </c>
    </row>
    <row r="936">
      <c r="C936" s="1">
        <v>70000.0</v>
      </c>
      <c r="G936" s="2" t="s">
        <v>935</v>
      </c>
    </row>
    <row r="937">
      <c r="C937" s="1">
        <v>70000.0</v>
      </c>
      <c r="G937" s="2" t="s">
        <v>936</v>
      </c>
    </row>
    <row r="938">
      <c r="C938" s="1">
        <v>70000.0</v>
      </c>
      <c r="G938" s="2" t="s">
        <v>937</v>
      </c>
    </row>
    <row r="939">
      <c r="C939" s="1">
        <v>70000.0</v>
      </c>
      <c r="G939" s="2" t="s">
        <v>938</v>
      </c>
    </row>
    <row r="940">
      <c r="C940" s="1">
        <v>70000.0</v>
      </c>
      <c r="G940" s="2" t="s">
        <v>939</v>
      </c>
    </row>
    <row r="941">
      <c r="C941" s="1">
        <v>70000.0</v>
      </c>
      <c r="G941" s="2" t="s">
        <v>940</v>
      </c>
    </row>
    <row r="942">
      <c r="C942" s="1">
        <v>70000.0</v>
      </c>
      <c r="G942" s="2" t="s">
        <v>941</v>
      </c>
    </row>
    <row r="943">
      <c r="C943" s="1">
        <v>70000.0</v>
      </c>
      <c r="G943" s="2" t="s">
        <v>942</v>
      </c>
    </row>
    <row r="944">
      <c r="C944" s="1">
        <v>70000.0</v>
      </c>
      <c r="G944" s="2" t="s">
        <v>943</v>
      </c>
    </row>
    <row r="945">
      <c r="C945" s="1">
        <v>70000.0</v>
      </c>
      <c r="G945" s="2" t="s">
        <v>944</v>
      </c>
    </row>
    <row r="946">
      <c r="C946" s="1">
        <v>70000.0</v>
      </c>
      <c r="G946" s="2" t="s">
        <v>945</v>
      </c>
    </row>
    <row r="947">
      <c r="C947" s="1">
        <v>70000.0</v>
      </c>
      <c r="G947" s="2" t="s">
        <v>946</v>
      </c>
    </row>
    <row r="948">
      <c r="C948" s="1">
        <v>70000.0</v>
      </c>
      <c r="G948" s="2" t="s">
        <v>947</v>
      </c>
    </row>
    <row r="949">
      <c r="C949" s="1">
        <v>70000.0</v>
      </c>
      <c r="G949" s="2" t="s">
        <v>948</v>
      </c>
    </row>
    <row r="950">
      <c r="C950" s="1">
        <v>70000.0</v>
      </c>
      <c r="G950" s="2" t="s">
        <v>949</v>
      </c>
    </row>
    <row r="951">
      <c r="C951" s="1">
        <v>70000.0</v>
      </c>
      <c r="G951" s="2" t="s">
        <v>950</v>
      </c>
    </row>
    <row r="952">
      <c r="C952" s="1">
        <v>70000.0</v>
      </c>
      <c r="G952" s="2" t="s">
        <v>951</v>
      </c>
    </row>
    <row r="953">
      <c r="C953" s="1">
        <v>70000.0</v>
      </c>
      <c r="G953" s="2" t="s">
        <v>952</v>
      </c>
    </row>
    <row r="954">
      <c r="C954" s="1">
        <v>70000.0</v>
      </c>
      <c r="G954" s="2" t="s">
        <v>953</v>
      </c>
    </row>
    <row r="955">
      <c r="C955" s="1">
        <v>70000.0</v>
      </c>
      <c r="G955" s="2" t="s">
        <v>954</v>
      </c>
    </row>
    <row r="956">
      <c r="C956" s="1">
        <v>70000.0</v>
      </c>
      <c r="G956" s="2" t="s">
        <v>955</v>
      </c>
    </row>
    <row r="957">
      <c r="C957" s="1">
        <v>70000.0</v>
      </c>
      <c r="G957" s="2" t="s">
        <v>956</v>
      </c>
    </row>
    <row r="958">
      <c r="C958" s="1">
        <v>70000.0</v>
      </c>
      <c r="G958" s="2" t="s">
        <v>957</v>
      </c>
    </row>
    <row r="959">
      <c r="C959" s="1">
        <v>70000.0</v>
      </c>
      <c r="G959" s="2" t="s">
        <v>958</v>
      </c>
    </row>
    <row r="960">
      <c r="C960" s="1">
        <v>70000.0</v>
      </c>
      <c r="G960" s="2" t="s">
        <v>959</v>
      </c>
    </row>
    <row r="961">
      <c r="C961" s="1">
        <v>70000.0</v>
      </c>
      <c r="G961" s="2" t="s">
        <v>960</v>
      </c>
    </row>
    <row r="962">
      <c r="C962" s="1">
        <v>70000.0</v>
      </c>
      <c r="G962" s="2" t="s">
        <v>961</v>
      </c>
    </row>
    <row r="963">
      <c r="C963" s="1">
        <v>70000.0</v>
      </c>
      <c r="G963" s="2" t="s">
        <v>962</v>
      </c>
    </row>
    <row r="964">
      <c r="C964" s="1">
        <v>70000.0</v>
      </c>
      <c r="G964" s="2" t="s">
        <v>963</v>
      </c>
    </row>
    <row r="965">
      <c r="C965" s="1">
        <v>70000.0</v>
      </c>
      <c r="G965" s="2" t="s">
        <v>964</v>
      </c>
    </row>
    <row r="966">
      <c r="C966" s="1">
        <v>70000.0</v>
      </c>
      <c r="G966" s="2" t="s">
        <v>965</v>
      </c>
    </row>
    <row r="967">
      <c r="C967" s="1">
        <v>70000.0</v>
      </c>
      <c r="G967" s="2" t="s">
        <v>966</v>
      </c>
    </row>
    <row r="968">
      <c r="C968" s="1">
        <v>70000.0</v>
      </c>
      <c r="G968" s="2" t="s">
        <v>967</v>
      </c>
    </row>
    <row r="969">
      <c r="C969" s="1">
        <v>70000.0</v>
      </c>
      <c r="G969" s="2" t="s">
        <v>968</v>
      </c>
    </row>
    <row r="970">
      <c r="C970" s="1">
        <v>70000.0</v>
      </c>
      <c r="G970" s="2" t="s">
        <v>969</v>
      </c>
    </row>
    <row r="971">
      <c r="C971" s="1">
        <v>70000.0</v>
      </c>
      <c r="G971" s="2" t="s">
        <v>970</v>
      </c>
    </row>
    <row r="972">
      <c r="C972" s="1">
        <v>70000.0</v>
      </c>
      <c r="G972" s="2" t="s">
        <v>971</v>
      </c>
    </row>
    <row r="973">
      <c r="C973" s="1">
        <v>70000.0</v>
      </c>
      <c r="G973" s="2" t="s">
        <v>972</v>
      </c>
    </row>
    <row r="974">
      <c r="C974" s="1">
        <v>70000.0</v>
      </c>
      <c r="G974" s="2" t="s">
        <v>973</v>
      </c>
    </row>
    <row r="975">
      <c r="C975" s="1">
        <v>70000.0</v>
      </c>
      <c r="G975" s="2" t="s">
        <v>974</v>
      </c>
    </row>
    <row r="976">
      <c r="C976" s="1">
        <v>70000.0</v>
      </c>
      <c r="G976" s="2" t="s">
        <v>975</v>
      </c>
    </row>
    <row r="977">
      <c r="C977" s="1">
        <v>70000.0</v>
      </c>
      <c r="G977" s="2" t="s">
        <v>976</v>
      </c>
    </row>
    <row r="978">
      <c r="C978" s="1">
        <v>70000.0</v>
      </c>
      <c r="G978" s="2" t="s">
        <v>977</v>
      </c>
    </row>
    <row r="979">
      <c r="C979" s="1">
        <v>70000.0</v>
      </c>
      <c r="G979" s="2" t="s">
        <v>978</v>
      </c>
    </row>
    <row r="980">
      <c r="C980" s="1">
        <v>70000.0</v>
      </c>
      <c r="G980" s="2" t="s">
        <v>979</v>
      </c>
    </row>
    <row r="981">
      <c r="C981" s="1">
        <v>70000.0</v>
      </c>
      <c r="G981" s="2" t="s">
        <v>980</v>
      </c>
    </row>
    <row r="982">
      <c r="C982" s="1">
        <v>70000.0</v>
      </c>
      <c r="G982" s="2" t="s">
        <v>981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17.63"/>
    <col customWidth="1" min="3" max="3" width="17.25"/>
    <col customWidth="1" min="4" max="4" width="12.25"/>
    <col customWidth="1" min="5" max="5" width="14.75"/>
    <col customWidth="1" min="6" max="6" width="7.88"/>
    <col customWidth="1" min="7" max="7" width="11.13"/>
    <col customWidth="1" min="8" max="9" width="14.0"/>
    <col customWidth="1" min="10" max="10" width="14.75"/>
    <col customWidth="1" min="11" max="17" width="9.25"/>
  </cols>
  <sheetData>
    <row r="1">
      <c r="A1" s="3" t="s">
        <v>982</v>
      </c>
      <c r="B1" s="3" t="s">
        <v>983</v>
      </c>
      <c r="C1" s="3" t="s">
        <v>984</v>
      </c>
      <c r="D1" s="3" t="s">
        <v>985</v>
      </c>
      <c r="E1" s="3" t="s">
        <v>986</v>
      </c>
      <c r="F1" s="3" t="s">
        <v>987</v>
      </c>
      <c r="G1" s="3" t="s">
        <v>988</v>
      </c>
      <c r="H1" s="3" t="s">
        <v>989</v>
      </c>
      <c r="I1" s="3" t="s">
        <v>990</v>
      </c>
      <c r="J1" s="4" t="s">
        <v>991</v>
      </c>
      <c r="K1" s="3" t="s">
        <v>992</v>
      </c>
      <c r="L1" s="4" t="s">
        <v>993</v>
      </c>
      <c r="M1" s="4" t="s">
        <v>994</v>
      </c>
      <c r="N1" s="4" t="s">
        <v>995</v>
      </c>
      <c r="O1" s="3"/>
      <c r="P1" s="3"/>
      <c r="Q1" s="3"/>
    </row>
    <row r="2">
      <c r="A2" s="5">
        <v>145.0</v>
      </c>
      <c r="B2" s="3" t="s">
        <v>996</v>
      </c>
      <c r="C2" s="3" t="s">
        <v>997</v>
      </c>
      <c r="D2" s="3" t="s">
        <v>998</v>
      </c>
      <c r="E2" s="3">
        <v>580809.0</v>
      </c>
      <c r="F2" s="5">
        <v>2.0</v>
      </c>
      <c r="G2" s="3" t="s">
        <v>999</v>
      </c>
      <c r="H2" s="3" t="s">
        <v>1000</v>
      </c>
      <c r="I2" s="3">
        <v>540205.0</v>
      </c>
      <c r="J2" s="4" t="str">
        <f t="shared" ref="J2:J1010" si="1">concatenate(C2,right(D2,4))</f>
        <v>김영련1199</v>
      </c>
      <c r="K2" s="3" t="str">
        <f t="shared" ref="K2:K1010" si="2">if(N2=0,"정상","중복")</f>
        <v>중복</v>
      </c>
      <c r="L2" s="4">
        <v>70000.0</v>
      </c>
      <c r="M2" s="4">
        <v>140000.0</v>
      </c>
      <c r="N2" s="4">
        <v>70000.0</v>
      </c>
      <c r="O2" s="1" t="s">
        <v>993</v>
      </c>
      <c r="P2" s="3">
        <f>sum(L:L)</f>
        <v>50470000</v>
      </c>
      <c r="Q2" s="3"/>
    </row>
    <row r="3">
      <c r="A3" s="6">
        <v>918.0</v>
      </c>
      <c r="B3" s="4" t="s">
        <v>1001</v>
      </c>
      <c r="C3" s="4" t="s">
        <v>1002</v>
      </c>
      <c r="D3" s="4" t="s">
        <v>1003</v>
      </c>
      <c r="E3" s="4">
        <v>600729.0</v>
      </c>
      <c r="F3" s="6">
        <v>2.0</v>
      </c>
      <c r="G3" s="3" t="s">
        <v>1004</v>
      </c>
      <c r="H3" s="3" t="s">
        <v>1005</v>
      </c>
      <c r="I3" s="3">
        <v>630403.0</v>
      </c>
      <c r="J3" s="4" t="str">
        <f t="shared" si="1"/>
        <v>최원현5775</v>
      </c>
      <c r="K3" s="3" t="str">
        <f t="shared" si="2"/>
        <v>중복</v>
      </c>
      <c r="L3" s="4">
        <v>70000.0</v>
      </c>
      <c r="M3" s="4">
        <v>140000.0</v>
      </c>
      <c r="N3" s="4">
        <v>70000.0</v>
      </c>
      <c r="O3" s="3" t="s">
        <v>1006</v>
      </c>
      <c r="P3" s="3">
        <f>sum('1.신청입금매칭표'!G:G)</f>
        <v>59500000</v>
      </c>
      <c r="Q3" s="3"/>
    </row>
    <row r="4">
      <c r="A4" s="5">
        <v>629.0</v>
      </c>
      <c r="B4" s="3" t="s">
        <v>1007</v>
      </c>
      <c r="C4" s="3" t="s">
        <v>1008</v>
      </c>
      <c r="D4" s="3" t="s">
        <v>1009</v>
      </c>
      <c r="E4" s="3">
        <v>640228.0</v>
      </c>
      <c r="F4" s="5">
        <v>2.0</v>
      </c>
      <c r="G4" s="3" t="s">
        <v>1010</v>
      </c>
      <c r="H4" s="3" t="s">
        <v>1011</v>
      </c>
      <c r="I4" s="3">
        <v>531125.0</v>
      </c>
      <c r="J4" s="4" t="str">
        <f t="shared" si="1"/>
        <v>이유주0037</v>
      </c>
      <c r="K4" s="3" t="str">
        <f t="shared" si="2"/>
        <v>정상</v>
      </c>
      <c r="L4" s="4">
        <v>70000.0</v>
      </c>
      <c r="M4" s="4">
        <v>70000.0</v>
      </c>
      <c r="N4" s="4">
        <v>0.0</v>
      </c>
      <c r="O4" s="3" t="s">
        <v>995</v>
      </c>
      <c r="P4" s="3">
        <f>sum(N:N)</f>
        <v>9030000</v>
      </c>
      <c r="Q4" s="3"/>
    </row>
    <row r="5">
      <c r="A5" s="5">
        <v>319.0</v>
      </c>
      <c r="B5" s="3" t="s">
        <v>1012</v>
      </c>
      <c r="C5" s="3" t="s">
        <v>1013</v>
      </c>
      <c r="D5" s="3" t="s">
        <v>1014</v>
      </c>
      <c r="E5" s="3">
        <v>620819.0</v>
      </c>
      <c r="F5" s="5">
        <v>2.0</v>
      </c>
      <c r="G5" s="3" t="s">
        <v>1015</v>
      </c>
      <c r="H5" s="3" t="s">
        <v>1016</v>
      </c>
      <c r="I5" s="3">
        <v>890118.0</v>
      </c>
      <c r="J5" s="4" t="str">
        <f t="shared" si="1"/>
        <v>함정순5693</v>
      </c>
      <c r="K5" s="3" t="str">
        <f t="shared" si="2"/>
        <v>정상</v>
      </c>
      <c r="L5" s="4">
        <v>70000.0</v>
      </c>
      <c r="M5" s="4">
        <v>70000.0</v>
      </c>
      <c r="N5" s="4">
        <v>0.0</v>
      </c>
      <c r="O5" s="3" t="s">
        <v>1017</v>
      </c>
      <c r="P5" s="3">
        <f>P3-P4</f>
        <v>50470000</v>
      </c>
      <c r="Q5" s="3"/>
    </row>
    <row r="6">
      <c r="A6" s="6">
        <v>129.0</v>
      </c>
      <c r="B6" s="4" t="s">
        <v>1018</v>
      </c>
      <c r="C6" s="4" t="s">
        <v>1019</v>
      </c>
      <c r="D6" s="4" t="s">
        <v>1020</v>
      </c>
      <c r="E6" s="4">
        <v>810729.0</v>
      </c>
      <c r="F6" s="6">
        <v>2.0</v>
      </c>
      <c r="G6" s="4" t="s">
        <v>1021</v>
      </c>
      <c r="H6" s="4" t="s">
        <v>1021</v>
      </c>
      <c r="I6" s="4" t="s">
        <v>1021</v>
      </c>
      <c r="J6" s="4" t="str">
        <f t="shared" si="1"/>
        <v>임기영2028</v>
      </c>
      <c r="K6" s="3" t="str">
        <f t="shared" si="2"/>
        <v>정상</v>
      </c>
      <c r="L6" s="4">
        <v>70000.0</v>
      </c>
      <c r="M6" s="4">
        <v>70000.0</v>
      </c>
      <c r="N6" s="4">
        <v>0.0</v>
      </c>
      <c r="O6" s="3"/>
      <c r="P6" s="3"/>
      <c r="Q6" s="3"/>
    </row>
    <row r="7">
      <c r="A7" s="6">
        <v>986.0</v>
      </c>
      <c r="B7" s="4" t="s">
        <v>1022</v>
      </c>
      <c r="C7" s="4" t="s">
        <v>1023</v>
      </c>
      <c r="D7" s="4" t="s">
        <v>1024</v>
      </c>
      <c r="E7" s="4">
        <v>601020.0</v>
      </c>
      <c r="F7" s="6">
        <v>2.0</v>
      </c>
      <c r="G7" s="4" t="s">
        <v>1025</v>
      </c>
      <c r="H7" s="4" t="s">
        <v>1026</v>
      </c>
      <c r="I7" s="4">
        <v>880223.0</v>
      </c>
      <c r="J7" s="4" t="str">
        <f t="shared" si="1"/>
        <v>민도선5057</v>
      </c>
      <c r="K7" s="3" t="str">
        <f t="shared" si="2"/>
        <v>중복</v>
      </c>
      <c r="L7" s="4">
        <v>70000.0</v>
      </c>
      <c r="M7" s="4">
        <v>210000.0</v>
      </c>
      <c r="N7" s="4">
        <v>140000.0</v>
      </c>
      <c r="O7" s="3"/>
      <c r="P7" s="3"/>
      <c r="Q7" s="3"/>
    </row>
    <row r="8">
      <c r="A8" s="6">
        <v>491.0</v>
      </c>
      <c r="B8" s="4" t="s">
        <v>1027</v>
      </c>
      <c r="C8" s="4" t="s">
        <v>1028</v>
      </c>
      <c r="D8" s="4" t="s">
        <v>1029</v>
      </c>
      <c r="E8" s="4">
        <v>700513.0</v>
      </c>
      <c r="F8" s="6">
        <v>2.0</v>
      </c>
      <c r="G8" s="4" t="s">
        <v>1030</v>
      </c>
      <c r="H8" s="4" t="s">
        <v>1031</v>
      </c>
      <c r="I8" s="4">
        <v>740720.0</v>
      </c>
      <c r="J8" s="4" t="str">
        <f t="shared" si="1"/>
        <v>최숙희8576</v>
      </c>
      <c r="K8" s="3" t="str">
        <f t="shared" si="2"/>
        <v>중복</v>
      </c>
      <c r="L8" s="4">
        <v>70000.0</v>
      </c>
      <c r="M8" s="4">
        <v>210000.0</v>
      </c>
      <c r="N8" s="4">
        <v>140000.0</v>
      </c>
      <c r="O8" s="3"/>
      <c r="P8" s="3"/>
      <c r="Q8" s="3"/>
    </row>
    <row r="9">
      <c r="A9" s="6">
        <v>349.0</v>
      </c>
      <c r="B9" s="4" t="s">
        <v>1032</v>
      </c>
      <c r="C9" s="4" t="s">
        <v>1033</v>
      </c>
      <c r="D9" s="4" t="s">
        <v>1034</v>
      </c>
      <c r="E9" s="4">
        <v>760218.0</v>
      </c>
      <c r="F9" s="6">
        <v>2.0</v>
      </c>
      <c r="G9" s="4" t="s">
        <v>1035</v>
      </c>
      <c r="H9" s="4" t="s">
        <v>1036</v>
      </c>
      <c r="I9" s="4">
        <v>880522.0</v>
      </c>
      <c r="J9" s="4" t="str">
        <f t="shared" si="1"/>
        <v>정옥화5039</v>
      </c>
      <c r="K9" s="3" t="str">
        <f t="shared" si="2"/>
        <v>중복</v>
      </c>
      <c r="L9" s="4">
        <v>70000.0</v>
      </c>
      <c r="M9" s="4">
        <v>210000.0</v>
      </c>
      <c r="N9" s="4">
        <v>140000.0</v>
      </c>
      <c r="O9" s="3"/>
      <c r="P9" s="3"/>
      <c r="Q9" s="3"/>
    </row>
    <row r="10">
      <c r="A10" s="6">
        <v>416.0</v>
      </c>
      <c r="B10" s="4" t="s">
        <v>1037</v>
      </c>
      <c r="C10" s="4" t="s">
        <v>1038</v>
      </c>
      <c r="D10" s="4" t="s">
        <v>1039</v>
      </c>
      <c r="E10" s="4">
        <v>691025.0</v>
      </c>
      <c r="F10" s="6">
        <v>2.0</v>
      </c>
      <c r="G10" s="4" t="s">
        <v>1040</v>
      </c>
      <c r="H10" s="4" t="s">
        <v>1041</v>
      </c>
      <c r="I10" s="4">
        <v>691223.0</v>
      </c>
      <c r="J10" s="4" t="str">
        <f t="shared" si="1"/>
        <v>지은자5295</v>
      </c>
      <c r="K10" s="3" t="str">
        <f t="shared" si="2"/>
        <v>중복</v>
      </c>
      <c r="L10" s="4">
        <v>70000.0</v>
      </c>
      <c r="M10" s="4">
        <v>210000.0</v>
      </c>
      <c r="N10" s="4">
        <v>140000.0</v>
      </c>
      <c r="O10" s="3"/>
      <c r="P10" s="3"/>
      <c r="Q10" s="3"/>
    </row>
    <row r="11">
      <c r="A11" s="6">
        <v>484.0</v>
      </c>
      <c r="B11" s="4" t="s">
        <v>1042</v>
      </c>
      <c r="C11" s="4" t="s">
        <v>1043</v>
      </c>
      <c r="D11" s="4" t="s">
        <v>1044</v>
      </c>
      <c r="E11" s="4">
        <v>630208.0</v>
      </c>
      <c r="F11" s="6">
        <v>2.0</v>
      </c>
      <c r="G11" s="4" t="s">
        <v>1045</v>
      </c>
      <c r="H11" s="4" t="s">
        <v>1046</v>
      </c>
      <c r="I11" s="4">
        <v>610313.0</v>
      </c>
      <c r="J11" s="4" t="str">
        <f t="shared" si="1"/>
        <v>안은숙5404</v>
      </c>
      <c r="K11" s="3" t="str">
        <f t="shared" si="2"/>
        <v>중복</v>
      </c>
      <c r="L11" s="4">
        <v>70000.0</v>
      </c>
      <c r="M11" s="4">
        <v>210000.0</v>
      </c>
      <c r="N11" s="4">
        <v>140000.0</v>
      </c>
      <c r="O11" s="3"/>
      <c r="P11" s="3"/>
      <c r="Q11" s="3"/>
    </row>
    <row r="12">
      <c r="A12" s="5">
        <v>1055.0</v>
      </c>
      <c r="B12" s="3" t="s">
        <v>1047</v>
      </c>
      <c r="C12" s="3" t="s">
        <v>1048</v>
      </c>
      <c r="D12" s="3" t="s">
        <v>1049</v>
      </c>
      <c r="E12" s="3">
        <v>620521.0</v>
      </c>
      <c r="F12" s="5">
        <v>2.0</v>
      </c>
      <c r="G12" s="3" t="s">
        <v>1050</v>
      </c>
      <c r="H12" s="3" t="s">
        <v>1051</v>
      </c>
      <c r="I12" s="3">
        <v>550315.0</v>
      </c>
      <c r="J12" s="4" t="str">
        <f t="shared" si="1"/>
        <v>백은주8636</v>
      </c>
      <c r="K12" s="3" t="str">
        <f t="shared" si="2"/>
        <v>중복</v>
      </c>
      <c r="L12" s="4">
        <v>70000.0</v>
      </c>
      <c r="M12" s="4">
        <v>200000.0</v>
      </c>
      <c r="N12" s="4">
        <v>130000.0</v>
      </c>
      <c r="O12" s="3"/>
      <c r="P12" s="3"/>
      <c r="Q12" s="3"/>
    </row>
    <row r="13">
      <c r="A13" s="6">
        <v>336.0</v>
      </c>
      <c r="B13" s="4" t="s">
        <v>1052</v>
      </c>
      <c r="C13" s="4" t="s">
        <v>1053</v>
      </c>
      <c r="D13" s="4" t="s">
        <v>1054</v>
      </c>
      <c r="E13" s="4">
        <v>670202.0</v>
      </c>
      <c r="F13" s="6">
        <v>2.0</v>
      </c>
      <c r="G13" s="4" t="s">
        <v>1055</v>
      </c>
      <c r="H13" s="4" t="s">
        <v>1056</v>
      </c>
      <c r="I13" s="4">
        <v>600924.0</v>
      </c>
      <c r="J13" s="4" t="str">
        <f t="shared" si="1"/>
        <v>석진순8304</v>
      </c>
      <c r="K13" s="3" t="str">
        <f t="shared" si="2"/>
        <v>중복</v>
      </c>
      <c r="L13" s="4">
        <v>70000.0</v>
      </c>
      <c r="M13" s="4">
        <v>190000.0</v>
      </c>
      <c r="N13" s="4">
        <v>120000.0</v>
      </c>
      <c r="O13" s="3"/>
      <c r="P13" s="3"/>
      <c r="Q13" s="3"/>
    </row>
    <row r="14">
      <c r="A14" s="6">
        <v>741.0</v>
      </c>
      <c r="B14" s="4" t="s">
        <v>1057</v>
      </c>
      <c r="C14" s="4" t="s">
        <v>1058</v>
      </c>
      <c r="D14" s="4" t="s">
        <v>1059</v>
      </c>
      <c r="E14" s="4">
        <v>721007.0</v>
      </c>
      <c r="F14" s="6">
        <v>2.0</v>
      </c>
      <c r="G14" s="4" t="s">
        <v>1060</v>
      </c>
      <c r="H14" s="4" t="s">
        <v>1061</v>
      </c>
      <c r="I14" s="4">
        <v>780112.0</v>
      </c>
      <c r="J14" s="4" t="str">
        <f t="shared" si="1"/>
        <v>김지수7210</v>
      </c>
      <c r="K14" s="3" t="str">
        <f t="shared" si="2"/>
        <v>중복</v>
      </c>
      <c r="L14" s="4">
        <v>70000.0</v>
      </c>
      <c r="M14" s="4">
        <v>140000.0</v>
      </c>
      <c r="N14" s="4">
        <v>70000.0</v>
      </c>
      <c r="O14" s="3"/>
      <c r="P14" s="3"/>
      <c r="Q14" s="3"/>
    </row>
    <row r="15">
      <c r="A15" s="5">
        <v>1039.0</v>
      </c>
      <c r="B15" s="3" t="s">
        <v>1062</v>
      </c>
      <c r="C15" s="3" t="s">
        <v>1063</v>
      </c>
      <c r="D15" s="3" t="s">
        <v>1064</v>
      </c>
      <c r="E15" s="3">
        <v>630102.0</v>
      </c>
      <c r="F15" s="5">
        <v>2.0</v>
      </c>
      <c r="G15" s="3" t="s">
        <v>1065</v>
      </c>
      <c r="H15" s="3" t="s">
        <v>1066</v>
      </c>
      <c r="I15" s="3">
        <v>631012.0</v>
      </c>
      <c r="J15" s="4" t="str">
        <f t="shared" si="1"/>
        <v>김일9644</v>
      </c>
      <c r="K15" s="3" t="str">
        <f t="shared" si="2"/>
        <v>중복</v>
      </c>
      <c r="L15" s="4">
        <v>70000.0</v>
      </c>
      <c r="M15" s="4">
        <v>140000.0</v>
      </c>
      <c r="N15" s="4">
        <v>70000.0</v>
      </c>
      <c r="O15" s="3"/>
      <c r="P15" s="3"/>
      <c r="Q15" s="3"/>
    </row>
    <row r="16">
      <c r="A16" s="6">
        <v>984.0</v>
      </c>
      <c r="B16" s="4" t="s">
        <v>1022</v>
      </c>
      <c r="C16" s="4" t="s">
        <v>1067</v>
      </c>
      <c r="D16" s="4" t="s">
        <v>1068</v>
      </c>
      <c r="E16" s="4">
        <v>650203.0</v>
      </c>
      <c r="F16" s="6">
        <v>2.0</v>
      </c>
      <c r="G16" s="4" t="s">
        <v>1069</v>
      </c>
      <c r="H16" s="4" t="s">
        <v>1070</v>
      </c>
      <c r="I16" s="4">
        <v>910215.0</v>
      </c>
      <c r="J16" s="4" t="str">
        <f t="shared" si="1"/>
        <v>차현주1480</v>
      </c>
      <c r="K16" s="3" t="str">
        <f t="shared" si="2"/>
        <v>중복</v>
      </c>
      <c r="L16" s="4">
        <v>70000.0</v>
      </c>
      <c r="M16" s="4">
        <v>140000.0</v>
      </c>
      <c r="N16" s="4">
        <v>70000.0</v>
      </c>
      <c r="O16" s="3"/>
      <c r="P16" s="3"/>
      <c r="Q16" s="3"/>
    </row>
    <row r="17">
      <c r="A17" s="6">
        <v>1224.0</v>
      </c>
      <c r="B17" s="4" t="s">
        <v>1071</v>
      </c>
      <c r="C17" s="4" t="s">
        <v>1072</v>
      </c>
      <c r="D17" s="4" t="s">
        <v>1073</v>
      </c>
      <c r="E17" s="4">
        <v>580221.0</v>
      </c>
      <c r="F17" s="6">
        <v>2.0</v>
      </c>
      <c r="G17" s="4" t="s">
        <v>1074</v>
      </c>
      <c r="H17" s="4" t="s">
        <v>1075</v>
      </c>
      <c r="I17" s="4">
        <v>590407.0</v>
      </c>
      <c r="J17" s="4" t="str">
        <f t="shared" si="1"/>
        <v>윤경숙1230</v>
      </c>
      <c r="K17" s="3" t="str">
        <f t="shared" si="2"/>
        <v>중복</v>
      </c>
      <c r="L17" s="4">
        <v>70000.0</v>
      </c>
      <c r="M17" s="4">
        <v>140000.0</v>
      </c>
      <c r="N17" s="4">
        <v>70000.0</v>
      </c>
      <c r="O17" s="3"/>
      <c r="P17" s="3"/>
      <c r="Q17" s="3"/>
    </row>
    <row r="18">
      <c r="A18" s="6">
        <v>1075.0</v>
      </c>
      <c r="B18" s="4" t="s">
        <v>1076</v>
      </c>
      <c r="C18" s="4" t="s">
        <v>1077</v>
      </c>
      <c r="D18" s="4" t="s">
        <v>1078</v>
      </c>
      <c r="E18" s="4">
        <v>740508.0</v>
      </c>
      <c r="F18" s="6">
        <v>2.0</v>
      </c>
      <c r="G18" s="4" t="s">
        <v>1079</v>
      </c>
      <c r="H18" s="4" t="s">
        <v>1080</v>
      </c>
      <c r="I18" s="4">
        <v>480914.0</v>
      </c>
      <c r="J18" s="4" t="str">
        <f t="shared" si="1"/>
        <v>이혜승7794</v>
      </c>
      <c r="K18" s="3" t="str">
        <f t="shared" si="2"/>
        <v>중복</v>
      </c>
      <c r="L18" s="4">
        <v>70000.0</v>
      </c>
      <c r="M18" s="4">
        <v>140000.0</v>
      </c>
      <c r="N18" s="4">
        <v>70000.0</v>
      </c>
      <c r="O18" s="3"/>
      <c r="P18" s="3"/>
      <c r="Q18" s="3"/>
    </row>
    <row r="19">
      <c r="A19" s="6">
        <v>273.0</v>
      </c>
      <c r="B19" s="4" t="s">
        <v>1081</v>
      </c>
      <c r="C19" s="4" t="s">
        <v>1082</v>
      </c>
      <c r="D19" s="4" t="s">
        <v>1083</v>
      </c>
      <c r="E19" s="4">
        <v>630608.0</v>
      </c>
      <c r="F19" s="6">
        <v>2.0</v>
      </c>
      <c r="G19" s="4" t="s">
        <v>1084</v>
      </c>
      <c r="H19" s="4" t="s">
        <v>1085</v>
      </c>
      <c r="I19" s="4">
        <v>570523.0</v>
      </c>
      <c r="J19" s="4" t="str">
        <f t="shared" si="1"/>
        <v>김소옥7139</v>
      </c>
      <c r="K19" s="3" t="str">
        <f t="shared" si="2"/>
        <v>중복</v>
      </c>
      <c r="L19" s="4">
        <v>70000.0</v>
      </c>
      <c r="M19" s="4">
        <v>140000.0</v>
      </c>
      <c r="N19" s="4">
        <v>70000.0</v>
      </c>
      <c r="O19" s="3"/>
      <c r="P19" s="3"/>
      <c r="Q19" s="3"/>
    </row>
    <row r="20">
      <c r="A20" s="5">
        <v>365.0</v>
      </c>
      <c r="B20" s="3" t="s">
        <v>1086</v>
      </c>
      <c r="C20" s="3" t="s">
        <v>1087</v>
      </c>
      <c r="D20" s="3" t="s">
        <v>1088</v>
      </c>
      <c r="E20" s="3">
        <v>881112.0</v>
      </c>
      <c r="F20" s="5">
        <v>2.0</v>
      </c>
      <c r="G20" s="3" t="s">
        <v>1089</v>
      </c>
      <c r="H20" s="3" t="s">
        <v>1090</v>
      </c>
      <c r="I20" s="3">
        <v>930518.0</v>
      </c>
      <c r="J20" s="4" t="str">
        <f t="shared" si="1"/>
        <v>안예림5908</v>
      </c>
      <c r="K20" s="3" t="str">
        <f t="shared" si="2"/>
        <v>중복</v>
      </c>
      <c r="L20" s="4">
        <v>70000.0</v>
      </c>
      <c r="M20" s="4">
        <v>140000.0</v>
      </c>
      <c r="N20" s="4">
        <v>70000.0</v>
      </c>
      <c r="O20" s="3"/>
      <c r="P20" s="3"/>
      <c r="Q20" s="3"/>
    </row>
    <row r="21">
      <c r="A21" s="6">
        <v>1024.0</v>
      </c>
      <c r="B21" s="4" t="s">
        <v>1062</v>
      </c>
      <c r="C21" s="4" t="s">
        <v>1091</v>
      </c>
      <c r="D21" s="4" t="s">
        <v>1092</v>
      </c>
      <c r="E21" s="4">
        <v>810609.0</v>
      </c>
      <c r="F21" s="6">
        <v>2.0</v>
      </c>
      <c r="G21" s="4" t="s">
        <v>1093</v>
      </c>
      <c r="H21" s="4" t="s">
        <v>1094</v>
      </c>
      <c r="I21" s="4">
        <v>551113.0</v>
      </c>
      <c r="J21" s="4" t="str">
        <f t="shared" si="1"/>
        <v>박용준9993</v>
      </c>
      <c r="K21" s="3" t="str">
        <f t="shared" si="2"/>
        <v>중복</v>
      </c>
      <c r="L21" s="4">
        <v>70000.0</v>
      </c>
      <c r="M21" s="4">
        <v>140000.0</v>
      </c>
      <c r="N21" s="4">
        <v>70000.0</v>
      </c>
      <c r="O21" s="3"/>
      <c r="P21" s="3"/>
      <c r="Q21" s="3"/>
    </row>
    <row r="22">
      <c r="A22" s="6">
        <v>514.0</v>
      </c>
      <c r="B22" s="4" t="s">
        <v>1095</v>
      </c>
      <c r="C22" s="4" t="s">
        <v>1096</v>
      </c>
      <c r="D22" s="4" t="s">
        <v>1097</v>
      </c>
      <c r="E22" s="4">
        <v>591014.0</v>
      </c>
      <c r="F22" s="6">
        <v>2.0</v>
      </c>
      <c r="G22" s="4" t="s">
        <v>1098</v>
      </c>
      <c r="H22" s="4" t="s">
        <v>1099</v>
      </c>
      <c r="I22" s="4">
        <v>620902.0</v>
      </c>
      <c r="J22" s="4" t="str">
        <f t="shared" si="1"/>
        <v>남궁호5360</v>
      </c>
      <c r="K22" s="3" t="str">
        <f t="shared" si="2"/>
        <v>중복</v>
      </c>
      <c r="L22" s="4">
        <v>70000.0</v>
      </c>
      <c r="M22" s="4">
        <v>140000.0</v>
      </c>
      <c r="N22" s="4">
        <v>70000.0</v>
      </c>
      <c r="O22" s="3"/>
      <c r="P22" s="3"/>
      <c r="Q22" s="3"/>
    </row>
    <row r="23">
      <c r="A23" s="6">
        <v>660.0</v>
      </c>
      <c r="B23" s="4" t="s">
        <v>1100</v>
      </c>
      <c r="C23" s="4" t="s">
        <v>1101</v>
      </c>
      <c r="D23" s="4" t="s">
        <v>1102</v>
      </c>
      <c r="E23" s="4">
        <v>660227.0</v>
      </c>
      <c r="F23" s="6">
        <v>2.0</v>
      </c>
      <c r="G23" s="4" t="s">
        <v>1103</v>
      </c>
      <c r="H23" s="4" t="s">
        <v>1104</v>
      </c>
      <c r="I23" s="4">
        <v>660422.0</v>
      </c>
      <c r="J23" s="4" t="str">
        <f t="shared" si="1"/>
        <v>이현아3560</v>
      </c>
      <c r="K23" s="3" t="str">
        <f t="shared" si="2"/>
        <v>중복</v>
      </c>
      <c r="L23" s="4">
        <v>70000.0</v>
      </c>
      <c r="M23" s="4">
        <v>140000.0</v>
      </c>
      <c r="N23" s="4">
        <v>70000.0</v>
      </c>
      <c r="O23" s="3"/>
      <c r="P23" s="3"/>
      <c r="Q23" s="3"/>
    </row>
    <row r="24">
      <c r="A24" s="6">
        <v>1023.0</v>
      </c>
      <c r="B24" s="4" t="s">
        <v>1062</v>
      </c>
      <c r="C24" s="4" t="s">
        <v>1105</v>
      </c>
      <c r="D24" s="4" t="s">
        <v>1106</v>
      </c>
      <c r="E24" s="4">
        <v>600825.0</v>
      </c>
      <c r="F24" s="6">
        <v>2.0</v>
      </c>
      <c r="G24" s="4" t="s">
        <v>1107</v>
      </c>
      <c r="H24" s="4" t="s">
        <v>1108</v>
      </c>
      <c r="I24" s="4">
        <v>590215.0</v>
      </c>
      <c r="J24" s="4" t="str">
        <f t="shared" si="1"/>
        <v>신혜균9193</v>
      </c>
      <c r="K24" s="3" t="str">
        <f t="shared" si="2"/>
        <v>중복</v>
      </c>
      <c r="L24" s="4">
        <v>70000.0</v>
      </c>
      <c r="M24" s="4">
        <v>140000.0</v>
      </c>
      <c r="N24" s="4">
        <v>70000.0</v>
      </c>
      <c r="O24" s="3"/>
      <c r="P24" s="3"/>
      <c r="Q24" s="3"/>
    </row>
    <row r="25">
      <c r="A25" s="6">
        <v>207.0</v>
      </c>
      <c r="B25" s="4" t="s">
        <v>1109</v>
      </c>
      <c r="C25" s="4" t="s">
        <v>1110</v>
      </c>
      <c r="D25" s="4" t="s">
        <v>1111</v>
      </c>
      <c r="E25" s="4">
        <v>680715.0</v>
      </c>
      <c r="F25" s="6">
        <v>2.0</v>
      </c>
      <c r="G25" s="4" t="s">
        <v>1112</v>
      </c>
      <c r="H25" s="4" t="s">
        <v>1113</v>
      </c>
      <c r="I25" s="4">
        <v>721121.0</v>
      </c>
      <c r="J25" s="4" t="str">
        <f t="shared" si="1"/>
        <v>정윤숙1008</v>
      </c>
      <c r="K25" s="3" t="str">
        <f t="shared" si="2"/>
        <v>중복</v>
      </c>
      <c r="L25" s="4">
        <v>70000.0</v>
      </c>
      <c r="M25" s="4">
        <v>140000.0</v>
      </c>
      <c r="N25" s="4">
        <v>70000.0</v>
      </c>
      <c r="O25" s="3"/>
      <c r="P25" s="3"/>
      <c r="Q25" s="3"/>
    </row>
    <row r="26">
      <c r="A26" s="6">
        <v>895.0</v>
      </c>
      <c r="B26" s="4" t="s">
        <v>1114</v>
      </c>
      <c r="C26" s="4" t="s">
        <v>1115</v>
      </c>
      <c r="D26" s="4" t="s">
        <v>1116</v>
      </c>
      <c r="E26" s="4">
        <v>560825.0</v>
      </c>
      <c r="F26" s="6">
        <v>2.0</v>
      </c>
      <c r="G26" s="4" t="s">
        <v>1117</v>
      </c>
      <c r="H26" s="4" t="s">
        <v>1118</v>
      </c>
      <c r="I26" s="4">
        <v>761119.0</v>
      </c>
      <c r="J26" s="4" t="str">
        <f t="shared" si="1"/>
        <v>강정옥7889</v>
      </c>
      <c r="K26" s="3" t="str">
        <f t="shared" si="2"/>
        <v>중복</v>
      </c>
      <c r="L26" s="4">
        <v>70000.0</v>
      </c>
      <c r="M26" s="4">
        <v>140000.0</v>
      </c>
      <c r="N26" s="4">
        <v>70000.0</v>
      </c>
      <c r="O26" s="3"/>
      <c r="P26" s="3"/>
      <c r="Q26" s="3"/>
    </row>
    <row r="27">
      <c r="A27" s="6">
        <v>862.0</v>
      </c>
      <c r="B27" s="4" t="s">
        <v>1119</v>
      </c>
      <c r="C27" s="4" t="s">
        <v>1120</v>
      </c>
      <c r="D27" s="4" t="s">
        <v>1121</v>
      </c>
      <c r="E27" s="4">
        <v>631117.0</v>
      </c>
      <c r="F27" s="6">
        <v>2.0</v>
      </c>
      <c r="G27" s="4" t="s">
        <v>1122</v>
      </c>
      <c r="H27" s="4" t="s">
        <v>1123</v>
      </c>
      <c r="I27" s="4">
        <v>630729.0</v>
      </c>
      <c r="J27" s="4" t="str">
        <f t="shared" si="1"/>
        <v>최은환5692</v>
      </c>
      <c r="K27" s="3" t="str">
        <f t="shared" si="2"/>
        <v>중복</v>
      </c>
      <c r="L27" s="4">
        <v>70000.0</v>
      </c>
      <c r="M27" s="4">
        <v>140000.0</v>
      </c>
      <c r="N27" s="4">
        <v>70000.0</v>
      </c>
      <c r="O27" s="3"/>
      <c r="P27" s="3"/>
      <c r="Q27" s="3"/>
    </row>
    <row r="28">
      <c r="A28" s="6">
        <v>822.0</v>
      </c>
      <c r="B28" s="4" t="s">
        <v>1124</v>
      </c>
      <c r="C28" s="4" t="s">
        <v>1125</v>
      </c>
      <c r="D28" s="4" t="s">
        <v>1126</v>
      </c>
      <c r="E28" s="4">
        <v>771004.0</v>
      </c>
      <c r="F28" s="6">
        <v>2.0</v>
      </c>
      <c r="G28" s="4" t="s">
        <v>1127</v>
      </c>
      <c r="H28" s="4" t="s">
        <v>1128</v>
      </c>
      <c r="I28" s="4">
        <v>480303.0</v>
      </c>
      <c r="J28" s="4" t="str">
        <f t="shared" si="1"/>
        <v>지채현1977</v>
      </c>
      <c r="K28" s="3" t="str">
        <f t="shared" si="2"/>
        <v>중복</v>
      </c>
      <c r="L28" s="4">
        <v>70000.0</v>
      </c>
      <c r="M28" s="4">
        <v>140000.0</v>
      </c>
      <c r="N28" s="4">
        <v>70000.0</v>
      </c>
      <c r="O28" s="3"/>
      <c r="P28" s="3"/>
      <c r="Q28" s="3"/>
    </row>
    <row r="29">
      <c r="A29" s="6">
        <v>499.0</v>
      </c>
      <c r="B29" s="4" t="s">
        <v>1095</v>
      </c>
      <c r="C29" s="4" t="s">
        <v>1129</v>
      </c>
      <c r="D29" s="4" t="s">
        <v>1130</v>
      </c>
      <c r="E29" s="4">
        <v>680115.0</v>
      </c>
      <c r="F29" s="6">
        <v>2.0</v>
      </c>
      <c r="G29" s="4" t="s">
        <v>1131</v>
      </c>
      <c r="H29" s="4" t="s">
        <v>1132</v>
      </c>
      <c r="I29" s="4">
        <v>700609.0</v>
      </c>
      <c r="J29" s="4" t="str">
        <f t="shared" si="1"/>
        <v>임경선1610</v>
      </c>
      <c r="K29" s="3" t="str">
        <f t="shared" si="2"/>
        <v>중복</v>
      </c>
      <c r="L29" s="4">
        <v>70000.0</v>
      </c>
      <c r="M29" s="4">
        <v>140000.0</v>
      </c>
      <c r="N29" s="4">
        <v>70000.0</v>
      </c>
      <c r="O29" s="3"/>
      <c r="P29" s="3"/>
      <c r="Q29" s="3"/>
    </row>
    <row r="30">
      <c r="A30" s="6">
        <v>1001.0</v>
      </c>
      <c r="B30" s="4" t="s">
        <v>1022</v>
      </c>
      <c r="C30" s="4" t="s">
        <v>1133</v>
      </c>
      <c r="D30" s="4" t="s">
        <v>1134</v>
      </c>
      <c r="E30" s="4">
        <v>671024.0</v>
      </c>
      <c r="F30" s="6">
        <v>2.0</v>
      </c>
      <c r="G30" s="4" t="s">
        <v>1135</v>
      </c>
      <c r="H30" s="4" t="s">
        <v>1136</v>
      </c>
      <c r="I30" s="4">
        <v>690311.0</v>
      </c>
      <c r="J30" s="4" t="str">
        <f t="shared" si="1"/>
        <v>이기훈3645</v>
      </c>
      <c r="K30" s="3" t="str">
        <f t="shared" si="2"/>
        <v>중복</v>
      </c>
      <c r="L30" s="4">
        <v>70000.0</v>
      </c>
      <c r="M30" s="4">
        <v>140000.0</v>
      </c>
      <c r="N30" s="4">
        <v>70000.0</v>
      </c>
      <c r="O30" s="3"/>
      <c r="P30" s="3"/>
      <c r="Q30" s="3"/>
    </row>
    <row r="31">
      <c r="A31" s="6">
        <v>1103.0</v>
      </c>
      <c r="B31" s="4" t="s">
        <v>1137</v>
      </c>
      <c r="C31" s="4" t="s">
        <v>1138</v>
      </c>
      <c r="D31" s="4" t="s">
        <v>1139</v>
      </c>
      <c r="E31" s="4">
        <v>631012.0</v>
      </c>
      <c r="F31" s="6">
        <v>2.0</v>
      </c>
      <c r="G31" s="4" t="s">
        <v>1140</v>
      </c>
      <c r="H31" s="4" t="s">
        <v>1141</v>
      </c>
      <c r="I31" s="4">
        <v>970614.0</v>
      </c>
      <c r="J31" s="4" t="str">
        <f t="shared" si="1"/>
        <v>박정단1280</v>
      </c>
      <c r="K31" s="3" t="str">
        <f t="shared" si="2"/>
        <v>중복</v>
      </c>
      <c r="L31" s="4">
        <v>70000.0</v>
      </c>
      <c r="M31" s="4">
        <v>140000.0</v>
      </c>
      <c r="N31" s="4">
        <v>70000.0</v>
      </c>
      <c r="O31" s="3"/>
      <c r="P31" s="3"/>
      <c r="Q31" s="3"/>
    </row>
    <row r="32">
      <c r="A32" s="6">
        <v>626.0</v>
      </c>
      <c r="B32" s="4" t="s">
        <v>1142</v>
      </c>
      <c r="C32" s="4" t="s">
        <v>1143</v>
      </c>
      <c r="D32" s="4" t="s">
        <v>1144</v>
      </c>
      <c r="E32" s="4">
        <v>600613.0</v>
      </c>
      <c r="F32" s="6">
        <v>2.0</v>
      </c>
      <c r="G32" s="4" t="s">
        <v>1145</v>
      </c>
      <c r="H32" s="4" t="s">
        <v>1146</v>
      </c>
      <c r="I32" s="4">
        <v>610123.0</v>
      </c>
      <c r="J32" s="4" t="str">
        <f t="shared" si="1"/>
        <v>서춘숙5957</v>
      </c>
      <c r="K32" s="3" t="str">
        <f t="shared" si="2"/>
        <v>중복</v>
      </c>
      <c r="L32" s="4">
        <v>70000.0</v>
      </c>
      <c r="M32" s="4">
        <v>140000.0</v>
      </c>
      <c r="N32" s="4">
        <v>70000.0</v>
      </c>
      <c r="O32" s="3"/>
      <c r="P32" s="3"/>
      <c r="Q32" s="3"/>
    </row>
    <row r="33">
      <c r="A33" s="6">
        <v>268.0</v>
      </c>
      <c r="B33" s="4" t="s">
        <v>1147</v>
      </c>
      <c r="C33" s="4" t="s">
        <v>1148</v>
      </c>
      <c r="D33" s="4" t="s">
        <v>1149</v>
      </c>
      <c r="E33" s="4">
        <v>760310.0</v>
      </c>
      <c r="F33" s="6">
        <v>2.0</v>
      </c>
      <c r="G33" s="4" t="s">
        <v>1150</v>
      </c>
      <c r="H33" s="4" t="s">
        <v>1151</v>
      </c>
      <c r="I33" s="4">
        <v>781110.0</v>
      </c>
      <c r="J33" s="4" t="str">
        <f t="shared" si="1"/>
        <v>정재영8040</v>
      </c>
      <c r="K33" s="3" t="str">
        <f t="shared" si="2"/>
        <v>중복</v>
      </c>
      <c r="L33" s="4">
        <v>70000.0</v>
      </c>
      <c r="M33" s="4">
        <v>140000.0</v>
      </c>
      <c r="N33" s="4">
        <v>70000.0</v>
      </c>
      <c r="O33" s="3"/>
      <c r="P33" s="3"/>
      <c r="Q33" s="3"/>
    </row>
    <row r="34">
      <c r="A34" s="6">
        <v>1080.0</v>
      </c>
      <c r="B34" s="4" t="s">
        <v>1076</v>
      </c>
      <c r="C34" s="4" t="s">
        <v>1152</v>
      </c>
      <c r="D34" s="4" t="s">
        <v>1153</v>
      </c>
      <c r="E34" s="4">
        <v>710830.0</v>
      </c>
      <c r="F34" s="6">
        <v>2.0</v>
      </c>
      <c r="G34" s="4" t="s">
        <v>1154</v>
      </c>
      <c r="H34" s="4" t="s">
        <v>1155</v>
      </c>
      <c r="I34" s="4">
        <v>700918.0</v>
      </c>
      <c r="J34" s="4" t="str">
        <f t="shared" si="1"/>
        <v>김경아9318</v>
      </c>
      <c r="K34" s="3" t="str">
        <f t="shared" si="2"/>
        <v>중복</v>
      </c>
      <c r="L34" s="4">
        <v>70000.0</v>
      </c>
      <c r="M34" s="4">
        <v>140000.0</v>
      </c>
      <c r="N34" s="4">
        <v>70000.0</v>
      </c>
      <c r="O34" s="3"/>
      <c r="P34" s="3"/>
      <c r="Q34" s="3"/>
    </row>
    <row r="35">
      <c r="A35" s="6">
        <v>1046.0</v>
      </c>
      <c r="B35" s="4" t="s">
        <v>1047</v>
      </c>
      <c r="C35" s="4" t="s">
        <v>1156</v>
      </c>
      <c r="D35" s="4" t="s">
        <v>1157</v>
      </c>
      <c r="E35" s="4">
        <v>531010.0</v>
      </c>
      <c r="F35" s="6">
        <v>2.0</v>
      </c>
      <c r="G35" s="4" t="s">
        <v>1158</v>
      </c>
      <c r="H35" s="4" t="s">
        <v>1159</v>
      </c>
      <c r="I35" s="4">
        <v>600328.0</v>
      </c>
      <c r="J35" s="4" t="str">
        <f t="shared" si="1"/>
        <v>신인호2015</v>
      </c>
      <c r="K35" s="3" t="str">
        <f t="shared" si="2"/>
        <v>중복</v>
      </c>
      <c r="L35" s="4">
        <v>70000.0</v>
      </c>
      <c r="M35" s="4">
        <v>140000.0</v>
      </c>
      <c r="N35" s="4">
        <v>70000.0</v>
      </c>
      <c r="O35" s="3"/>
      <c r="P35" s="3"/>
      <c r="Q35" s="3"/>
    </row>
    <row r="36">
      <c r="A36" s="6">
        <v>255.0</v>
      </c>
      <c r="B36" s="4" t="s">
        <v>1160</v>
      </c>
      <c r="C36" s="4" t="s">
        <v>1161</v>
      </c>
      <c r="D36" s="4" t="s">
        <v>1162</v>
      </c>
      <c r="E36" s="4">
        <v>720806.0</v>
      </c>
      <c r="F36" s="6">
        <v>2.0</v>
      </c>
      <c r="G36" s="4" t="s">
        <v>1163</v>
      </c>
      <c r="H36" s="4" t="s">
        <v>1164</v>
      </c>
      <c r="I36" s="4">
        <v>671003.0</v>
      </c>
      <c r="J36" s="4" t="str">
        <f t="shared" si="1"/>
        <v>이다현0161</v>
      </c>
      <c r="K36" s="3" t="str">
        <f t="shared" si="2"/>
        <v>중복</v>
      </c>
      <c r="L36" s="4">
        <v>70000.0</v>
      </c>
      <c r="M36" s="4">
        <v>140000.0</v>
      </c>
      <c r="N36" s="4">
        <v>70000.0</v>
      </c>
      <c r="O36" s="3"/>
      <c r="P36" s="3"/>
      <c r="Q36" s="3"/>
    </row>
    <row r="37">
      <c r="A37" s="6">
        <v>1148.0</v>
      </c>
      <c r="B37" s="4" t="s">
        <v>1165</v>
      </c>
      <c r="C37" s="4" t="s">
        <v>1166</v>
      </c>
      <c r="D37" s="4" t="s">
        <v>1167</v>
      </c>
      <c r="E37" s="4">
        <v>741015.0</v>
      </c>
      <c r="F37" s="6">
        <v>2.0</v>
      </c>
      <c r="G37" s="4" t="s">
        <v>1168</v>
      </c>
      <c r="H37" s="4" t="s">
        <v>1169</v>
      </c>
      <c r="I37" s="4">
        <v>90804.0</v>
      </c>
      <c r="J37" s="4" t="str">
        <f t="shared" si="1"/>
        <v>서윤정4973</v>
      </c>
      <c r="K37" s="3" t="str">
        <f t="shared" si="2"/>
        <v>중복</v>
      </c>
      <c r="L37" s="4">
        <v>70000.0</v>
      </c>
      <c r="M37" s="4">
        <v>140000.0</v>
      </c>
      <c r="N37" s="4">
        <v>70000.0</v>
      </c>
      <c r="O37" s="3"/>
      <c r="P37" s="3"/>
      <c r="Q37" s="3"/>
    </row>
    <row r="38">
      <c r="A38" s="6">
        <v>550.0</v>
      </c>
      <c r="B38" s="4" t="s">
        <v>1170</v>
      </c>
      <c r="C38" s="4" t="s">
        <v>1171</v>
      </c>
      <c r="D38" s="4" t="s">
        <v>1172</v>
      </c>
      <c r="E38" s="4">
        <v>650919.0</v>
      </c>
      <c r="F38" s="6">
        <v>2.0</v>
      </c>
      <c r="G38" s="4" t="s">
        <v>1173</v>
      </c>
      <c r="H38" s="4" t="s">
        <v>1174</v>
      </c>
      <c r="I38" s="4">
        <v>600402.0</v>
      </c>
      <c r="J38" s="4" t="str">
        <f t="shared" si="1"/>
        <v>이미영1346</v>
      </c>
      <c r="K38" s="3" t="str">
        <f t="shared" si="2"/>
        <v>중복</v>
      </c>
      <c r="L38" s="4">
        <v>70000.0</v>
      </c>
      <c r="M38" s="4">
        <v>140000.0</v>
      </c>
      <c r="N38" s="4">
        <v>70000.0</v>
      </c>
      <c r="O38" s="3"/>
      <c r="P38" s="3"/>
      <c r="Q38" s="3"/>
    </row>
    <row r="39">
      <c r="A39" s="6">
        <v>859.0</v>
      </c>
      <c r="B39" s="4" t="s">
        <v>1119</v>
      </c>
      <c r="C39" s="4" t="s">
        <v>1175</v>
      </c>
      <c r="D39" s="4" t="s">
        <v>1176</v>
      </c>
      <c r="E39" s="4">
        <v>601023.0</v>
      </c>
      <c r="F39" s="6">
        <v>2.0</v>
      </c>
      <c r="G39" s="4" t="s">
        <v>1177</v>
      </c>
      <c r="H39" s="4" t="s">
        <v>1178</v>
      </c>
      <c r="I39" s="4">
        <v>550622.0</v>
      </c>
      <c r="J39" s="4" t="str">
        <f t="shared" si="1"/>
        <v>임정임8556</v>
      </c>
      <c r="K39" s="3" t="str">
        <f t="shared" si="2"/>
        <v>중복</v>
      </c>
      <c r="L39" s="4">
        <v>70000.0</v>
      </c>
      <c r="M39" s="4">
        <v>140000.0</v>
      </c>
      <c r="N39" s="4">
        <v>70000.0</v>
      </c>
      <c r="O39" s="3"/>
      <c r="P39" s="3"/>
      <c r="Q39" s="3"/>
    </row>
    <row r="40">
      <c r="A40" s="5">
        <v>1051.0</v>
      </c>
      <c r="B40" s="3" t="s">
        <v>1047</v>
      </c>
      <c r="C40" s="3" t="s">
        <v>1179</v>
      </c>
      <c r="D40" s="3" t="s">
        <v>1180</v>
      </c>
      <c r="E40" s="3">
        <v>440425.0</v>
      </c>
      <c r="F40" s="5">
        <v>2.0</v>
      </c>
      <c r="G40" s="3" t="s">
        <v>1181</v>
      </c>
      <c r="H40" s="3" t="s">
        <v>1182</v>
      </c>
      <c r="I40" s="3">
        <v>510926.0</v>
      </c>
      <c r="J40" s="4" t="str">
        <f t="shared" si="1"/>
        <v>이정길8004</v>
      </c>
      <c r="K40" s="3" t="str">
        <f t="shared" si="2"/>
        <v>중복</v>
      </c>
      <c r="L40" s="4">
        <v>70000.0</v>
      </c>
      <c r="M40" s="4">
        <v>140000.0</v>
      </c>
      <c r="N40" s="4">
        <v>70000.0</v>
      </c>
      <c r="O40" s="3"/>
      <c r="P40" s="3"/>
      <c r="Q40" s="3"/>
    </row>
    <row r="41">
      <c r="A41" s="6">
        <v>637.0</v>
      </c>
      <c r="B41" s="4" t="s">
        <v>1007</v>
      </c>
      <c r="C41" s="4" t="s">
        <v>1183</v>
      </c>
      <c r="D41" s="4" t="s">
        <v>1184</v>
      </c>
      <c r="E41" s="4">
        <v>630925.0</v>
      </c>
      <c r="F41" s="6">
        <v>2.0</v>
      </c>
      <c r="G41" s="4" t="s">
        <v>1185</v>
      </c>
      <c r="H41" s="4" t="s">
        <v>1186</v>
      </c>
      <c r="I41" s="4">
        <v>680518.0</v>
      </c>
      <c r="J41" s="4" t="str">
        <f t="shared" si="1"/>
        <v>김현애7393</v>
      </c>
      <c r="K41" s="3" t="str">
        <f t="shared" si="2"/>
        <v>중복</v>
      </c>
      <c r="L41" s="4">
        <v>70000.0</v>
      </c>
      <c r="M41" s="4">
        <v>140000.0</v>
      </c>
      <c r="N41" s="4">
        <v>70000.0</v>
      </c>
      <c r="O41" s="3"/>
      <c r="P41" s="3"/>
      <c r="Q41" s="3"/>
    </row>
    <row r="42">
      <c r="A42" s="5">
        <v>1066.0</v>
      </c>
      <c r="B42" s="3" t="s">
        <v>1076</v>
      </c>
      <c r="C42" s="3" t="s">
        <v>1187</v>
      </c>
      <c r="D42" s="3" t="s">
        <v>1188</v>
      </c>
      <c r="E42" s="3">
        <v>650802.0</v>
      </c>
      <c r="F42" s="5">
        <v>2.0</v>
      </c>
      <c r="G42" s="3" t="s">
        <v>1189</v>
      </c>
      <c r="H42" s="3" t="s">
        <v>1190</v>
      </c>
      <c r="I42" s="3">
        <v>520330.0</v>
      </c>
      <c r="J42" s="4" t="str">
        <f t="shared" si="1"/>
        <v>이은경0706</v>
      </c>
      <c r="K42" s="3" t="str">
        <f t="shared" si="2"/>
        <v>중복</v>
      </c>
      <c r="L42" s="4">
        <v>70000.0</v>
      </c>
      <c r="M42" s="4">
        <v>140000.0</v>
      </c>
      <c r="N42" s="4">
        <v>70000.0</v>
      </c>
      <c r="O42" s="3"/>
      <c r="P42" s="3"/>
      <c r="Q42" s="3"/>
    </row>
    <row r="43">
      <c r="A43" s="6">
        <v>1078.0</v>
      </c>
      <c r="B43" s="4" t="s">
        <v>1076</v>
      </c>
      <c r="C43" s="4" t="s">
        <v>1191</v>
      </c>
      <c r="D43" s="4" t="s">
        <v>1192</v>
      </c>
      <c r="E43" s="4">
        <v>640205.0</v>
      </c>
      <c r="F43" s="6">
        <v>2.0</v>
      </c>
      <c r="G43" s="4" t="s">
        <v>1193</v>
      </c>
      <c r="H43" s="4" t="s">
        <v>1194</v>
      </c>
      <c r="I43" s="4">
        <v>640517.0</v>
      </c>
      <c r="J43" s="4" t="str">
        <f t="shared" si="1"/>
        <v>백영미1149</v>
      </c>
      <c r="K43" s="3" t="str">
        <f t="shared" si="2"/>
        <v>중복</v>
      </c>
      <c r="L43" s="4">
        <v>70000.0</v>
      </c>
      <c r="M43" s="4">
        <v>140000.0</v>
      </c>
      <c r="N43" s="4">
        <v>70000.0</v>
      </c>
      <c r="O43" s="3"/>
      <c r="P43" s="3"/>
      <c r="Q43" s="3"/>
    </row>
    <row r="44">
      <c r="A44" s="6">
        <v>395.0</v>
      </c>
      <c r="B44" s="4" t="s">
        <v>1195</v>
      </c>
      <c r="C44" s="4" t="s">
        <v>1196</v>
      </c>
      <c r="D44" s="4" t="s">
        <v>1197</v>
      </c>
      <c r="E44" s="4">
        <v>700419.0</v>
      </c>
      <c r="F44" s="6">
        <v>2.0</v>
      </c>
      <c r="G44" s="4" t="s">
        <v>1198</v>
      </c>
      <c r="H44" s="4" t="s">
        <v>1199</v>
      </c>
      <c r="I44" s="4">
        <v>670216.0</v>
      </c>
      <c r="J44" s="4" t="str">
        <f t="shared" si="1"/>
        <v>이영표2470</v>
      </c>
      <c r="K44" s="3" t="str">
        <f t="shared" si="2"/>
        <v>중복</v>
      </c>
      <c r="L44" s="4">
        <v>70000.0</v>
      </c>
      <c r="M44" s="4">
        <v>140000.0</v>
      </c>
      <c r="N44" s="4">
        <v>70000.0</v>
      </c>
      <c r="O44" s="3"/>
      <c r="P44" s="3"/>
      <c r="Q44" s="3"/>
    </row>
    <row r="45">
      <c r="A45" s="6">
        <v>1227.0</v>
      </c>
      <c r="B45" s="4" t="s">
        <v>1071</v>
      </c>
      <c r="C45" s="4" t="s">
        <v>1200</v>
      </c>
      <c r="D45" s="4" t="s">
        <v>1201</v>
      </c>
      <c r="E45" s="4">
        <v>600518.0</v>
      </c>
      <c r="F45" s="6">
        <v>2.0</v>
      </c>
      <c r="G45" s="4" t="s">
        <v>1202</v>
      </c>
      <c r="H45" s="4" t="s">
        <v>1203</v>
      </c>
      <c r="I45" s="4">
        <v>600315.0</v>
      </c>
      <c r="J45" s="4" t="str">
        <f t="shared" si="1"/>
        <v>윤성수6663</v>
      </c>
      <c r="K45" s="3" t="str">
        <f t="shared" si="2"/>
        <v>중복</v>
      </c>
      <c r="L45" s="4">
        <v>70000.0</v>
      </c>
      <c r="M45" s="4">
        <v>140000.0</v>
      </c>
      <c r="N45" s="4">
        <v>70000.0</v>
      </c>
      <c r="O45" s="3"/>
      <c r="P45" s="3"/>
      <c r="Q45" s="3"/>
    </row>
    <row r="46">
      <c r="A46" s="6">
        <v>136.0</v>
      </c>
      <c r="B46" s="4" t="s">
        <v>1204</v>
      </c>
      <c r="C46" s="4" t="s">
        <v>1205</v>
      </c>
      <c r="D46" s="4" t="s">
        <v>1206</v>
      </c>
      <c r="E46" s="4">
        <v>620402.0</v>
      </c>
      <c r="F46" s="6">
        <v>2.0</v>
      </c>
      <c r="G46" s="4" t="s">
        <v>1207</v>
      </c>
      <c r="H46" s="4" t="s">
        <v>1208</v>
      </c>
      <c r="I46" s="4">
        <v>920408.0</v>
      </c>
      <c r="J46" s="4" t="str">
        <f t="shared" si="1"/>
        <v>이화란3516</v>
      </c>
      <c r="K46" s="3" t="str">
        <f t="shared" si="2"/>
        <v>중복</v>
      </c>
      <c r="L46" s="4">
        <v>70000.0</v>
      </c>
      <c r="M46" s="4">
        <v>140000.0</v>
      </c>
      <c r="N46" s="4">
        <v>70000.0</v>
      </c>
      <c r="O46" s="3"/>
      <c r="P46" s="3"/>
      <c r="Q46" s="3"/>
    </row>
    <row r="47">
      <c r="A47" s="6">
        <v>1239.0</v>
      </c>
      <c r="B47" s="4" t="s">
        <v>1209</v>
      </c>
      <c r="C47" s="4" t="s">
        <v>1210</v>
      </c>
      <c r="D47" s="4" t="s">
        <v>1211</v>
      </c>
      <c r="E47" s="4">
        <v>620127.0</v>
      </c>
      <c r="F47" s="6">
        <v>2.0</v>
      </c>
      <c r="G47" s="4" t="s">
        <v>1212</v>
      </c>
      <c r="H47" s="4" t="s">
        <v>1213</v>
      </c>
      <c r="I47" s="4">
        <v>590920.0</v>
      </c>
      <c r="J47" s="4" t="str">
        <f t="shared" si="1"/>
        <v>이길선4200</v>
      </c>
      <c r="K47" s="3" t="str">
        <f t="shared" si="2"/>
        <v>중복</v>
      </c>
      <c r="L47" s="4">
        <v>70000.0</v>
      </c>
      <c r="M47" s="4">
        <v>140000.0</v>
      </c>
      <c r="N47" s="4">
        <v>70000.0</v>
      </c>
      <c r="O47" s="3"/>
      <c r="P47" s="3"/>
      <c r="Q47" s="3"/>
    </row>
    <row r="48">
      <c r="A48" s="6">
        <v>678.0</v>
      </c>
      <c r="B48" s="4" t="s">
        <v>1214</v>
      </c>
      <c r="C48" s="4" t="s">
        <v>1215</v>
      </c>
      <c r="D48" s="4" t="s">
        <v>1216</v>
      </c>
      <c r="E48" s="4">
        <v>690808.0</v>
      </c>
      <c r="F48" s="6">
        <v>2.0</v>
      </c>
      <c r="G48" s="4" t="s">
        <v>1217</v>
      </c>
      <c r="H48" s="4" t="s">
        <v>1218</v>
      </c>
      <c r="I48" s="4">
        <v>670630.0</v>
      </c>
      <c r="J48" s="4" t="str">
        <f t="shared" si="1"/>
        <v>채미향2262</v>
      </c>
      <c r="K48" s="3" t="str">
        <f t="shared" si="2"/>
        <v>중복</v>
      </c>
      <c r="L48" s="4">
        <v>70000.0</v>
      </c>
      <c r="M48" s="4">
        <v>140000.0</v>
      </c>
      <c r="N48" s="4">
        <v>70000.0</v>
      </c>
      <c r="O48" s="3"/>
      <c r="P48" s="3"/>
      <c r="Q48" s="3"/>
    </row>
    <row r="49">
      <c r="A49" s="6">
        <v>604.0</v>
      </c>
      <c r="B49" s="4" t="s">
        <v>1219</v>
      </c>
      <c r="C49" s="4" t="s">
        <v>1220</v>
      </c>
      <c r="D49" s="4" t="s">
        <v>1221</v>
      </c>
      <c r="E49" s="4">
        <v>800511.0</v>
      </c>
      <c r="F49" s="6">
        <v>2.0</v>
      </c>
      <c r="G49" s="4" t="s">
        <v>1222</v>
      </c>
      <c r="H49" s="4" t="s">
        <v>1223</v>
      </c>
      <c r="I49" s="4">
        <v>60520.0</v>
      </c>
      <c r="J49" s="4" t="str">
        <f t="shared" si="1"/>
        <v>희연8883</v>
      </c>
      <c r="K49" s="3" t="str">
        <f t="shared" si="2"/>
        <v>중복</v>
      </c>
      <c r="L49" s="4">
        <v>70000.0</v>
      </c>
      <c r="M49" s="4">
        <v>140000.0</v>
      </c>
      <c r="N49" s="4">
        <v>70000.0</v>
      </c>
      <c r="O49" s="3"/>
      <c r="P49" s="3"/>
      <c r="Q49" s="3"/>
    </row>
    <row r="50">
      <c r="A50" s="6">
        <v>1151.0</v>
      </c>
      <c r="B50" s="4" t="s">
        <v>1165</v>
      </c>
      <c r="C50" s="4" t="s">
        <v>1224</v>
      </c>
      <c r="D50" s="4" t="s">
        <v>1225</v>
      </c>
      <c r="E50" s="4">
        <v>680219.0</v>
      </c>
      <c r="F50" s="6">
        <v>2.0</v>
      </c>
      <c r="G50" s="4" t="s">
        <v>1226</v>
      </c>
      <c r="H50" s="4" t="s">
        <v>1227</v>
      </c>
      <c r="I50" s="4">
        <v>630920.0</v>
      </c>
      <c r="J50" s="4" t="str">
        <f t="shared" si="1"/>
        <v>김신혜5451</v>
      </c>
      <c r="K50" s="3" t="str">
        <f t="shared" si="2"/>
        <v>중복</v>
      </c>
      <c r="L50" s="4">
        <v>70000.0</v>
      </c>
      <c r="M50" s="4">
        <v>140000.0</v>
      </c>
      <c r="N50" s="4">
        <v>70000.0</v>
      </c>
      <c r="O50" s="3"/>
      <c r="P50" s="3"/>
      <c r="Q50" s="3"/>
    </row>
    <row r="51">
      <c r="A51" s="6">
        <v>989.0</v>
      </c>
      <c r="B51" s="4" t="s">
        <v>1022</v>
      </c>
      <c r="C51" s="4" t="s">
        <v>1228</v>
      </c>
      <c r="D51" s="4" t="s">
        <v>1229</v>
      </c>
      <c r="E51" s="4">
        <v>650409.0</v>
      </c>
      <c r="F51" s="6">
        <v>2.0</v>
      </c>
      <c r="G51" s="3" t="s">
        <v>1230</v>
      </c>
      <c r="H51" s="4" t="s">
        <v>1231</v>
      </c>
      <c r="I51" s="4">
        <v>670418.0</v>
      </c>
      <c r="J51" s="4" t="str">
        <f t="shared" si="1"/>
        <v>길미정7345</v>
      </c>
      <c r="K51" s="3" t="str">
        <f t="shared" si="2"/>
        <v>중복</v>
      </c>
      <c r="L51" s="4">
        <v>70000.0</v>
      </c>
      <c r="M51" s="4">
        <v>140000.0</v>
      </c>
      <c r="N51" s="4">
        <v>70000.0</v>
      </c>
      <c r="O51" s="3"/>
      <c r="P51" s="3"/>
      <c r="Q51" s="3"/>
    </row>
    <row r="52">
      <c r="A52" s="6">
        <v>802.0</v>
      </c>
      <c r="B52" s="4" t="s">
        <v>1232</v>
      </c>
      <c r="C52" s="4" t="s">
        <v>1233</v>
      </c>
      <c r="D52" s="4" t="s">
        <v>1234</v>
      </c>
      <c r="E52" s="4">
        <v>731112.0</v>
      </c>
      <c r="F52" s="6">
        <v>2.0</v>
      </c>
      <c r="G52" s="3" t="s">
        <v>1235</v>
      </c>
      <c r="H52" s="3" t="s">
        <v>1236</v>
      </c>
      <c r="I52" s="3">
        <v>630215.0</v>
      </c>
      <c r="J52" s="4" t="str">
        <f t="shared" si="1"/>
        <v>이주연1785</v>
      </c>
      <c r="K52" s="3" t="str">
        <f t="shared" si="2"/>
        <v>중복</v>
      </c>
      <c r="L52" s="4">
        <v>70000.0</v>
      </c>
      <c r="M52" s="4">
        <v>140000.0</v>
      </c>
      <c r="N52" s="4">
        <v>70000.0</v>
      </c>
      <c r="O52" s="3"/>
      <c r="P52" s="3"/>
      <c r="Q52" s="3"/>
    </row>
    <row r="53">
      <c r="A53" s="6">
        <v>740.0</v>
      </c>
      <c r="B53" s="4" t="s">
        <v>1057</v>
      </c>
      <c r="C53" s="4" t="s">
        <v>1237</v>
      </c>
      <c r="D53" s="4" t="s">
        <v>1238</v>
      </c>
      <c r="E53" s="4">
        <v>660803.0</v>
      </c>
      <c r="F53" s="6">
        <v>2.0</v>
      </c>
      <c r="G53" s="4" t="s">
        <v>1239</v>
      </c>
      <c r="H53" s="4" t="s">
        <v>1240</v>
      </c>
      <c r="I53" s="4">
        <v>590212.0</v>
      </c>
      <c r="J53" s="4" t="str">
        <f t="shared" si="1"/>
        <v>한명실7644</v>
      </c>
      <c r="K53" s="3" t="str">
        <f t="shared" si="2"/>
        <v>중복</v>
      </c>
      <c r="L53" s="4">
        <v>70000.0</v>
      </c>
      <c r="M53" s="4">
        <v>140000.0</v>
      </c>
      <c r="N53" s="4">
        <v>70000.0</v>
      </c>
      <c r="O53" s="3"/>
      <c r="P53" s="3"/>
      <c r="Q53" s="3"/>
    </row>
    <row r="54">
      <c r="A54" s="6">
        <v>1056.0</v>
      </c>
      <c r="B54" s="4" t="s">
        <v>1047</v>
      </c>
      <c r="C54" s="4" t="s">
        <v>1241</v>
      </c>
      <c r="D54" s="4" t="s">
        <v>1242</v>
      </c>
      <c r="E54" s="4">
        <v>670424.0</v>
      </c>
      <c r="F54" s="6">
        <v>2.0</v>
      </c>
      <c r="G54" s="4" t="s">
        <v>1243</v>
      </c>
      <c r="H54" s="4" t="s">
        <v>1244</v>
      </c>
      <c r="I54" s="4">
        <v>980706.0</v>
      </c>
      <c r="J54" s="4" t="str">
        <f t="shared" si="1"/>
        <v>최영미4024</v>
      </c>
      <c r="K54" s="3" t="str">
        <f t="shared" si="2"/>
        <v>중복</v>
      </c>
      <c r="L54" s="4">
        <v>70000.0</v>
      </c>
      <c r="M54" s="4">
        <v>140000.0</v>
      </c>
      <c r="N54" s="4">
        <v>70000.0</v>
      </c>
      <c r="O54" s="3"/>
      <c r="P54" s="3"/>
      <c r="Q54" s="3"/>
    </row>
    <row r="55">
      <c r="A55" s="5">
        <v>699.0</v>
      </c>
      <c r="B55" s="3" t="s">
        <v>1245</v>
      </c>
      <c r="C55" s="3" t="s">
        <v>1246</v>
      </c>
      <c r="D55" s="3" t="s">
        <v>1247</v>
      </c>
      <c r="E55" s="3">
        <v>870424.0</v>
      </c>
      <c r="F55" s="5">
        <v>2.0</v>
      </c>
      <c r="G55" s="3" t="s">
        <v>1248</v>
      </c>
      <c r="H55" s="3" t="s">
        <v>1249</v>
      </c>
      <c r="I55" s="3">
        <v>940713.0</v>
      </c>
      <c r="J55" s="4" t="str">
        <f t="shared" si="1"/>
        <v>KIM DENNIS HO7251</v>
      </c>
      <c r="K55" s="3" t="str">
        <f t="shared" si="2"/>
        <v>중복</v>
      </c>
      <c r="L55" s="4">
        <v>70000.0</v>
      </c>
      <c r="M55" s="4">
        <v>140000.0</v>
      </c>
      <c r="N55" s="4">
        <v>70000.0</v>
      </c>
      <c r="O55" s="3"/>
      <c r="P55" s="3"/>
      <c r="Q55" s="3"/>
    </row>
    <row r="56">
      <c r="A56" s="6">
        <v>180.0</v>
      </c>
      <c r="B56" s="4" t="s">
        <v>1250</v>
      </c>
      <c r="C56" s="4" t="s">
        <v>1251</v>
      </c>
      <c r="D56" s="4" t="s">
        <v>1252</v>
      </c>
      <c r="E56" s="4">
        <v>760625.0</v>
      </c>
      <c r="F56" s="6">
        <v>2.0</v>
      </c>
      <c r="G56" s="4" t="s">
        <v>1253</v>
      </c>
      <c r="H56" s="4" t="s">
        <v>1254</v>
      </c>
      <c r="I56" s="4">
        <v>770303.0</v>
      </c>
      <c r="J56" s="4" t="str">
        <f t="shared" si="1"/>
        <v>국지현9973</v>
      </c>
      <c r="K56" s="3" t="str">
        <f t="shared" si="2"/>
        <v>중복</v>
      </c>
      <c r="L56" s="4">
        <v>70000.0</v>
      </c>
      <c r="M56" s="4">
        <v>140000.0</v>
      </c>
      <c r="N56" s="4">
        <v>70000.0</v>
      </c>
      <c r="O56" s="3"/>
      <c r="P56" s="3"/>
      <c r="Q56" s="3"/>
    </row>
    <row r="57">
      <c r="A57" s="6">
        <v>562.0</v>
      </c>
      <c r="B57" s="4" t="s">
        <v>1255</v>
      </c>
      <c r="C57" s="4" t="s">
        <v>1256</v>
      </c>
      <c r="D57" s="4" t="s">
        <v>1257</v>
      </c>
      <c r="E57" s="4">
        <v>630401.0</v>
      </c>
      <c r="F57" s="6">
        <v>2.0</v>
      </c>
      <c r="G57" s="4" t="s">
        <v>1258</v>
      </c>
      <c r="H57" s="4" t="s">
        <v>1259</v>
      </c>
      <c r="I57" s="4">
        <v>571123.0</v>
      </c>
      <c r="J57" s="4" t="str">
        <f t="shared" si="1"/>
        <v>한은숙7899</v>
      </c>
      <c r="K57" s="3" t="str">
        <f t="shared" si="2"/>
        <v>중복</v>
      </c>
      <c r="L57" s="4">
        <v>70000.0</v>
      </c>
      <c r="M57" s="4">
        <v>140000.0</v>
      </c>
      <c r="N57" s="4">
        <v>70000.0</v>
      </c>
      <c r="O57" s="3"/>
      <c r="P57" s="3"/>
      <c r="Q57" s="3"/>
    </row>
    <row r="58">
      <c r="A58" s="6">
        <v>314.0</v>
      </c>
      <c r="B58" s="4" t="s">
        <v>1260</v>
      </c>
      <c r="C58" s="4" t="s">
        <v>1261</v>
      </c>
      <c r="D58" s="4" t="s">
        <v>1262</v>
      </c>
      <c r="E58" s="4">
        <v>790109.0</v>
      </c>
      <c r="F58" s="6">
        <v>2.0</v>
      </c>
      <c r="G58" s="4" t="s">
        <v>1263</v>
      </c>
      <c r="H58" s="4" t="s">
        <v>1264</v>
      </c>
      <c r="I58" s="4">
        <v>720205.0</v>
      </c>
      <c r="J58" s="4" t="str">
        <f t="shared" si="1"/>
        <v>정은정8075</v>
      </c>
      <c r="K58" s="3" t="str">
        <f t="shared" si="2"/>
        <v>중복</v>
      </c>
      <c r="L58" s="4">
        <v>70000.0</v>
      </c>
      <c r="M58" s="4">
        <v>140000.0</v>
      </c>
      <c r="N58" s="4">
        <v>70000.0</v>
      </c>
      <c r="O58" s="3"/>
      <c r="P58" s="3"/>
      <c r="Q58" s="3"/>
    </row>
    <row r="59">
      <c r="A59" s="6">
        <v>127.0</v>
      </c>
      <c r="B59" s="4" t="s">
        <v>1018</v>
      </c>
      <c r="C59" s="4" t="s">
        <v>1265</v>
      </c>
      <c r="D59" s="4" t="s">
        <v>1266</v>
      </c>
      <c r="E59" s="4">
        <v>670324.0</v>
      </c>
      <c r="F59" s="6">
        <v>2.0</v>
      </c>
      <c r="G59" s="3" t="s">
        <v>1267</v>
      </c>
      <c r="H59" s="4" t="s">
        <v>1268</v>
      </c>
      <c r="I59" s="4">
        <v>490222.0</v>
      </c>
      <c r="J59" s="4" t="str">
        <f t="shared" si="1"/>
        <v>김태선9749</v>
      </c>
      <c r="K59" s="3" t="str">
        <f t="shared" si="2"/>
        <v>중복</v>
      </c>
      <c r="L59" s="4">
        <v>70000.0</v>
      </c>
      <c r="M59" s="4">
        <v>140000.0</v>
      </c>
      <c r="N59" s="4">
        <v>70000.0</v>
      </c>
      <c r="O59" s="3"/>
      <c r="P59" s="3"/>
      <c r="Q59" s="3"/>
    </row>
    <row r="60">
      <c r="A60" s="5">
        <v>1017.0</v>
      </c>
      <c r="B60" s="3" t="s">
        <v>1269</v>
      </c>
      <c r="C60" s="3" t="s">
        <v>1270</v>
      </c>
      <c r="D60" s="3" t="s">
        <v>1271</v>
      </c>
      <c r="E60" s="3">
        <v>490915.0</v>
      </c>
      <c r="F60" s="5">
        <v>2.0</v>
      </c>
      <c r="G60" s="3" t="s">
        <v>1272</v>
      </c>
      <c r="H60" s="3" t="s">
        <v>1273</v>
      </c>
      <c r="I60" s="3">
        <v>690108.0</v>
      </c>
      <c r="J60" s="4" t="str">
        <f t="shared" si="1"/>
        <v>김영1842</v>
      </c>
      <c r="K60" s="3" t="str">
        <f t="shared" si="2"/>
        <v>중복</v>
      </c>
      <c r="L60" s="4">
        <v>70000.0</v>
      </c>
      <c r="M60" s="4">
        <v>130000.0</v>
      </c>
      <c r="N60" s="4">
        <v>60000.0</v>
      </c>
      <c r="O60" s="3"/>
      <c r="P60" s="3"/>
      <c r="Q60" s="3"/>
    </row>
    <row r="61">
      <c r="A61" s="5">
        <v>992.0</v>
      </c>
      <c r="B61" s="3" t="s">
        <v>1022</v>
      </c>
      <c r="C61" s="3" t="s">
        <v>1274</v>
      </c>
      <c r="D61" s="3" t="s">
        <v>1275</v>
      </c>
      <c r="E61" s="3">
        <v>571002.0</v>
      </c>
      <c r="F61" s="5">
        <v>2.0</v>
      </c>
      <c r="G61" s="3" t="s">
        <v>1276</v>
      </c>
      <c r="H61" s="3" t="s">
        <v>1277</v>
      </c>
      <c r="I61" s="3">
        <v>601021.0</v>
      </c>
      <c r="J61" s="4" t="str">
        <f t="shared" si="1"/>
        <v>최귀선5585</v>
      </c>
      <c r="K61" s="3" t="str">
        <f t="shared" si="2"/>
        <v>중복</v>
      </c>
      <c r="L61" s="4">
        <v>70000.0</v>
      </c>
      <c r="M61" s="4">
        <v>130000.0</v>
      </c>
      <c r="N61" s="4">
        <v>60000.0</v>
      </c>
      <c r="O61" s="3"/>
      <c r="P61" s="3"/>
      <c r="Q61" s="3"/>
    </row>
    <row r="62">
      <c r="A62" s="6">
        <v>474.0</v>
      </c>
      <c r="B62" s="4" t="s">
        <v>1042</v>
      </c>
      <c r="C62" s="4" t="s">
        <v>1278</v>
      </c>
      <c r="D62" s="4" t="s">
        <v>1279</v>
      </c>
      <c r="E62" s="4">
        <v>740810.0</v>
      </c>
      <c r="F62" s="6">
        <v>2.0</v>
      </c>
      <c r="G62" s="4" t="s">
        <v>1280</v>
      </c>
      <c r="H62" s="4" t="s">
        <v>1281</v>
      </c>
      <c r="I62" s="4">
        <v>730810.0</v>
      </c>
      <c r="J62" s="4" t="str">
        <f t="shared" si="1"/>
        <v>신동예2865</v>
      </c>
      <c r="K62" s="3" t="str">
        <f t="shared" si="2"/>
        <v>중복</v>
      </c>
      <c r="L62" s="4">
        <v>70000.0</v>
      </c>
      <c r="M62" s="4">
        <v>130000.0</v>
      </c>
      <c r="N62" s="4">
        <v>60000.0</v>
      </c>
      <c r="O62" s="3"/>
      <c r="P62" s="3"/>
      <c r="Q62" s="3"/>
    </row>
    <row r="63">
      <c r="A63" s="6">
        <v>193.0</v>
      </c>
      <c r="B63" s="4" t="s">
        <v>1282</v>
      </c>
      <c r="C63" s="4" t="s">
        <v>1283</v>
      </c>
      <c r="D63" s="4" t="s">
        <v>1284</v>
      </c>
      <c r="E63" s="4">
        <v>990308.0</v>
      </c>
      <c r="F63" s="6">
        <v>2.0</v>
      </c>
      <c r="G63" s="4" t="s">
        <v>1285</v>
      </c>
      <c r="H63" s="4" t="s">
        <v>1286</v>
      </c>
      <c r="I63" s="4">
        <v>661225.0</v>
      </c>
      <c r="J63" s="4" t="str">
        <f t="shared" si="1"/>
        <v>김은비2235</v>
      </c>
      <c r="K63" s="3" t="str">
        <f t="shared" si="2"/>
        <v>중복</v>
      </c>
      <c r="L63" s="4">
        <v>70000.0</v>
      </c>
      <c r="M63" s="4">
        <v>105000.0</v>
      </c>
      <c r="N63" s="4">
        <v>35000.0</v>
      </c>
      <c r="O63" s="3"/>
      <c r="P63" s="3"/>
      <c r="Q63" s="3"/>
    </row>
    <row r="64">
      <c r="A64" s="6">
        <v>159.0</v>
      </c>
      <c r="B64" s="4" t="s">
        <v>1287</v>
      </c>
      <c r="C64" s="4" t="s">
        <v>1288</v>
      </c>
      <c r="D64" s="4" t="s">
        <v>1289</v>
      </c>
      <c r="E64" s="4">
        <v>610905.0</v>
      </c>
      <c r="F64" s="6">
        <v>2.0</v>
      </c>
      <c r="G64" s="4" t="s">
        <v>1290</v>
      </c>
      <c r="H64" s="4" t="s">
        <v>1291</v>
      </c>
      <c r="I64" s="4">
        <v>601228.0</v>
      </c>
      <c r="J64" s="4" t="str">
        <f t="shared" si="1"/>
        <v>김경애2304</v>
      </c>
      <c r="K64" s="3" t="str">
        <f t="shared" si="2"/>
        <v>중복</v>
      </c>
      <c r="L64" s="4">
        <v>70000.0</v>
      </c>
      <c r="M64" s="4">
        <v>105000.0</v>
      </c>
      <c r="N64" s="4">
        <v>35000.0</v>
      </c>
      <c r="O64" s="3"/>
      <c r="P64" s="3"/>
      <c r="Q64" s="3"/>
    </row>
    <row r="65">
      <c r="A65" s="6">
        <v>765.0</v>
      </c>
      <c r="B65" s="4" t="s">
        <v>1292</v>
      </c>
      <c r="C65" s="4" t="s">
        <v>1293</v>
      </c>
      <c r="D65" s="4" t="s">
        <v>1294</v>
      </c>
      <c r="E65" s="4">
        <v>720228.0</v>
      </c>
      <c r="F65" s="6">
        <v>2.0</v>
      </c>
      <c r="G65" s="4" t="s">
        <v>1295</v>
      </c>
      <c r="H65" s="4" t="s">
        <v>1296</v>
      </c>
      <c r="I65" s="4">
        <v>710720.0</v>
      </c>
      <c r="J65" s="4" t="str">
        <f t="shared" si="1"/>
        <v>최미라4309</v>
      </c>
      <c r="K65" s="3" t="str">
        <f t="shared" si="2"/>
        <v>중복</v>
      </c>
      <c r="L65" s="4">
        <v>70000.0</v>
      </c>
      <c r="M65" s="4">
        <v>105000.0</v>
      </c>
      <c r="N65" s="4">
        <v>35000.0</v>
      </c>
      <c r="O65" s="3"/>
      <c r="P65" s="3"/>
      <c r="Q65" s="3"/>
    </row>
    <row r="66">
      <c r="A66" s="6">
        <v>1028.0</v>
      </c>
      <c r="B66" s="4" t="s">
        <v>1062</v>
      </c>
      <c r="C66" s="4" t="s">
        <v>1297</v>
      </c>
      <c r="D66" s="4" t="s">
        <v>1298</v>
      </c>
      <c r="E66" s="4">
        <v>590321.0</v>
      </c>
      <c r="F66" s="6">
        <v>2.0</v>
      </c>
      <c r="G66" s="4" t="s">
        <v>1299</v>
      </c>
      <c r="H66" s="4" t="s">
        <v>1300</v>
      </c>
      <c r="I66" s="4">
        <v>590401.0</v>
      </c>
      <c r="J66" s="4" t="str">
        <f t="shared" si="1"/>
        <v>이혜원5193</v>
      </c>
      <c r="K66" s="3" t="str">
        <f t="shared" si="2"/>
        <v>중복</v>
      </c>
      <c r="L66" s="4">
        <v>70000.0</v>
      </c>
      <c r="M66" s="4">
        <v>105000.0</v>
      </c>
      <c r="N66" s="4">
        <v>35000.0</v>
      </c>
      <c r="O66" s="3"/>
      <c r="P66" s="3"/>
      <c r="Q66" s="3"/>
    </row>
    <row r="67">
      <c r="A67" s="6">
        <v>1071.0</v>
      </c>
      <c r="B67" s="4" t="s">
        <v>1076</v>
      </c>
      <c r="C67" s="4" t="s">
        <v>1171</v>
      </c>
      <c r="D67" s="4" t="s">
        <v>1301</v>
      </c>
      <c r="E67" s="4">
        <v>570107.0</v>
      </c>
      <c r="F67" s="6">
        <v>2.0</v>
      </c>
      <c r="G67" s="4" t="s">
        <v>1302</v>
      </c>
      <c r="H67" s="4" t="s">
        <v>1303</v>
      </c>
      <c r="I67" s="4">
        <v>880312.0</v>
      </c>
      <c r="J67" s="4" t="str">
        <f t="shared" si="1"/>
        <v>이미영9456</v>
      </c>
      <c r="K67" s="3" t="str">
        <f t="shared" si="2"/>
        <v>정상</v>
      </c>
      <c r="L67" s="4">
        <v>70000.0</v>
      </c>
      <c r="M67" s="4">
        <v>70000.0</v>
      </c>
      <c r="N67" s="4">
        <v>0.0</v>
      </c>
      <c r="O67" s="3"/>
      <c r="P67" s="3"/>
      <c r="Q67" s="3"/>
    </row>
    <row r="68">
      <c r="A68" s="6">
        <v>297.0</v>
      </c>
      <c r="B68" s="4" t="s">
        <v>1304</v>
      </c>
      <c r="C68" s="4" t="s">
        <v>1305</v>
      </c>
      <c r="D68" s="4" t="s">
        <v>1306</v>
      </c>
      <c r="E68" s="4">
        <v>980302.0</v>
      </c>
      <c r="F68" s="6">
        <v>2.0</v>
      </c>
      <c r="G68" s="4" t="s">
        <v>1307</v>
      </c>
      <c r="H68" s="4" t="s">
        <v>1308</v>
      </c>
      <c r="I68" s="4">
        <v>980326.0</v>
      </c>
      <c r="J68" s="4" t="str">
        <f t="shared" si="1"/>
        <v>조성훈0398</v>
      </c>
      <c r="K68" s="3" t="str">
        <f t="shared" si="2"/>
        <v>정상</v>
      </c>
      <c r="L68" s="4">
        <v>70000.0</v>
      </c>
      <c r="M68" s="4">
        <v>70000.0</v>
      </c>
      <c r="N68" s="4">
        <v>0.0</v>
      </c>
      <c r="O68" s="3"/>
      <c r="P68" s="3"/>
      <c r="Q68" s="3"/>
    </row>
    <row r="69">
      <c r="A69" s="6">
        <v>766.0</v>
      </c>
      <c r="B69" s="4" t="s">
        <v>1292</v>
      </c>
      <c r="C69" s="4" t="s">
        <v>1309</v>
      </c>
      <c r="D69" s="4" t="s">
        <v>1310</v>
      </c>
      <c r="E69" s="4">
        <v>980215.0</v>
      </c>
      <c r="F69" s="6">
        <v>2.0</v>
      </c>
      <c r="G69" s="4" t="s">
        <v>1307</v>
      </c>
      <c r="H69" s="4" t="s">
        <v>1311</v>
      </c>
      <c r="I69" s="4">
        <v>700517.0</v>
      </c>
      <c r="J69" s="4" t="str">
        <f t="shared" si="1"/>
        <v>황민선1453</v>
      </c>
      <c r="K69" s="3" t="str">
        <f t="shared" si="2"/>
        <v>정상</v>
      </c>
      <c r="L69" s="4">
        <v>70000.0</v>
      </c>
      <c r="M69" s="4">
        <v>70000.0</v>
      </c>
      <c r="N69" s="4">
        <v>0.0</v>
      </c>
      <c r="O69" s="3"/>
      <c r="P69" s="3"/>
      <c r="Q69" s="3"/>
    </row>
    <row r="70">
      <c r="A70" s="6">
        <v>574.0</v>
      </c>
      <c r="B70" s="4" t="s">
        <v>1312</v>
      </c>
      <c r="C70" s="4" t="s">
        <v>1313</v>
      </c>
      <c r="D70" s="4" t="s">
        <v>1314</v>
      </c>
      <c r="E70" s="4">
        <v>830701.0</v>
      </c>
      <c r="F70" s="6">
        <v>2.0</v>
      </c>
      <c r="G70" s="4" t="s">
        <v>1315</v>
      </c>
      <c r="H70" s="4" t="s">
        <v>1316</v>
      </c>
      <c r="I70" s="4">
        <v>840102.0</v>
      </c>
      <c r="J70" s="4" t="str">
        <f t="shared" si="1"/>
        <v>김연서0701</v>
      </c>
      <c r="K70" s="3" t="str">
        <f t="shared" si="2"/>
        <v>정상</v>
      </c>
      <c r="L70" s="4">
        <v>70000.0</v>
      </c>
      <c r="M70" s="4">
        <v>70000.0</v>
      </c>
      <c r="N70" s="4">
        <v>0.0</v>
      </c>
      <c r="O70" s="3"/>
      <c r="P70" s="3"/>
      <c r="Q70" s="3"/>
    </row>
    <row r="71">
      <c r="A71" s="6">
        <v>388.0</v>
      </c>
      <c r="B71" s="4" t="s">
        <v>1317</v>
      </c>
      <c r="C71" s="4" t="s">
        <v>1318</v>
      </c>
      <c r="D71" s="4" t="s">
        <v>1319</v>
      </c>
      <c r="E71" s="4">
        <v>780711.0</v>
      </c>
      <c r="F71" s="6">
        <v>2.0</v>
      </c>
      <c r="G71" s="4" t="s">
        <v>1320</v>
      </c>
      <c r="H71" s="4" t="s">
        <v>1321</v>
      </c>
      <c r="I71" s="4">
        <v>751115.0</v>
      </c>
      <c r="J71" s="4" t="str">
        <f t="shared" si="1"/>
        <v>황정임5441</v>
      </c>
      <c r="K71" s="3" t="str">
        <f t="shared" si="2"/>
        <v>정상</v>
      </c>
      <c r="L71" s="4">
        <v>70000.0</v>
      </c>
      <c r="M71" s="4">
        <v>70000.0</v>
      </c>
      <c r="N71" s="4">
        <v>0.0</v>
      </c>
      <c r="O71" s="3"/>
      <c r="P71" s="3"/>
      <c r="Q71" s="3"/>
    </row>
    <row r="72">
      <c r="A72" s="6">
        <v>324.0</v>
      </c>
      <c r="B72" s="4" t="s">
        <v>1322</v>
      </c>
      <c r="C72" s="4" t="s">
        <v>1323</v>
      </c>
      <c r="D72" s="4" t="s">
        <v>1324</v>
      </c>
      <c r="E72" s="4">
        <v>710905.0</v>
      </c>
      <c r="F72" s="6">
        <v>2.0</v>
      </c>
      <c r="G72" s="4" t="s">
        <v>1325</v>
      </c>
      <c r="H72" s="4" t="s">
        <v>1326</v>
      </c>
      <c r="I72" s="4">
        <v>670111.0</v>
      </c>
      <c r="J72" s="4" t="str">
        <f t="shared" si="1"/>
        <v>박경숙2965</v>
      </c>
      <c r="K72" s="3" t="str">
        <f t="shared" si="2"/>
        <v>정상</v>
      </c>
      <c r="L72" s="4">
        <v>70000.0</v>
      </c>
      <c r="M72" s="4">
        <v>70000.0</v>
      </c>
      <c r="N72" s="4">
        <v>0.0</v>
      </c>
      <c r="O72" s="3"/>
      <c r="P72" s="3"/>
      <c r="Q72" s="3"/>
    </row>
    <row r="73">
      <c r="A73" s="6">
        <v>166.0</v>
      </c>
      <c r="B73" s="4" t="s">
        <v>1287</v>
      </c>
      <c r="C73" s="4" t="s">
        <v>1327</v>
      </c>
      <c r="D73" s="4" t="s">
        <v>1328</v>
      </c>
      <c r="E73" s="4">
        <v>631030.0</v>
      </c>
      <c r="F73" s="6">
        <v>2.0</v>
      </c>
      <c r="G73" s="4" t="s">
        <v>1329</v>
      </c>
      <c r="H73" s="4" t="s">
        <v>1330</v>
      </c>
      <c r="I73" s="4">
        <v>611129.0</v>
      </c>
      <c r="J73" s="4" t="str">
        <f t="shared" si="1"/>
        <v>민희식6876</v>
      </c>
      <c r="K73" s="3" t="str">
        <f t="shared" si="2"/>
        <v>중복</v>
      </c>
      <c r="L73" s="4">
        <v>70000.0</v>
      </c>
      <c r="M73" s="3">
        <v>140000.0</v>
      </c>
      <c r="N73" s="3">
        <v>70000.0</v>
      </c>
      <c r="O73" s="3"/>
      <c r="P73" s="3"/>
      <c r="Q73" s="3"/>
    </row>
    <row r="74">
      <c r="A74" s="6">
        <v>1140.0</v>
      </c>
      <c r="B74" s="4" t="s">
        <v>1165</v>
      </c>
      <c r="C74" s="4" t="s">
        <v>1331</v>
      </c>
      <c r="D74" s="4" t="s">
        <v>1332</v>
      </c>
      <c r="E74" s="4">
        <v>650506.0</v>
      </c>
      <c r="F74" s="6">
        <v>2.0</v>
      </c>
      <c r="G74" s="4" t="s">
        <v>1333</v>
      </c>
      <c r="H74" s="4" t="s">
        <v>1334</v>
      </c>
      <c r="I74" s="4">
        <v>611120.0</v>
      </c>
      <c r="J74" s="4" t="str">
        <f t="shared" si="1"/>
        <v>강미식9365</v>
      </c>
      <c r="K74" s="3" t="str">
        <f t="shared" si="2"/>
        <v>정상</v>
      </c>
      <c r="L74" s="4">
        <v>70000.0</v>
      </c>
      <c r="M74" s="4">
        <v>70000.0</v>
      </c>
      <c r="N74" s="4">
        <v>0.0</v>
      </c>
      <c r="O74" s="3"/>
      <c r="P74" s="3"/>
      <c r="Q74" s="3"/>
    </row>
    <row r="75">
      <c r="A75" s="6">
        <v>732.0</v>
      </c>
      <c r="B75" s="4" t="s">
        <v>1335</v>
      </c>
      <c r="C75" s="4" t="s">
        <v>1336</v>
      </c>
      <c r="D75" s="4" t="s">
        <v>1337</v>
      </c>
      <c r="E75" s="4">
        <v>680707.0</v>
      </c>
      <c r="F75" s="6">
        <v>2.0</v>
      </c>
      <c r="G75" s="4" t="s">
        <v>1338</v>
      </c>
      <c r="H75" s="4" t="s">
        <v>1339</v>
      </c>
      <c r="I75" s="4">
        <v>780617.0</v>
      </c>
      <c r="J75" s="4" t="str">
        <f t="shared" si="1"/>
        <v>조혜경1638</v>
      </c>
      <c r="K75" s="3" t="str">
        <f t="shared" si="2"/>
        <v>정상</v>
      </c>
      <c r="L75" s="4">
        <v>70000.0</v>
      </c>
      <c r="M75" s="4">
        <v>70000.0</v>
      </c>
      <c r="N75" s="4">
        <v>0.0</v>
      </c>
      <c r="O75" s="3"/>
      <c r="P75" s="3"/>
      <c r="Q75" s="3"/>
    </row>
    <row r="76">
      <c r="A76" s="6">
        <v>320.0</v>
      </c>
      <c r="B76" s="4" t="s">
        <v>1012</v>
      </c>
      <c r="C76" s="4" t="s">
        <v>1340</v>
      </c>
      <c r="D76" s="4" t="s">
        <v>1341</v>
      </c>
      <c r="E76" s="4">
        <v>791217.0</v>
      </c>
      <c r="F76" s="6">
        <v>2.0</v>
      </c>
      <c r="G76" s="4" t="s">
        <v>1342</v>
      </c>
      <c r="H76" s="4" t="s">
        <v>1343</v>
      </c>
      <c r="I76" s="4">
        <v>520727.0</v>
      </c>
      <c r="J76" s="4" t="str">
        <f t="shared" si="1"/>
        <v>홍정의6543</v>
      </c>
      <c r="K76" s="3" t="str">
        <f t="shared" si="2"/>
        <v>정상</v>
      </c>
      <c r="L76" s="4">
        <v>70000.0</v>
      </c>
      <c r="M76" s="4">
        <v>70000.0</v>
      </c>
      <c r="N76" s="4">
        <v>0.0</v>
      </c>
      <c r="O76" s="3"/>
      <c r="P76" s="3"/>
      <c r="Q76" s="3"/>
    </row>
    <row r="77">
      <c r="A77" s="6">
        <v>575.0</v>
      </c>
      <c r="B77" s="4" t="s">
        <v>1344</v>
      </c>
      <c r="C77" s="4" t="s">
        <v>1345</v>
      </c>
      <c r="D77" s="4" t="s">
        <v>1346</v>
      </c>
      <c r="E77" s="4">
        <v>690911.0</v>
      </c>
      <c r="F77" s="6">
        <v>2.0</v>
      </c>
      <c r="G77" s="4" t="s">
        <v>1347</v>
      </c>
      <c r="H77" s="4" t="s">
        <v>1348</v>
      </c>
      <c r="I77" s="4">
        <v>31023.0</v>
      </c>
      <c r="J77" s="4" t="str">
        <f t="shared" si="1"/>
        <v>좌경희7216</v>
      </c>
      <c r="K77" s="3" t="str">
        <f t="shared" si="2"/>
        <v>정상</v>
      </c>
      <c r="L77" s="4">
        <v>70000.0</v>
      </c>
      <c r="M77" s="4">
        <v>70000.0</v>
      </c>
      <c r="N77" s="4">
        <v>0.0</v>
      </c>
      <c r="O77" s="3"/>
      <c r="P77" s="3"/>
      <c r="Q77" s="3"/>
    </row>
    <row r="78">
      <c r="A78" s="6">
        <v>516.0</v>
      </c>
      <c r="B78" s="4" t="s">
        <v>1349</v>
      </c>
      <c r="C78" s="4" t="s">
        <v>1350</v>
      </c>
      <c r="D78" s="4" t="s">
        <v>1351</v>
      </c>
      <c r="E78" s="4">
        <v>920915.0</v>
      </c>
      <c r="F78" s="6">
        <v>2.0</v>
      </c>
      <c r="G78" s="4" t="s">
        <v>1352</v>
      </c>
      <c r="H78" s="4" t="s">
        <v>1353</v>
      </c>
      <c r="I78" s="4">
        <v>610713.0</v>
      </c>
      <c r="J78" s="4" t="str">
        <f t="shared" si="1"/>
        <v>김수지0562</v>
      </c>
      <c r="K78" s="3" t="str">
        <f t="shared" si="2"/>
        <v>정상</v>
      </c>
      <c r="L78" s="4">
        <v>70000.0</v>
      </c>
      <c r="M78" s="4">
        <v>70000.0</v>
      </c>
      <c r="N78" s="4">
        <v>0.0</v>
      </c>
      <c r="O78" s="3"/>
      <c r="P78" s="3"/>
      <c r="Q78" s="3"/>
    </row>
    <row r="79">
      <c r="A79" s="6">
        <v>389.0</v>
      </c>
      <c r="B79" s="4" t="s">
        <v>1317</v>
      </c>
      <c r="C79" s="4" t="s">
        <v>1354</v>
      </c>
      <c r="D79" s="4" t="s">
        <v>1355</v>
      </c>
      <c r="E79" s="4">
        <v>691115.0</v>
      </c>
      <c r="F79" s="6">
        <v>2.0</v>
      </c>
      <c r="G79" s="4" t="s">
        <v>1356</v>
      </c>
      <c r="H79" s="4" t="s">
        <v>1357</v>
      </c>
      <c r="I79" s="4">
        <v>970526.0</v>
      </c>
      <c r="J79" s="4" t="str">
        <f t="shared" si="1"/>
        <v>금동규2218</v>
      </c>
      <c r="K79" s="3" t="str">
        <f t="shared" si="2"/>
        <v>정상</v>
      </c>
      <c r="L79" s="4">
        <v>70000.0</v>
      </c>
      <c r="M79" s="4">
        <v>70000.0</v>
      </c>
      <c r="N79" s="4">
        <v>0.0</v>
      </c>
      <c r="O79" s="3"/>
      <c r="P79" s="3"/>
      <c r="Q79" s="3"/>
    </row>
    <row r="80">
      <c r="A80" s="6">
        <v>1122.0</v>
      </c>
      <c r="B80" s="4" t="s">
        <v>1358</v>
      </c>
      <c r="C80" s="4" t="s">
        <v>1359</v>
      </c>
      <c r="D80" s="4" t="s">
        <v>1360</v>
      </c>
      <c r="E80" s="4">
        <v>520618.0</v>
      </c>
      <c r="F80" s="6">
        <v>2.0</v>
      </c>
      <c r="G80" s="4" t="s">
        <v>1361</v>
      </c>
      <c r="H80" s="4" t="s">
        <v>1362</v>
      </c>
      <c r="I80" s="4">
        <v>550108.0</v>
      </c>
      <c r="J80" s="4" t="str">
        <f t="shared" si="1"/>
        <v>최영훈6247</v>
      </c>
      <c r="K80" s="3" t="str">
        <f t="shared" si="2"/>
        <v>정상</v>
      </c>
      <c r="L80" s="4">
        <v>70000.0</v>
      </c>
      <c r="M80" s="4">
        <v>70000.0</v>
      </c>
      <c r="N80" s="4">
        <v>0.0</v>
      </c>
      <c r="O80" s="3"/>
      <c r="P80" s="3"/>
      <c r="Q80" s="3"/>
    </row>
    <row r="81">
      <c r="A81" s="6">
        <v>373.0</v>
      </c>
      <c r="B81" s="4" t="s">
        <v>1086</v>
      </c>
      <c r="C81" s="4" t="s">
        <v>1363</v>
      </c>
      <c r="D81" s="4" t="s">
        <v>1364</v>
      </c>
      <c r="E81" s="4">
        <v>530806.0</v>
      </c>
      <c r="F81" s="6">
        <v>2.0</v>
      </c>
      <c r="G81" s="4" t="s">
        <v>1365</v>
      </c>
      <c r="H81" s="4" t="s">
        <v>1366</v>
      </c>
      <c r="I81" s="4">
        <v>530812.0</v>
      </c>
      <c r="J81" s="4" t="str">
        <f t="shared" si="1"/>
        <v>박복숙2435</v>
      </c>
      <c r="K81" s="3" t="str">
        <f t="shared" si="2"/>
        <v>정상</v>
      </c>
      <c r="L81" s="4">
        <v>70000.0</v>
      </c>
      <c r="M81" s="4">
        <v>70000.0</v>
      </c>
      <c r="N81" s="4">
        <v>0.0</v>
      </c>
      <c r="O81" s="3"/>
      <c r="P81" s="3"/>
      <c r="Q81" s="3"/>
    </row>
    <row r="82">
      <c r="A82" s="6">
        <v>831.0</v>
      </c>
      <c r="B82" s="4" t="s">
        <v>1367</v>
      </c>
      <c r="C82" s="4" t="s">
        <v>1368</v>
      </c>
      <c r="D82" s="4" t="s">
        <v>1369</v>
      </c>
      <c r="E82" s="4">
        <v>711009.0</v>
      </c>
      <c r="F82" s="6">
        <v>2.0</v>
      </c>
      <c r="G82" s="4" t="s">
        <v>1370</v>
      </c>
      <c r="H82" s="4" t="s">
        <v>1371</v>
      </c>
      <c r="I82" s="4">
        <v>700222.0</v>
      </c>
      <c r="J82" s="4" t="str">
        <f t="shared" si="1"/>
        <v>김정숙0365</v>
      </c>
      <c r="K82" s="3" t="str">
        <f t="shared" si="2"/>
        <v>정상</v>
      </c>
      <c r="L82" s="4">
        <v>70000.0</v>
      </c>
      <c r="M82" s="4">
        <v>70000.0</v>
      </c>
      <c r="N82" s="4">
        <v>0.0</v>
      </c>
      <c r="O82" s="3"/>
      <c r="P82" s="3"/>
      <c r="Q82" s="3"/>
    </row>
    <row r="83">
      <c r="A83" s="6">
        <v>584.0</v>
      </c>
      <c r="B83" s="4" t="s">
        <v>1372</v>
      </c>
      <c r="C83" s="4" t="s">
        <v>1373</v>
      </c>
      <c r="D83" s="4" t="s">
        <v>1374</v>
      </c>
      <c r="E83" s="4">
        <v>660905.0</v>
      </c>
      <c r="F83" s="6">
        <v>2.0</v>
      </c>
      <c r="G83" s="4" t="s">
        <v>1375</v>
      </c>
      <c r="H83" s="4" t="s">
        <v>1376</v>
      </c>
      <c r="I83" s="4">
        <v>630102.0</v>
      </c>
      <c r="J83" s="4" t="str">
        <f t="shared" si="1"/>
        <v>이수영1132</v>
      </c>
      <c r="K83" s="3" t="str">
        <f t="shared" si="2"/>
        <v>정상</v>
      </c>
      <c r="L83" s="4">
        <v>70000.0</v>
      </c>
      <c r="M83" s="4">
        <v>70000.0</v>
      </c>
      <c r="N83" s="4">
        <v>0.0</v>
      </c>
      <c r="O83" s="3"/>
      <c r="P83" s="3"/>
      <c r="Q83" s="3"/>
    </row>
    <row r="84">
      <c r="A84" s="5">
        <v>412.0</v>
      </c>
      <c r="B84" s="3" t="s">
        <v>1195</v>
      </c>
      <c r="C84" s="3" t="s">
        <v>1377</v>
      </c>
      <c r="D84" s="3" t="s">
        <v>1378</v>
      </c>
      <c r="E84" s="3">
        <v>690213.0</v>
      </c>
      <c r="F84" s="5">
        <v>2.0</v>
      </c>
      <c r="G84" s="3" t="s">
        <v>1379</v>
      </c>
      <c r="H84" s="3" t="s">
        <v>1380</v>
      </c>
      <c r="I84" s="3">
        <v>790402.0</v>
      </c>
      <c r="J84" s="4" t="str">
        <f t="shared" si="1"/>
        <v>윤혜준6324</v>
      </c>
      <c r="K84" s="3" t="str">
        <f t="shared" si="2"/>
        <v>정상</v>
      </c>
      <c r="L84" s="4">
        <v>70000.0</v>
      </c>
      <c r="M84" s="4">
        <v>70000.0</v>
      </c>
      <c r="N84" s="4">
        <v>0.0</v>
      </c>
      <c r="O84" s="3"/>
      <c r="P84" s="3"/>
      <c r="Q84" s="3"/>
    </row>
    <row r="85">
      <c r="A85" s="5">
        <v>445.0</v>
      </c>
      <c r="B85" s="3" t="s">
        <v>1381</v>
      </c>
      <c r="C85" s="3" t="s">
        <v>1382</v>
      </c>
      <c r="D85" s="3" t="s">
        <v>1383</v>
      </c>
      <c r="E85" s="3">
        <v>590622.0</v>
      </c>
      <c r="F85" s="5">
        <v>2.0</v>
      </c>
      <c r="G85" s="3" t="s">
        <v>1384</v>
      </c>
      <c r="H85" s="3" t="s">
        <v>1385</v>
      </c>
      <c r="I85" s="3">
        <v>621113.0</v>
      </c>
      <c r="J85" s="4" t="str">
        <f t="shared" si="1"/>
        <v>신경옥8265</v>
      </c>
      <c r="K85" s="3" t="str">
        <f t="shared" si="2"/>
        <v>정상</v>
      </c>
      <c r="L85" s="4">
        <v>70000.0</v>
      </c>
      <c r="M85" s="4">
        <v>70000.0</v>
      </c>
      <c r="N85" s="4">
        <v>0.0</v>
      </c>
      <c r="O85" s="3"/>
      <c r="P85" s="3"/>
      <c r="Q85" s="3"/>
    </row>
    <row r="86">
      <c r="A86" s="6">
        <v>858.0</v>
      </c>
      <c r="B86" s="4" t="s">
        <v>1119</v>
      </c>
      <c r="C86" s="4" t="s">
        <v>1386</v>
      </c>
      <c r="D86" s="4" t="s">
        <v>1387</v>
      </c>
      <c r="E86" s="4">
        <v>610303.0</v>
      </c>
      <c r="F86" s="6">
        <v>2.0</v>
      </c>
      <c r="G86" s="4" t="s">
        <v>1388</v>
      </c>
      <c r="H86" s="4" t="s">
        <v>1389</v>
      </c>
      <c r="I86" s="4">
        <v>660702.0</v>
      </c>
      <c r="J86" s="4" t="str">
        <f t="shared" si="1"/>
        <v>조민자3003</v>
      </c>
      <c r="K86" s="3" t="str">
        <f t="shared" si="2"/>
        <v>정상</v>
      </c>
      <c r="L86" s="4">
        <v>70000.0</v>
      </c>
      <c r="M86" s="4">
        <v>70000.0</v>
      </c>
      <c r="N86" s="4">
        <v>0.0</v>
      </c>
      <c r="O86" s="3"/>
      <c r="P86" s="3"/>
      <c r="Q86" s="3"/>
    </row>
    <row r="87">
      <c r="A87" s="6">
        <v>569.0</v>
      </c>
      <c r="B87" s="4" t="s">
        <v>1312</v>
      </c>
      <c r="C87" s="4" t="s">
        <v>1390</v>
      </c>
      <c r="D87" s="4" t="s">
        <v>1391</v>
      </c>
      <c r="E87" s="4">
        <v>890425.0</v>
      </c>
      <c r="F87" s="6">
        <v>2.0</v>
      </c>
      <c r="G87" s="4" t="s">
        <v>1392</v>
      </c>
      <c r="H87" s="4" t="s">
        <v>1393</v>
      </c>
      <c r="I87" s="4">
        <v>920205.0</v>
      </c>
      <c r="J87" s="4" t="str">
        <f t="shared" si="1"/>
        <v>황종경5803</v>
      </c>
      <c r="K87" s="3" t="str">
        <f t="shared" si="2"/>
        <v>정상</v>
      </c>
      <c r="L87" s="4">
        <v>70000.0</v>
      </c>
      <c r="M87" s="4">
        <v>70000.0</v>
      </c>
      <c r="N87" s="4">
        <v>0.0</v>
      </c>
      <c r="O87" s="3"/>
      <c r="P87" s="3"/>
      <c r="Q87" s="3"/>
    </row>
    <row r="88">
      <c r="A88" s="6">
        <v>275.0</v>
      </c>
      <c r="B88" s="4" t="s">
        <v>1081</v>
      </c>
      <c r="C88" s="4" t="s">
        <v>1394</v>
      </c>
      <c r="D88" s="4" t="s">
        <v>1395</v>
      </c>
      <c r="E88" s="4">
        <v>691024.0</v>
      </c>
      <c r="F88" s="6">
        <v>2.0</v>
      </c>
      <c r="G88" s="4" t="s">
        <v>1396</v>
      </c>
      <c r="H88" s="4" t="s">
        <v>1397</v>
      </c>
      <c r="I88" s="4">
        <v>700322.0</v>
      </c>
      <c r="J88" s="4" t="str">
        <f t="shared" si="1"/>
        <v>최선경1465</v>
      </c>
      <c r="K88" s="3" t="str">
        <f t="shared" si="2"/>
        <v>정상</v>
      </c>
      <c r="L88" s="4">
        <v>70000.0</v>
      </c>
      <c r="M88" s="4">
        <v>70000.0</v>
      </c>
      <c r="N88" s="4">
        <v>0.0</v>
      </c>
      <c r="O88" s="3"/>
      <c r="P88" s="3"/>
      <c r="Q88" s="3"/>
    </row>
    <row r="89">
      <c r="A89" s="6">
        <v>495.0</v>
      </c>
      <c r="B89" s="4" t="s">
        <v>1027</v>
      </c>
      <c r="C89" s="4" t="s">
        <v>1398</v>
      </c>
      <c r="D89" s="4" t="s">
        <v>1399</v>
      </c>
      <c r="E89" s="4">
        <v>800110.0</v>
      </c>
      <c r="F89" s="6">
        <v>2.0</v>
      </c>
      <c r="G89" s="4" t="s">
        <v>1400</v>
      </c>
      <c r="H89" s="4" t="s">
        <v>1401</v>
      </c>
      <c r="I89" s="4">
        <v>551111.0</v>
      </c>
      <c r="J89" s="4" t="str">
        <f t="shared" si="1"/>
        <v>주현경0225</v>
      </c>
      <c r="K89" s="3" t="str">
        <f t="shared" si="2"/>
        <v>정상</v>
      </c>
      <c r="L89" s="4">
        <v>70000.0</v>
      </c>
      <c r="M89" s="4">
        <v>70000.0</v>
      </c>
      <c r="N89" s="4">
        <v>0.0</v>
      </c>
      <c r="O89" s="3"/>
      <c r="P89" s="3"/>
      <c r="Q89" s="3"/>
    </row>
    <row r="90">
      <c r="A90" s="5">
        <v>633.0</v>
      </c>
      <c r="B90" s="3" t="s">
        <v>1007</v>
      </c>
      <c r="C90" s="3" t="s">
        <v>1402</v>
      </c>
      <c r="D90" s="3" t="s">
        <v>1403</v>
      </c>
      <c r="E90" s="3">
        <v>570115.0</v>
      </c>
      <c r="F90" s="5">
        <v>2.0</v>
      </c>
      <c r="G90" s="3" t="s">
        <v>1404</v>
      </c>
      <c r="H90" s="3" t="s">
        <v>1405</v>
      </c>
      <c r="I90" s="3">
        <v>531020.0</v>
      </c>
      <c r="J90" s="4" t="str">
        <f t="shared" si="1"/>
        <v>임희경8879</v>
      </c>
      <c r="K90" s="3" t="str">
        <f t="shared" si="2"/>
        <v>정상</v>
      </c>
      <c r="L90" s="4">
        <v>70000.0</v>
      </c>
      <c r="M90" s="4">
        <v>70000.0</v>
      </c>
      <c r="N90" s="4">
        <v>0.0</v>
      </c>
      <c r="O90" s="3"/>
      <c r="P90" s="3"/>
      <c r="Q90" s="3"/>
    </row>
    <row r="91">
      <c r="A91" s="6">
        <v>599.0</v>
      </c>
      <c r="B91" s="4" t="s">
        <v>1219</v>
      </c>
      <c r="C91" s="4" t="s">
        <v>1406</v>
      </c>
      <c r="D91" s="4" t="s">
        <v>1407</v>
      </c>
      <c r="E91" s="4">
        <v>741108.0</v>
      </c>
      <c r="F91" s="6">
        <v>2.0</v>
      </c>
      <c r="G91" s="4" t="s">
        <v>1408</v>
      </c>
      <c r="H91" s="4" t="s">
        <v>1409</v>
      </c>
      <c r="I91" s="4">
        <v>740221.0</v>
      </c>
      <c r="J91" s="4" t="str">
        <f t="shared" si="1"/>
        <v>김영희8895</v>
      </c>
      <c r="K91" s="3" t="str">
        <f t="shared" si="2"/>
        <v>정상</v>
      </c>
      <c r="L91" s="4">
        <v>70000.0</v>
      </c>
      <c r="M91" s="4">
        <v>70000.0</v>
      </c>
      <c r="N91" s="4">
        <v>0.0</v>
      </c>
      <c r="O91" s="3"/>
      <c r="P91" s="3"/>
      <c r="Q91" s="3"/>
    </row>
    <row r="92">
      <c r="A92" s="6">
        <v>246.0</v>
      </c>
      <c r="B92" s="4" t="s">
        <v>1410</v>
      </c>
      <c r="C92" s="4" t="s">
        <v>1411</v>
      </c>
      <c r="D92" s="4" t="s">
        <v>1412</v>
      </c>
      <c r="E92" s="4">
        <v>540603.0</v>
      </c>
      <c r="F92" s="6">
        <v>2.0</v>
      </c>
      <c r="G92" s="4" t="s">
        <v>1413</v>
      </c>
      <c r="H92" s="4" t="s">
        <v>1414</v>
      </c>
      <c r="I92" s="4">
        <v>580201.0</v>
      </c>
      <c r="J92" s="4" t="str">
        <f t="shared" si="1"/>
        <v>한순덕9470</v>
      </c>
      <c r="K92" s="3" t="str">
        <f t="shared" si="2"/>
        <v>정상</v>
      </c>
      <c r="L92" s="4">
        <v>70000.0</v>
      </c>
      <c r="M92" s="4">
        <v>70000.0</v>
      </c>
      <c r="N92" s="4">
        <v>0.0</v>
      </c>
      <c r="O92" s="3"/>
      <c r="P92" s="3"/>
      <c r="Q92" s="3"/>
    </row>
    <row r="93">
      <c r="A93" s="5">
        <v>653.0</v>
      </c>
      <c r="B93" s="3" t="s">
        <v>1415</v>
      </c>
      <c r="C93" s="3" t="s">
        <v>1416</v>
      </c>
      <c r="D93" s="3" t="s">
        <v>1417</v>
      </c>
      <c r="E93" s="3">
        <v>730220.0</v>
      </c>
      <c r="F93" s="5">
        <v>2.0</v>
      </c>
      <c r="G93" s="3" t="s">
        <v>1418</v>
      </c>
      <c r="H93" s="3" t="s">
        <v>1419</v>
      </c>
      <c r="I93" s="3">
        <v>691229.0</v>
      </c>
      <c r="J93" s="4" t="str">
        <f t="shared" si="1"/>
        <v>최경5267</v>
      </c>
      <c r="K93" s="3" t="str">
        <f t="shared" si="2"/>
        <v>정상</v>
      </c>
      <c r="L93" s="4">
        <v>70000.0</v>
      </c>
      <c r="M93" s="4">
        <v>70000.0</v>
      </c>
      <c r="N93" s="4">
        <v>0.0</v>
      </c>
      <c r="O93" s="3"/>
      <c r="P93" s="3"/>
      <c r="Q93" s="3"/>
    </row>
    <row r="94">
      <c r="A94" s="5">
        <v>1111.0</v>
      </c>
      <c r="B94" s="3" t="s">
        <v>1420</v>
      </c>
      <c r="C94" s="3" t="s">
        <v>1421</v>
      </c>
      <c r="D94" s="3" t="s">
        <v>1422</v>
      </c>
      <c r="E94" s="3">
        <v>680725.0</v>
      </c>
      <c r="F94" s="5">
        <v>2.0</v>
      </c>
      <c r="G94" s="3" t="s">
        <v>1423</v>
      </c>
      <c r="H94" s="3" t="s">
        <v>1424</v>
      </c>
      <c r="I94" s="3">
        <v>591218.0</v>
      </c>
      <c r="J94" s="4" t="str">
        <f t="shared" si="1"/>
        <v>차인남0435</v>
      </c>
      <c r="K94" s="3" t="str">
        <f t="shared" si="2"/>
        <v>정상</v>
      </c>
      <c r="L94" s="4">
        <v>70000.0</v>
      </c>
      <c r="M94" s="4">
        <v>70000.0</v>
      </c>
      <c r="N94" s="4">
        <v>0.0</v>
      </c>
      <c r="O94" s="3"/>
      <c r="P94" s="3"/>
      <c r="Q94" s="3"/>
    </row>
    <row r="95">
      <c r="A95" s="5">
        <v>325.0</v>
      </c>
      <c r="B95" s="3" t="s">
        <v>1322</v>
      </c>
      <c r="C95" s="3" t="s">
        <v>1425</v>
      </c>
      <c r="D95" s="3" t="s">
        <v>1426</v>
      </c>
      <c r="E95" s="3">
        <v>570906.0</v>
      </c>
      <c r="F95" s="5">
        <v>2.0</v>
      </c>
      <c r="G95" s="3" t="s">
        <v>1427</v>
      </c>
      <c r="H95" s="3" t="s">
        <v>1428</v>
      </c>
      <c r="I95" s="3">
        <v>550308.0</v>
      </c>
      <c r="J95" s="4" t="str">
        <f t="shared" si="1"/>
        <v>최문순2810</v>
      </c>
      <c r="K95" s="3" t="str">
        <f t="shared" si="2"/>
        <v>정상</v>
      </c>
      <c r="L95" s="4">
        <v>70000.0</v>
      </c>
      <c r="M95" s="4">
        <v>70000.0</v>
      </c>
      <c r="N95" s="4">
        <v>0.0</v>
      </c>
      <c r="O95" s="3"/>
      <c r="P95" s="3"/>
      <c r="Q95" s="3"/>
    </row>
    <row r="96">
      <c r="A96" s="6">
        <v>269.0</v>
      </c>
      <c r="B96" s="4" t="s">
        <v>1429</v>
      </c>
      <c r="C96" s="4" t="s">
        <v>1430</v>
      </c>
      <c r="D96" s="4" t="s">
        <v>1431</v>
      </c>
      <c r="E96" s="4">
        <v>520822.0</v>
      </c>
      <c r="F96" s="6">
        <v>2.0</v>
      </c>
      <c r="G96" s="4" t="s">
        <v>1432</v>
      </c>
      <c r="H96" s="4" t="s">
        <v>1433</v>
      </c>
      <c r="I96" s="4">
        <v>510819.0</v>
      </c>
      <c r="J96" s="4" t="str">
        <f t="shared" si="1"/>
        <v>김정희9101</v>
      </c>
      <c r="K96" s="3" t="str">
        <f t="shared" si="2"/>
        <v>정상</v>
      </c>
      <c r="L96" s="4">
        <v>70000.0</v>
      </c>
      <c r="M96" s="4">
        <v>70000.0</v>
      </c>
      <c r="N96" s="4">
        <v>0.0</v>
      </c>
      <c r="O96" s="3"/>
      <c r="P96" s="3"/>
      <c r="Q96" s="3"/>
    </row>
    <row r="97">
      <c r="A97" s="6">
        <v>683.0</v>
      </c>
      <c r="B97" s="4" t="s">
        <v>1434</v>
      </c>
      <c r="C97" s="4" t="s">
        <v>1435</v>
      </c>
      <c r="D97" s="4" t="s">
        <v>1436</v>
      </c>
      <c r="E97" s="4">
        <v>840213.0</v>
      </c>
      <c r="F97" s="6">
        <v>2.0</v>
      </c>
      <c r="G97" s="4" t="s">
        <v>1432</v>
      </c>
      <c r="H97" s="4" t="s">
        <v>1437</v>
      </c>
      <c r="I97" s="4">
        <v>580427.0</v>
      </c>
      <c r="J97" s="4" t="str">
        <f t="shared" si="1"/>
        <v>박소현0427</v>
      </c>
      <c r="K97" s="3" t="str">
        <f t="shared" si="2"/>
        <v>정상</v>
      </c>
      <c r="L97" s="4">
        <v>70000.0</v>
      </c>
      <c r="M97" s="4">
        <v>70000.0</v>
      </c>
      <c r="N97" s="4">
        <v>0.0</v>
      </c>
      <c r="O97" s="3"/>
      <c r="P97" s="3"/>
      <c r="Q97" s="3"/>
    </row>
    <row r="98">
      <c r="A98" s="5">
        <v>239.0</v>
      </c>
      <c r="B98" s="3" t="s">
        <v>1438</v>
      </c>
      <c r="C98" s="3" t="s">
        <v>1439</v>
      </c>
      <c r="D98" s="3" t="s">
        <v>1440</v>
      </c>
      <c r="E98" s="3">
        <v>631026.0</v>
      </c>
      <c r="F98" s="5">
        <v>2.0</v>
      </c>
      <c r="G98" s="3" t="s">
        <v>1441</v>
      </c>
      <c r="H98" s="3" t="s">
        <v>1442</v>
      </c>
      <c r="I98" s="3">
        <v>490624.0</v>
      </c>
      <c r="J98" s="4" t="str">
        <f t="shared" si="1"/>
        <v>김종환4246</v>
      </c>
      <c r="K98" s="3" t="str">
        <f t="shared" si="2"/>
        <v>정상</v>
      </c>
      <c r="L98" s="4">
        <v>70000.0</v>
      </c>
      <c r="M98" s="4">
        <v>70000.0</v>
      </c>
      <c r="N98" s="4">
        <v>0.0</v>
      </c>
      <c r="O98" s="3"/>
      <c r="P98" s="3"/>
      <c r="Q98" s="3"/>
    </row>
    <row r="99">
      <c r="A99" s="5">
        <v>1088.0</v>
      </c>
      <c r="B99" s="3" t="s">
        <v>1076</v>
      </c>
      <c r="C99" s="3" t="s">
        <v>1443</v>
      </c>
      <c r="D99" s="3" t="s">
        <v>1444</v>
      </c>
      <c r="E99" s="3">
        <v>590413.0</v>
      </c>
      <c r="F99" s="5">
        <v>2.0</v>
      </c>
      <c r="G99" s="3" t="s">
        <v>1445</v>
      </c>
      <c r="H99" s="3" t="s">
        <v>1446</v>
      </c>
      <c r="I99" s="3">
        <v>590724.0</v>
      </c>
      <c r="J99" s="4" t="str">
        <f t="shared" si="1"/>
        <v>조성권5083</v>
      </c>
      <c r="K99" s="3" t="str">
        <f t="shared" si="2"/>
        <v>정상</v>
      </c>
      <c r="L99" s="4">
        <v>70000.0</v>
      </c>
      <c r="M99" s="4">
        <v>70000.0</v>
      </c>
      <c r="N99" s="4">
        <v>0.0</v>
      </c>
      <c r="O99" s="3"/>
      <c r="P99" s="3"/>
      <c r="Q99" s="3"/>
    </row>
    <row r="100">
      <c r="A100" s="5">
        <v>639.0</v>
      </c>
      <c r="B100" s="3" t="s">
        <v>1007</v>
      </c>
      <c r="C100" s="3" t="s">
        <v>1447</v>
      </c>
      <c r="D100" s="3" t="s">
        <v>1448</v>
      </c>
      <c r="E100" s="3">
        <v>20625.0</v>
      </c>
      <c r="F100" s="5">
        <v>2.0</v>
      </c>
      <c r="G100" s="3" t="s">
        <v>1449</v>
      </c>
      <c r="H100" s="3" t="s">
        <v>1450</v>
      </c>
      <c r="I100" s="3">
        <v>870321.0</v>
      </c>
      <c r="J100" s="4" t="str">
        <f t="shared" si="1"/>
        <v>윤도현1477</v>
      </c>
      <c r="K100" s="3" t="str">
        <f t="shared" si="2"/>
        <v>정상</v>
      </c>
      <c r="L100" s="4">
        <v>70000.0</v>
      </c>
      <c r="M100" s="4">
        <v>70000.0</v>
      </c>
      <c r="N100" s="4">
        <v>0.0</v>
      </c>
      <c r="O100" s="3"/>
      <c r="P100" s="3"/>
      <c r="Q100" s="3"/>
    </row>
    <row r="101">
      <c r="A101" s="6">
        <v>178.0</v>
      </c>
      <c r="B101" s="4" t="s">
        <v>1250</v>
      </c>
      <c r="C101" s="4" t="s">
        <v>1451</v>
      </c>
      <c r="D101" s="4" t="s">
        <v>1452</v>
      </c>
      <c r="E101" s="4">
        <v>800629.0</v>
      </c>
      <c r="F101" s="6">
        <v>2.0</v>
      </c>
      <c r="G101" s="4" t="s">
        <v>1089</v>
      </c>
      <c r="H101" s="4" t="s">
        <v>1453</v>
      </c>
      <c r="I101" s="4">
        <v>560505.0</v>
      </c>
      <c r="J101" s="4" t="str">
        <f t="shared" si="1"/>
        <v>임성빈3959</v>
      </c>
      <c r="K101" s="3" t="str">
        <f t="shared" si="2"/>
        <v>정상</v>
      </c>
      <c r="L101" s="4">
        <v>70000.0</v>
      </c>
      <c r="M101" s="4">
        <v>70000.0</v>
      </c>
      <c r="N101" s="4">
        <v>0.0</v>
      </c>
      <c r="O101" s="3"/>
      <c r="P101" s="3"/>
      <c r="Q101" s="3"/>
    </row>
    <row r="102">
      <c r="A102" s="6">
        <v>1220.0</v>
      </c>
      <c r="B102" s="4" t="s">
        <v>1454</v>
      </c>
      <c r="C102" s="4" t="s">
        <v>1455</v>
      </c>
      <c r="D102" s="4" t="s">
        <v>1456</v>
      </c>
      <c r="E102" s="4">
        <v>620212.0</v>
      </c>
      <c r="F102" s="6">
        <v>2.0</v>
      </c>
      <c r="G102" s="4" t="s">
        <v>1457</v>
      </c>
      <c r="H102" s="4" t="s">
        <v>1458</v>
      </c>
      <c r="I102" s="4">
        <v>850123.0</v>
      </c>
      <c r="J102" s="4" t="str">
        <f t="shared" si="1"/>
        <v>김시렬7855</v>
      </c>
      <c r="K102" s="3" t="str">
        <f t="shared" si="2"/>
        <v>정상</v>
      </c>
      <c r="L102" s="4">
        <v>70000.0</v>
      </c>
      <c r="M102" s="4">
        <v>70000.0</v>
      </c>
      <c r="N102" s="4">
        <v>0.0</v>
      </c>
      <c r="O102" s="3"/>
      <c r="P102" s="3"/>
      <c r="Q102" s="3"/>
    </row>
    <row r="103">
      <c r="A103" s="6">
        <v>824.0</v>
      </c>
      <c r="B103" s="4" t="s">
        <v>1124</v>
      </c>
      <c r="C103" s="4" t="s">
        <v>1459</v>
      </c>
      <c r="D103" s="4" t="s">
        <v>1460</v>
      </c>
      <c r="E103" s="4">
        <v>650915.0</v>
      </c>
      <c r="F103" s="6">
        <v>2.0</v>
      </c>
      <c r="G103" s="4" t="s">
        <v>1461</v>
      </c>
      <c r="H103" s="4" t="s">
        <v>1462</v>
      </c>
      <c r="I103" s="4">
        <v>640313.0</v>
      </c>
      <c r="J103" s="4" t="str">
        <f t="shared" si="1"/>
        <v>권미혜1965</v>
      </c>
      <c r="K103" s="3" t="str">
        <f t="shared" si="2"/>
        <v>정상</v>
      </c>
      <c r="L103" s="4">
        <v>70000.0</v>
      </c>
      <c r="M103" s="4">
        <v>70000.0</v>
      </c>
      <c r="N103" s="4">
        <v>0.0</v>
      </c>
      <c r="O103" s="3"/>
      <c r="P103" s="3"/>
      <c r="Q103" s="3"/>
    </row>
    <row r="104">
      <c r="A104" s="5">
        <v>567.0</v>
      </c>
      <c r="B104" s="3" t="s">
        <v>1312</v>
      </c>
      <c r="C104" s="3" t="s">
        <v>1463</v>
      </c>
      <c r="D104" s="3" t="s">
        <v>1464</v>
      </c>
      <c r="E104" s="3">
        <v>650910.0</v>
      </c>
      <c r="F104" s="5">
        <v>2.0</v>
      </c>
      <c r="G104" s="3" t="s">
        <v>1465</v>
      </c>
      <c r="H104" s="3" t="s">
        <v>1466</v>
      </c>
      <c r="I104" s="3">
        <v>580808.0</v>
      </c>
      <c r="J104" s="4" t="str">
        <f t="shared" si="1"/>
        <v>최정분4604</v>
      </c>
      <c r="K104" s="3" t="str">
        <f t="shared" si="2"/>
        <v>정상</v>
      </c>
      <c r="L104" s="4">
        <v>70000.0</v>
      </c>
      <c r="M104" s="4">
        <v>70000.0</v>
      </c>
      <c r="N104" s="4">
        <v>0.0</v>
      </c>
      <c r="O104" s="3"/>
      <c r="P104" s="3"/>
      <c r="Q104" s="3"/>
    </row>
    <row r="105">
      <c r="A105" s="6">
        <v>1159.0</v>
      </c>
      <c r="B105" s="4" t="s">
        <v>1165</v>
      </c>
      <c r="C105" s="4" t="s">
        <v>1467</v>
      </c>
      <c r="D105" s="4" t="s">
        <v>1468</v>
      </c>
      <c r="E105" s="4">
        <v>651201.0</v>
      </c>
      <c r="F105" s="6">
        <v>2.0</v>
      </c>
      <c r="G105" s="4" t="s">
        <v>1469</v>
      </c>
      <c r="H105" s="4" t="s">
        <v>1470</v>
      </c>
      <c r="I105" s="4">
        <v>630404.0</v>
      </c>
      <c r="J105" s="4" t="str">
        <f t="shared" si="1"/>
        <v>박은주2133</v>
      </c>
      <c r="K105" s="3" t="str">
        <f t="shared" si="2"/>
        <v>정상</v>
      </c>
      <c r="L105" s="4">
        <v>70000.0</v>
      </c>
      <c r="M105" s="4">
        <v>70000.0</v>
      </c>
      <c r="N105" s="4">
        <v>0.0</v>
      </c>
      <c r="O105" s="3"/>
      <c r="P105" s="3"/>
      <c r="Q105" s="3"/>
    </row>
    <row r="106">
      <c r="A106" s="6">
        <v>1180.0</v>
      </c>
      <c r="B106" s="4" t="s">
        <v>1471</v>
      </c>
      <c r="C106" s="4" t="s">
        <v>1472</v>
      </c>
      <c r="D106" s="4" t="s">
        <v>1473</v>
      </c>
      <c r="E106" s="4">
        <v>720212.0</v>
      </c>
      <c r="F106" s="6">
        <v>2.0</v>
      </c>
      <c r="G106" s="4" t="s">
        <v>1474</v>
      </c>
      <c r="H106" s="4" t="s">
        <v>1475</v>
      </c>
      <c r="I106" s="4">
        <v>680403.0</v>
      </c>
      <c r="J106" s="4" t="str">
        <f t="shared" si="1"/>
        <v>송은경2889</v>
      </c>
      <c r="K106" s="3" t="str">
        <f t="shared" si="2"/>
        <v>정상</v>
      </c>
      <c r="L106" s="4">
        <v>70000.0</v>
      </c>
      <c r="M106" s="4">
        <v>70000.0</v>
      </c>
      <c r="N106" s="4">
        <v>0.0</v>
      </c>
      <c r="O106" s="3"/>
      <c r="P106" s="3"/>
      <c r="Q106" s="3"/>
    </row>
    <row r="107">
      <c r="A107" s="6">
        <v>140.0</v>
      </c>
      <c r="B107" s="4" t="s">
        <v>1204</v>
      </c>
      <c r="C107" s="4" t="s">
        <v>1476</v>
      </c>
      <c r="D107" s="4" t="s">
        <v>1477</v>
      </c>
      <c r="E107" s="4">
        <v>40504.0</v>
      </c>
      <c r="F107" s="6">
        <v>2.0</v>
      </c>
      <c r="G107" s="4" t="s">
        <v>1478</v>
      </c>
      <c r="H107" s="4" t="s">
        <v>1479</v>
      </c>
      <c r="I107" s="4">
        <v>40724.0</v>
      </c>
      <c r="J107" s="4" t="str">
        <f t="shared" si="1"/>
        <v>신승한3318</v>
      </c>
      <c r="K107" s="3" t="str">
        <f t="shared" si="2"/>
        <v>정상</v>
      </c>
      <c r="L107" s="4">
        <v>70000.0</v>
      </c>
      <c r="M107" s="4">
        <v>70000.0</v>
      </c>
      <c r="N107" s="4">
        <v>0.0</v>
      </c>
      <c r="O107" s="3"/>
      <c r="P107" s="3"/>
      <c r="Q107" s="3"/>
    </row>
    <row r="108">
      <c r="A108" s="5">
        <v>581.0</v>
      </c>
      <c r="B108" s="3" t="s">
        <v>1344</v>
      </c>
      <c r="C108" s="3" t="s">
        <v>1480</v>
      </c>
      <c r="D108" s="3" t="s">
        <v>1481</v>
      </c>
      <c r="E108" s="3">
        <v>590805.0</v>
      </c>
      <c r="F108" s="5">
        <v>2.0</v>
      </c>
      <c r="G108" s="3" t="s">
        <v>1482</v>
      </c>
      <c r="H108" s="3" t="s">
        <v>1483</v>
      </c>
      <c r="I108" s="3">
        <v>550327.0</v>
      </c>
      <c r="J108" s="4" t="str">
        <f t="shared" si="1"/>
        <v>오세정0923</v>
      </c>
      <c r="K108" s="3" t="str">
        <f t="shared" si="2"/>
        <v>정상</v>
      </c>
      <c r="L108" s="4">
        <v>70000.0</v>
      </c>
      <c r="M108" s="4">
        <v>70000.0</v>
      </c>
      <c r="N108" s="4">
        <v>0.0</v>
      </c>
      <c r="O108" s="3"/>
      <c r="P108" s="3"/>
      <c r="Q108" s="3"/>
    </row>
    <row r="109">
      <c r="A109" s="6">
        <v>1043.0</v>
      </c>
      <c r="B109" s="4" t="s">
        <v>1062</v>
      </c>
      <c r="C109" s="4" t="s">
        <v>1484</v>
      </c>
      <c r="D109" s="4" t="s">
        <v>1485</v>
      </c>
      <c r="E109" s="4">
        <v>650920.0</v>
      </c>
      <c r="F109" s="6">
        <v>2.0</v>
      </c>
      <c r="G109" s="4" t="s">
        <v>1486</v>
      </c>
      <c r="H109" s="4" t="s">
        <v>1487</v>
      </c>
      <c r="I109" s="4">
        <v>690131.0</v>
      </c>
      <c r="J109" s="4" t="str">
        <f t="shared" si="1"/>
        <v>김택곤2903</v>
      </c>
      <c r="K109" s="3" t="str">
        <f t="shared" si="2"/>
        <v>정상</v>
      </c>
      <c r="L109" s="4">
        <v>70000.0</v>
      </c>
      <c r="M109" s="4">
        <v>70000.0</v>
      </c>
      <c r="N109" s="4">
        <v>0.0</v>
      </c>
      <c r="O109" s="3"/>
      <c r="P109" s="3"/>
      <c r="Q109" s="3"/>
    </row>
    <row r="110">
      <c r="A110" s="6">
        <v>972.0</v>
      </c>
      <c r="B110" s="4" t="s">
        <v>1488</v>
      </c>
      <c r="C110" s="4" t="s">
        <v>1489</v>
      </c>
      <c r="D110" s="4" t="s">
        <v>1490</v>
      </c>
      <c r="E110" s="4">
        <v>610612.0</v>
      </c>
      <c r="F110" s="6">
        <v>2.0</v>
      </c>
      <c r="G110" s="4" t="s">
        <v>1491</v>
      </c>
      <c r="H110" s="4" t="s">
        <v>1492</v>
      </c>
      <c r="I110" s="4">
        <v>981229.0</v>
      </c>
      <c r="J110" s="4" t="str">
        <f t="shared" si="1"/>
        <v>이선경7545</v>
      </c>
      <c r="K110" s="3" t="str">
        <f t="shared" si="2"/>
        <v>정상</v>
      </c>
      <c r="L110" s="4">
        <v>70000.0</v>
      </c>
      <c r="M110" s="4">
        <v>70000.0</v>
      </c>
      <c r="N110" s="4">
        <v>0.0</v>
      </c>
      <c r="O110" s="3"/>
      <c r="P110" s="3"/>
      <c r="Q110" s="3"/>
    </row>
    <row r="111">
      <c r="A111" s="6">
        <v>197.0</v>
      </c>
      <c r="B111" s="4" t="s">
        <v>1282</v>
      </c>
      <c r="C111" s="4" t="s">
        <v>1493</v>
      </c>
      <c r="D111" s="4" t="s">
        <v>1494</v>
      </c>
      <c r="E111" s="4">
        <v>690713.0</v>
      </c>
      <c r="F111" s="6">
        <v>2.0</v>
      </c>
      <c r="G111" s="4" t="s">
        <v>1495</v>
      </c>
      <c r="H111" s="4" t="s">
        <v>1496</v>
      </c>
      <c r="I111" s="4">
        <v>590524.0</v>
      </c>
      <c r="J111" s="4" t="str">
        <f t="shared" si="1"/>
        <v>김현식7015</v>
      </c>
      <c r="K111" s="3" t="str">
        <f t="shared" si="2"/>
        <v>정상</v>
      </c>
      <c r="L111" s="4">
        <v>70000.0</v>
      </c>
      <c r="M111" s="4">
        <v>70000.0</v>
      </c>
      <c r="N111" s="4">
        <v>0.0</v>
      </c>
      <c r="O111" s="3"/>
      <c r="P111" s="3"/>
      <c r="Q111" s="3"/>
    </row>
    <row r="112">
      <c r="A112" s="6">
        <v>686.0</v>
      </c>
      <c r="B112" s="4" t="s">
        <v>1434</v>
      </c>
      <c r="C112" s="4" t="s">
        <v>1497</v>
      </c>
      <c r="D112" s="4" t="s">
        <v>1498</v>
      </c>
      <c r="E112" s="4">
        <v>670926.0</v>
      </c>
      <c r="F112" s="6">
        <v>2.0</v>
      </c>
      <c r="G112" s="4" t="s">
        <v>1499</v>
      </c>
      <c r="H112" s="4" t="s">
        <v>1500</v>
      </c>
      <c r="I112" s="4">
        <v>670119.0</v>
      </c>
      <c r="J112" s="4" t="str">
        <f t="shared" si="1"/>
        <v>김성연5233</v>
      </c>
      <c r="K112" s="3" t="str">
        <f t="shared" si="2"/>
        <v>정상</v>
      </c>
      <c r="L112" s="4">
        <v>70000.0</v>
      </c>
      <c r="M112" s="4">
        <v>70000.0</v>
      </c>
      <c r="N112" s="4">
        <v>0.0</v>
      </c>
      <c r="O112" s="3"/>
      <c r="P112" s="3"/>
      <c r="Q112" s="3"/>
    </row>
    <row r="113">
      <c r="A113" s="6">
        <v>1164.0</v>
      </c>
      <c r="B113" s="4" t="s">
        <v>1501</v>
      </c>
      <c r="C113" s="4" t="s">
        <v>1502</v>
      </c>
      <c r="D113" s="4" t="s">
        <v>1503</v>
      </c>
      <c r="E113" s="4">
        <v>620828.0</v>
      </c>
      <c r="F113" s="6">
        <v>2.0</v>
      </c>
      <c r="G113" s="4" t="s">
        <v>1504</v>
      </c>
      <c r="H113" s="4" t="s">
        <v>1505</v>
      </c>
      <c r="I113" s="4">
        <v>540210.0</v>
      </c>
      <c r="J113" s="4" t="str">
        <f t="shared" si="1"/>
        <v>노형남8021</v>
      </c>
      <c r="K113" s="3" t="str">
        <f t="shared" si="2"/>
        <v>정상</v>
      </c>
      <c r="L113" s="4">
        <v>70000.0</v>
      </c>
      <c r="M113" s="4">
        <v>70000.0</v>
      </c>
      <c r="N113" s="4">
        <v>0.0</v>
      </c>
      <c r="O113" s="3"/>
      <c r="P113" s="3"/>
      <c r="Q113" s="3"/>
    </row>
    <row r="114">
      <c r="A114" s="6">
        <v>815.0</v>
      </c>
      <c r="B114" s="4" t="s">
        <v>1232</v>
      </c>
      <c r="C114" s="4" t="s">
        <v>1506</v>
      </c>
      <c r="D114" s="4" t="s">
        <v>1507</v>
      </c>
      <c r="E114" s="4">
        <v>611009.0</v>
      </c>
      <c r="F114" s="6">
        <v>2.0</v>
      </c>
      <c r="G114" s="4" t="s">
        <v>1508</v>
      </c>
      <c r="H114" s="4" t="s">
        <v>1509</v>
      </c>
      <c r="I114" s="4">
        <v>590913.0</v>
      </c>
      <c r="J114" s="4" t="str">
        <f t="shared" si="1"/>
        <v>박영희1041</v>
      </c>
      <c r="K114" s="3" t="str">
        <f t="shared" si="2"/>
        <v>정상</v>
      </c>
      <c r="L114" s="4">
        <v>70000.0</v>
      </c>
      <c r="M114" s="4">
        <v>70000.0</v>
      </c>
      <c r="N114" s="4">
        <v>0.0</v>
      </c>
      <c r="O114" s="3"/>
      <c r="P114" s="3"/>
      <c r="Q114" s="3"/>
    </row>
    <row r="115">
      <c r="A115" s="6">
        <v>198.0</v>
      </c>
      <c r="B115" s="4" t="s">
        <v>1282</v>
      </c>
      <c r="C115" s="4" t="s">
        <v>1510</v>
      </c>
      <c r="D115" s="4" t="s">
        <v>1511</v>
      </c>
      <c r="E115" s="4">
        <v>590521.0</v>
      </c>
      <c r="F115" s="6">
        <v>2.0</v>
      </c>
      <c r="G115" s="4" t="s">
        <v>1512</v>
      </c>
      <c r="H115" s="4" t="s">
        <v>1513</v>
      </c>
      <c r="I115" s="4">
        <v>621030.0</v>
      </c>
      <c r="J115" s="4" t="str">
        <f t="shared" si="1"/>
        <v>전종현6702</v>
      </c>
      <c r="K115" s="3" t="str">
        <f t="shared" si="2"/>
        <v>정상</v>
      </c>
      <c r="L115" s="4">
        <v>70000.0</v>
      </c>
      <c r="M115" s="4">
        <v>70000.0</v>
      </c>
      <c r="N115" s="4">
        <v>0.0</v>
      </c>
      <c r="O115" s="3"/>
      <c r="P115" s="3"/>
      <c r="Q115" s="3"/>
    </row>
    <row r="116">
      <c r="A116" s="6">
        <v>144.0</v>
      </c>
      <c r="B116" s="4" t="s">
        <v>996</v>
      </c>
      <c r="C116" s="4" t="s">
        <v>1514</v>
      </c>
      <c r="D116" s="4" t="s">
        <v>1515</v>
      </c>
      <c r="E116" s="4">
        <v>990306.0</v>
      </c>
      <c r="F116" s="6">
        <v>2.0</v>
      </c>
      <c r="G116" s="4" t="s">
        <v>1516</v>
      </c>
      <c r="H116" s="4" t="s">
        <v>1517</v>
      </c>
      <c r="I116" s="4">
        <v>681210.0</v>
      </c>
      <c r="J116" s="4" t="str">
        <f t="shared" si="1"/>
        <v>조용훈6725</v>
      </c>
      <c r="K116" s="3" t="str">
        <f t="shared" si="2"/>
        <v>정상</v>
      </c>
      <c r="L116" s="4">
        <v>70000.0</v>
      </c>
      <c r="M116" s="4">
        <v>70000.0</v>
      </c>
      <c r="N116" s="4">
        <v>0.0</v>
      </c>
      <c r="O116" s="3"/>
      <c r="P116" s="3"/>
      <c r="Q116" s="3"/>
    </row>
    <row r="117">
      <c r="A117" s="6">
        <v>414.0</v>
      </c>
      <c r="B117" s="4" t="s">
        <v>1518</v>
      </c>
      <c r="C117" s="4" t="s">
        <v>1519</v>
      </c>
      <c r="D117" s="4" t="s">
        <v>1520</v>
      </c>
      <c r="E117" s="4">
        <v>660417.0</v>
      </c>
      <c r="F117" s="6">
        <v>2.0</v>
      </c>
      <c r="G117" s="4" t="s">
        <v>1521</v>
      </c>
      <c r="H117" s="4" t="s">
        <v>1522</v>
      </c>
      <c r="I117" s="4">
        <v>720108.0</v>
      </c>
      <c r="J117" s="4" t="str">
        <f t="shared" si="1"/>
        <v>조선미9809</v>
      </c>
      <c r="K117" s="3" t="str">
        <f t="shared" si="2"/>
        <v>정상</v>
      </c>
      <c r="L117" s="4">
        <v>70000.0</v>
      </c>
      <c r="M117" s="4">
        <v>70000.0</v>
      </c>
      <c r="N117" s="4">
        <v>0.0</v>
      </c>
      <c r="O117" s="3"/>
      <c r="P117" s="3"/>
      <c r="Q117" s="3"/>
    </row>
    <row r="118">
      <c r="A118" s="6">
        <v>940.0</v>
      </c>
      <c r="B118" s="4" t="s">
        <v>1523</v>
      </c>
      <c r="C118" s="4" t="s">
        <v>1524</v>
      </c>
      <c r="D118" s="4" t="s">
        <v>1525</v>
      </c>
      <c r="E118" s="4">
        <v>671113.0</v>
      </c>
      <c r="F118" s="6">
        <v>2.0</v>
      </c>
      <c r="G118" s="4" t="s">
        <v>1526</v>
      </c>
      <c r="H118" s="4" t="s">
        <v>1527</v>
      </c>
      <c r="I118" s="4">
        <v>640925.0</v>
      </c>
      <c r="J118" s="4" t="str">
        <f t="shared" si="1"/>
        <v>김나경0321</v>
      </c>
      <c r="K118" s="3" t="str">
        <f t="shared" si="2"/>
        <v>정상</v>
      </c>
      <c r="L118" s="4">
        <v>70000.0</v>
      </c>
      <c r="M118" s="4">
        <v>70000.0</v>
      </c>
      <c r="N118" s="4">
        <v>0.0</v>
      </c>
      <c r="O118" s="3"/>
      <c r="P118" s="3"/>
      <c r="Q118" s="3"/>
    </row>
    <row r="119">
      <c r="A119" s="5">
        <v>282.0</v>
      </c>
      <c r="B119" s="3" t="s">
        <v>1528</v>
      </c>
      <c r="C119" s="3" t="s">
        <v>1288</v>
      </c>
      <c r="D119" s="3" t="s">
        <v>1529</v>
      </c>
      <c r="E119" s="3">
        <v>661225.0</v>
      </c>
      <c r="F119" s="5">
        <v>1.0</v>
      </c>
      <c r="G119" s="3" t="s">
        <v>1021</v>
      </c>
      <c r="H119" s="3" t="s">
        <v>1021</v>
      </c>
      <c r="I119" s="3" t="s">
        <v>1021</v>
      </c>
      <c r="J119" s="4" t="str">
        <f t="shared" si="1"/>
        <v>김경애4674</v>
      </c>
      <c r="K119" s="3" t="str">
        <f t="shared" si="2"/>
        <v>정상</v>
      </c>
      <c r="L119" s="4">
        <v>35000.0</v>
      </c>
      <c r="M119" s="4">
        <v>35000.0</v>
      </c>
      <c r="N119" s="4">
        <v>0.0</v>
      </c>
    </row>
    <row r="120">
      <c r="A120" s="6">
        <v>1192.0</v>
      </c>
      <c r="B120" s="4" t="s">
        <v>1530</v>
      </c>
      <c r="C120" s="4" t="s">
        <v>1531</v>
      </c>
      <c r="D120" s="4" t="s">
        <v>1532</v>
      </c>
      <c r="E120" s="4">
        <v>660414.0</v>
      </c>
      <c r="F120" s="6">
        <v>2.0</v>
      </c>
      <c r="G120" s="4" t="s">
        <v>1533</v>
      </c>
      <c r="H120" s="4" t="s">
        <v>1534</v>
      </c>
      <c r="I120" s="4">
        <v>701110.0</v>
      </c>
      <c r="J120" s="4" t="str">
        <f t="shared" si="1"/>
        <v>박종구2737</v>
      </c>
      <c r="K120" s="3" t="str">
        <f t="shared" si="2"/>
        <v>정상</v>
      </c>
      <c r="L120" s="4">
        <v>70000.0</v>
      </c>
      <c r="M120" s="4">
        <v>70000.0</v>
      </c>
      <c r="N120" s="4">
        <v>0.0</v>
      </c>
      <c r="O120" s="3"/>
      <c r="P120" s="3"/>
      <c r="Q120" s="3"/>
    </row>
    <row r="121">
      <c r="A121" s="6">
        <v>436.0</v>
      </c>
      <c r="B121" s="4" t="s">
        <v>1381</v>
      </c>
      <c r="C121" s="4" t="s">
        <v>1535</v>
      </c>
      <c r="D121" s="4" t="s">
        <v>1536</v>
      </c>
      <c r="E121" s="4">
        <v>690502.0</v>
      </c>
      <c r="F121" s="6">
        <v>2.0</v>
      </c>
      <c r="G121" s="4" t="s">
        <v>1537</v>
      </c>
      <c r="H121" s="4" t="s">
        <v>1538</v>
      </c>
      <c r="I121" s="4">
        <v>740429.0</v>
      </c>
      <c r="J121" s="4" t="str">
        <f t="shared" si="1"/>
        <v>라광수1795</v>
      </c>
      <c r="K121" s="3" t="str">
        <f t="shared" si="2"/>
        <v>정상</v>
      </c>
      <c r="L121" s="4">
        <v>70000.0</v>
      </c>
      <c r="M121" s="4">
        <v>70000.0</v>
      </c>
      <c r="N121" s="4">
        <v>0.0</v>
      </c>
      <c r="O121" s="3"/>
      <c r="P121" s="3"/>
      <c r="Q121" s="3"/>
    </row>
    <row r="122">
      <c r="A122" s="6">
        <v>582.0</v>
      </c>
      <c r="B122" s="4" t="s">
        <v>1372</v>
      </c>
      <c r="C122" s="4" t="s">
        <v>1539</v>
      </c>
      <c r="D122" s="4" t="s">
        <v>1540</v>
      </c>
      <c r="E122" s="4">
        <v>630223.0</v>
      </c>
      <c r="F122" s="6">
        <v>2.0</v>
      </c>
      <c r="G122" s="4" t="s">
        <v>1541</v>
      </c>
      <c r="H122" s="4" t="s">
        <v>1542</v>
      </c>
      <c r="I122" s="4">
        <v>840116.0</v>
      </c>
      <c r="J122" s="4" t="str">
        <f t="shared" si="1"/>
        <v>정경희3473</v>
      </c>
      <c r="K122" s="3" t="str">
        <f t="shared" si="2"/>
        <v>정상</v>
      </c>
      <c r="L122" s="4">
        <v>70000.0</v>
      </c>
      <c r="M122" s="4">
        <v>70000.0</v>
      </c>
      <c r="N122" s="4">
        <v>0.0</v>
      </c>
      <c r="O122" s="3"/>
      <c r="P122" s="3"/>
      <c r="Q122" s="3"/>
    </row>
    <row r="123">
      <c r="A123" s="6">
        <v>415.0</v>
      </c>
      <c r="B123" s="4" t="s">
        <v>1518</v>
      </c>
      <c r="C123" s="4" t="s">
        <v>1543</v>
      </c>
      <c r="D123" s="4" t="s">
        <v>1544</v>
      </c>
      <c r="E123" s="4">
        <v>550403.0</v>
      </c>
      <c r="F123" s="6">
        <v>2.0</v>
      </c>
      <c r="G123" s="4" t="s">
        <v>1545</v>
      </c>
      <c r="H123" s="4" t="s">
        <v>1546</v>
      </c>
      <c r="I123" s="4">
        <v>560418.0</v>
      </c>
      <c r="J123" s="4" t="str">
        <f t="shared" si="1"/>
        <v>송효석2739</v>
      </c>
      <c r="K123" s="3" t="str">
        <f t="shared" si="2"/>
        <v>정상</v>
      </c>
      <c r="L123" s="4">
        <v>70000.0</v>
      </c>
      <c r="M123" s="4">
        <v>70000.0</v>
      </c>
      <c r="N123" s="4">
        <v>0.0</v>
      </c>
      <c r="O123" s="3"/>
      <c r="P123" s="3"/>
      <c r="Q123" s="3"/>
    </row>
    <row r="124">
      <c r="A124" s="6">
        <v>960.0</v>
      </c>
      <c r="B124" s="4" t="s">
        <v>1547</v>
      </c>
      <c r="C124" s="4" t="s">
        <v>1548</v>
      </c>
      <c r="D124" s="4" t="s">
        <v>1549</v>
      </c>
      <c r="E124" s="4">
        <v>801021.0</v>
      </c>
      <c r="F124" s="6">
        <v>2.0</v>
      </c>
      <c r="G124" s="4" t="s">
        <v>1550</v>
      </c>
      <c r="H124" s="4" t="s">
        <v>1551</v>
      </c>
      <c r="I124" s="4">
        <v>751226.0</v>
      </c>
      <c r="J124" s="4" t="str">
        <f t="shared" si="1"/>
        <v>김연심9623</v>
      </c>
      <c r="K124" s="3" t="str">
        <f t="shared" si="2"/>
        <v>정상</v>
      </c>
      <c r="L124" s="4">
        <v>70000.0</v>
      </c>
      <c r="M124" s="4">
        <v>70000.0</v>
      </c>
      <c r="N124" s="4">
        <v>0.0</v>
      </c>
      <c r="O124" s="3"/>
      <c r="P124" s="3"/>
      <c r="Q124" s="3"/>
    </row>
    <row r="125">
      <c r="A125" s="5">
        <v>556.0</v>
      </c>
      <c r="B125" s="3" t="s">
        <v>1552</v>
      </c>
      <c r="C125" s="3" t="s">
        <v>1553</v>
      </c>
      <c r="D125" s="3" t="s">
        <v>1554</v>
      </c>
      <c r="E125" s="3">
        <v>551203.0</v>
      </c>
      <c r="F125" s="5">
        <v>2.0</v>
      </c>
      <c r="G125" s="3" t="s">
        <v>1555</v>
      </c>
      <c r="H125" s="3" t="s">
        <v>1556</v>
      </c>
      <c r="I125" s="3">
        <v>830213.0</v>
      </c>
      <c r="J125" s="4" t="str">
        <f t="shared" si="1"/>
        <v>김준환4094</v>
      </c>
      <c r="K125" s="3" t="str">
        <f t="shared" si="2"/>
        <v>정상</v>
      </c>
      <c r="L125" s="4">
        <v>70000.0</v>
      </c>
      <c r="M125" s="4">
        <v>70000.0</v>
      </c>
      <c r="N125" s="4">
        <v>0.0</v>
      </c>
      <c r="O125" s="3"/>
      <c r="P125" s="3"/>
      <c r="Q125" s="3"/>
    </row>
    <row r="126">
      <c r="A126" s="6">
        <v>387.0</v>
      </c>
      <c r="B126" s="4" t="s">
        <v>1557</v>
      </c>
      <c r="C126" s="4" t="s">
        <v>1558</v>
      </c>
      <c r="D126" s="4" t="s">
        <v>1559</v>
      </c>
      <c r="E126" s="4">
        <v>750211.0</v>
      </c>
      <c r="F126" s="6">
        <v>2.0</v>
      </c>
      <c r="G126" s="4" t="s">
        <v>1560</v>
      </c>
      <c r="H126" s="4" t="s">
        <v>1561</v>
      </c>
      <c r="I126" s="4">
        <v>451027.0</v>
      </c>
      <c r="J126" s="4" t="str">
        <f t="shared" si="1"/>
        <v>장승희5967</v>
      </c>
      <c r="K126" s="3" t="str">
        <f t="shared" si="2"/>
        <v>정상</v>
      </c>
      <c r="L126" s="4">
        <v>70000.0</v>
      </c>
      <c r="M126" s="4">
        <v>70000.0</v>
      </c>
      <c r="N126" s="4">
        <v>0.0</v>
      </c>
      <c r="O126" s="3"/>
      <c r="P126" s="3"/>
      <c r="Q126" s="3"/>
    </row>
    <row r="127">
      <c r="A127" s="6">
        <v>730.0</v>
      </c>
      <c r="B127" s="4" t="s">
        <v>1335</v>
      </c>
      <c r="C127" s="4" t="s">
        <v>1562</v>
      </c>
      <c r="D127" s="4" t="s">
        <v>1563</v>
      </c>
      <c r="E127" s="4">
        <v>620210.0</v>
      </c>
      <c r="F127" s="6">
        <v>2.0</v>
      </c>
      <c r="G127" s="4" t="s">
        <v>1564</v>
      </c>
      <c r="H127" s="4" t="s">
        <v>1565</v>
      </c>
      <c r="I127" s="4">
        <v>531004.0</v>
      </c>
      <c r="J127" s="4" t="str">
        <f t="shared" si="1"/>
        <v>박옥자4409</v>
      </c>
      <c r="K127" s="3" t="str">
        <f t="shared" si="2"/>
        <v>정상</v>
      </c>
      <c r="L127" s="4">
        <v>70000.0</v>
      </c>
      <c r="M127" s="4">
        <v>70000.0</v>
      </c>
      <c r="N127" s="4">
        <v>0.0</v>
      </c>
      <c r="O127" s="3"/>
      <c r="P127" s="3"/>
      <c r="Q127" s="3"/>
    </row>
    <row r="128">
      <c r="A128" s="6">
        <v>212.0</v>
      </c>
      <c r="B128" s="4" t="s">
        <v>1566</v>
      </c>
      <c r="C128" s="4" t="s">
        <v>1567</v>
      </c>
      <c r="D128" s="4" t="s">
        <v>1568</v>
      </c>
      <c r="E128" s="4">
        <v>740805.0</v>
      </c>
      <c r="F128" s="6">
        <v>2.0</v>
      </c>
      <c r="G128" s="4" t="s">
        <v>1569</v>
      </c>
      <c r="H128" s="4" t="s">
        <v>1570</v>
      </c>
      <c r="I128" s="4">
        <v>760123.0</v>
      </c>
      <c r="J128" s="4" t="str">
        <f t="shared" si="1"/>
        <v>원지희6017</v>
      </c>
      <c r="K128" s="3" t="str">
        <f t="shared" si="2"/>
        <v>정상</v>
      </c>
      <c r="L128" s="4">
        <v>70000.0</v>
      </c>
      <c r="M128" s="4">
        <v>70000.0</v>
      </c>
      <c r="N128" s="4">
        <v>0.0</v>
      </c>
      <c r="O128" s="3"/>
      <c r="P128" s="3"/>
      <c r="Q128" s="3"/>
    </row>
    <row r="129">
      <c r="A129" s="6">
        <v>927.0</v>
      </c>
      <c r="B129" s="4" t="s">
        <v>1001</v>
      </c>
      <c r="C129" s="4" t="s">
        <v>1571</v>
      </c>
      <c r="D129" s="4" t="s">
        <v>1572</v>
      </c>
      <c r="E129" s="4">
        <v>700401.0</v>
      </c>
      <c r="F129" s="6">
        <v>2.0</v>
      </c>
      <c r="G129" s="4" t="s">
        <v>1573</v>
      </c>
      <c r="H129" s="4" t="s">
        <v>1574</v>
      </c>
      <c r="I129" s="4">
        <v>710123.0</v>
      </c>
      <c r="J129" s="4" t="str">
        <f t="shared" si="1"/>
        <v>김은주2133</v>
      </c>
      <c r="K129" s="3" t="str">
        <f t="shared" si="2"/>
        <v>정상</v>
      </c>
      <c r="L129" s="4">
        <v>70000.0</v>
      </c>
      <c r="M129" s="4">
        <v>70000.0</v>
      </c>
      <c r="N129" s="4">
        <v>0.0</v>
      </c>
      <c r="O129" s="3"/>
      <c r="P129" s="3"/>
      <c r="Q129" s="3"/>
    </row>
    <row r="130">
      <c r="A130" s="6">
        <v>220.0</v>
      </c>
      <c r="B130" s="4" t="s">
        <v>1575</v>
      </c>
      <c r="C130" s="4" t="s">
        <v>1576</v>
      </c>
      <c r="D130" s="4" t="s">
        <v>1577</v>
      </c>
      <c r="E130" s="4">
        <v>580621.0</v>
      </c>
      <c r="F130" s="6">
        <v>2.0</v>
      </c>
      <c r="G130" s="4" t="s">
        <v>1578</v>
      </c>
      <c r="H130" s="4" t="s">
        <v>1579</v>
      </c>
      <c r="I130" s="4">
        <v>490529.0</v>
      </c>
      <c r="J130" s="4" t="str">
        <f t="shared" si="1"/>
        <v>이진숙9539</v>
      </c>
      <c r="K130" s="3" t="str">
        <f t="shared" si="2"/>
        <v>정상</v>
      </c>
      <c r="L130" s="4">
        <v>70000.0</v>
      </c>
      <c r="M130" s="4">
        <v>70000.0</v>
      </c>
      <c r="N130" s="4">
        <v>0.0</v>
      </c>
      <c r="O130" s="3"/>
      <c r="P130" s="3"/>
      <c r="Q130" s="3"/>
    </row>
    <row r="131">
      <c r="A131" s="6">
        <v>1079.0</v>
      </c>
      <c r="B131" s="4" t="s">
        <v>1076</v>
      </c>
      <c r="C131" s="4" t="s">
        <v>1580</v>
      </c>
      <c r="D131" s="4" t="s">
        <v>1581</v>
      </c>
      <c r="E131" s="4">
        <v>750715.0</v>
      </c>
      <c r="F131" s="6">
        <v>2.0</v>
      </c>
      <c r="G131" s="4" t="s">
        <v>1582</v>
      </c>
      <c r="H131" s="4" t="s">
        <v>1583</v>
      </c>
      <c r="I131" s="4">
        <v>10628.0</v>
      </c>
      <c r="J131" s="4" t="str">
        <f t="shared" si="1"/>
        <v>이경자4474</v>
      </c>
      <c r="K131" s="3" t="str">
        <f t="shared" si="2"/>
        <v>정상</v>
      </c>
      <c r="L131" s="4">
        <v>70000.0</v>
      </c>
      <c r="M131" s="4">
        <v>70000.0</v>
      </c>
      <c r="N131" s="4">
        <v>0.0</v>
      </c>
      <c r="O131" s="3"/>
      <c r="P131" s="3"/>
      <c r="Q131" s="3"/>
    </row>
    <row r="132">
      <c r="A132" s="6">
        <v>1112.0</v>
      </c>
      <c r="B132" s="4" t="s">
        <v>1420</v>
      </c>
      <c r="C132" s="4" t="s">
        <v>1584</v>
      </c>
      <c r="D132" s="4" t="s">
        <v>1585</v>
      </c>
      <c r="E132" s="4">
        <v>630723.0</v>
      </c>
      <c r="F132" s="6">
        <v>2.0</v>
      </c>
      <c r="G132" s="4" t="s">
        <v>1586</v>
      </c>
      <c r="H132" s="4" t="s">
        <v>1587</v>
      </c>
      <c r="I132" s="4">
        <v>560226.0</v>
      </c>
      <c r="J132" s="4" t="str">
        <f t="shared" si="1"/>
        <v>정혜월9988</v>
      </c>
      <c r="K132" s="3" t="str">
        <f t="shared" si="2"/>
        <v>정상</v>
      </c>
      <c r="L132" s="4">
        <v>70000.0</v>
      </c>
      <c r="M132" s="4">
        <v>70000.0</v>
      </c>
      <c r="N132" s="4">
        <v>0.0</v>
      </c>
      <c r="O132" s="3"/>
      <c r="P132" s="3"/>
      <c r="Q132" s="3"/>
    </row>
    <row r="133">
      <c r="A133" s="6">
        <v>839.0</v>
      </c>
      <c r="B133" s="4" t="s">
        <v>1588</v>
      </c>
      <c r="C133" s="4" t="s">
        <v>1589</v>
      </c>
      <c r="D133" s="4" t="s">
        <v>1590</v>
      </c>
      <c r="E133" s="4">
        <v>581215.0</v>
      </c>
      <c r="F133" s="6">
        <v>2.0</v>
      </c>
      <c r="G133" s="4" t="s">
        <v>1591</v>
      </c>
      <c r="H133" s="4" t="s">
        <v>1592</v>
      </c>
      <c r="I133" s="4">
        <v>660701.0</v>
      </c>
      <c r="J133" s="4" t="str">
        <f t="shared" si="1"/>
        <v>박정희1004</v>
      </c>
      <c r="K133" s="3" t="str">
        <f t="shared" si="2"/>
        <v>정상</v>
      </c>
      <c r="L133" s="4">
        <v>70000.0</v>
      </c>
      <c r="M133" s="4">
        <v>70000.0</v>
      </c>
      <c r="N133" s="4">
        <v>0.0</v>
      </c>
      <c r="O133" s="3"/>
      <c r="P133" s="3"/>
      <c r="Q133" s="3"/>
    </row>
    <row r="134">
      <c r="A134" s="5">
        <v>1194.0</v>
      </c>
      <c r="B134" s="3" t="s">
        <v>1530</v>
      </c>
      <c r="C134" s="3" t="s">
        <v>1593</v>
      </c>
      <c r="D134" s="3" t="s">
        <v>1594</v>
      </c>
      <c r="E134" s="3">
        <v>600706.0</v>
      </c>
      <c r="F134" s="5">
        <v>2.0</v>
      </c>
      <c r="G134" s="3" t="s">
        <v>1595</v>
      </c>
      <c r="H134" s="3" t="s">
        <v>1596</v>
      </c>
      <c r="I134" s="3">
        <v>561210.0</v>
      </c>
      <c r="J134" s="4" t="str">
        <f t="shared" si="1"/>
        <v>김승여9242</v>
      </c>
      <c r="K134" s="3" t="str">
        <f t="shared" si="2"/>
        <v>정상</v>
      </c>
      <c r="L134" s="4">
        <v>70000.0</v>
      </c>
      <c r="M134" s="4">
        <v>70000.0</v>
      </c>
      <c r="N134" s="4">
        <v>0.0</v>
      </c>
      <c r="O134" s="3"/>
      <c r="P134" s="3"/>
      <c r="Q134" s="3"/>
    </row>
    <row r="135">
      <c r="A135" s="5">
        <v>437.0</v>
      </c>
      <c r="B135" s="3" t="s">
        <v>1381</v>
      </c>
      <c r="C135" s="3" t="s">
        <v>1597</v>
      </c>
      <c r="D135" s="3" t="s">
        <v>1598</v>
      </c>
      <c r="E135" s="3">
        <v>640405.0</v>
      </c>
      <c r="F135" s="5">
        <v>2.0</v>
      </c>
      <c r="G135" s="3" t="s">
        <v>1599</v>
      </c>
      <c r="H135" s="3" t="s">
        <v>1600</v>
      </c>
      <c r="I135" s="3">
        <v>750611.0</v>
      </c>
      <c r="J135" s="4" t="str">
        <f t="shared" si="1"/>
        <v>임지우8944</v>
      </c>
      <c r="K135" s="3" t="str">
        <f t="shared" si="2"/>
        <v>정상</v>
      </c>
      <c r="L135" s="4">
        <v>70000.0</v>
      </c>
      <c r="M135" s="4">
        <v>70000.0</v>
      </c>
      <c r="N135" s="4">
        <v>0.0</v>
      </c>
      <c r="O135" s="3"/>
      <c r="P135" s="3"/>
      <c r="Q135" s="3"/>
    </row>
    <row r="136">
      <c r="A136" s="5">
        <v>659.0</v>
      </c>
      <c r="B136" s="3" t="s">
        <v>1100</v>
      </c>
      <c r="C136" s="3" t="s">
        <v>1601</v>
      </c>
      <c r="D136" s="3" t="s">
        <v>1602</v>
      </c>
      <c r="E136" s="3">
        <v>640726.0</v>
      </c>
      <c r="F136" s="5">
        <v>2.0</v>
      </c>
      <c r="G136" s="7" t="s">
        <v>1603</v>
      </c>
      <c r="H136" s="7" t="s">
        <v>1604</v>
      </c>
      <c r="I136" s="8">
        <v>620923.0</v>
      </c>
      <c r="J136" s="4" t="str">
        <f t="shared" si="1"/>
        <v>김수옥1841</v>
      </c>
      <c r="K136" s="3" t="str">
        <f t="shared" si="2"/>
        <v>정상</v>
      </c>
      <c r="L136" s="4">
        <v>70000.0</v>
      </c>
      <c r="M136" s="4">
        <v>70000.0</v>
      </c>
      <c r="N136" s="4">
        <v>0.0</v>
      </c>
      <c r="O136" s="3"/>
      <c r="P136" s="3"/>
      <c r="Q136" s="3"/>
    </row>
    <row r="137">
      <c r="A137" s="6">
        <v>376.0</v>
      </c>
      <c r="B137" s="4" t="s">
        <v>1086</v>
      </c>
      <c r="C137" s="4" t="s">
        <v>1605</v>
      </c>
      <c r="D137" s="4" t="s">
        <v>1606</v>
      </c>
      <c r="E137" s="4">
        <v>590325.0</v>
      </c>
      <c r="F137" s="6">
        <v>2.0</v>
      </c>
      <c r="G137" s="4" t="s">
        <v>1607</v>
      </c>
      <c r="H137" s="4" t="s">
        <v>1608</v>
      </c>
      <c r="I137" s="4">
        <v>620207.0</v>
      </c>
      <c r="J137" s="4" t="str">
        <f t="shared" si="1"/>
        <v>성인숙2018</v>
      </c>
      <c r="K137" s="3" t="str">
        <f t="shared" si="2"/>
        <v>정상</v>
      </c>
      <c r="L137" s="4">
        <v>70000.0</v>
      </c>
      <c r="M137" s="4">
        <v>70000.0</v>
      </c>
      <c r="N137" s="4">
        <v>0.0</v>
      </c>
      <c r="O137" s="3"/>
      <c r="P137" s="3"/>
      <c r="Q137" s="3"/>
    </row>
    <row r="138">
      <c r="A138" s="6">
        <v>500.0</v>
      </c>
      <c r="B138" s="4" t="s">
        <v>1095</v>
      </c>
      <c r="C138" s="4" t="s">
        <v>1609</v>
      </c>
      <c r="D138" s="4" t="s">
        <v>1610</v>
      </c>
      <c r="E138" s="4">
        <v>760225.0</v>
      </c>
      <c r="F138" s="6">
        <v>2.0</v>
      </c>
      <c r="G138" s="4" t="s">
        <v>1611</v>
      </c>
      <c r="H138" s="4" t="s">
        <v>1612</v>
      </c>
      <c r="I138" s="4">
        <v>711120.0</v>
      </c>
      <c r="J138" s="4" t="str">
        <f t="shared" si="1"/>
        <v>정경임3482</v>
      </c>
      <c r="K138" s="3" t="str">
        <f t="shared" si="2"/>
        <v>정상</v>
      </c>
      <c r="L138" s="4">
        <v>70000.0</v>
      </c>
      <c r="M138" s="4">
        <v>70000.0</v>
      </c>
      <c r="N138" s="4">
        <v>0.0</v>
      </c>
      <c r="O138" s="3"/>
      <c r="P138" s="3"/>
      <c r="Q138" s="3"/>
    </row>
    <row r="139">
      <c r="A139" s="6">
        <v>206.0</v>
      </c>
      <c r="B139" s="4" t="s">
        <v>1109</v>
      </c>
      <c r="C139" s="4" t="s">
        <v>1613</v>
      </c>
      <c r="D139" s="4" t="s">
        <v>1614</v>
      </c>
      <c r="E139" s="4">
        <v>560609.0</v>
      </c>
      <c r="F139" s="6">
        <v>2.0</v>
      </c>
      <c r="G139" s="4" t="s">
        <v>1615</v>
      </c>
      <c r="H139" s="4" t="s">
        <v>1616</v>
      </c>
      <c r="I139" s="4">
        <v>541201.0</v>
      </c>
      <c r="J139" s="4" t="str">
        <f t="shared" si="1"/>
        <v>양한수1640</v>
      </c>
      <c r="K139" s="3" t="str">
        <f t="shared" si="2"/>
        <v>정상</v>
      </c>
      <c r="L139" s="4">
        <v>70000.0</v>
      </c>
      <c r="M139" s="4">
        <v>70000.0</v>
      </c>
      <c r="N139" s="4">
        <v>0.0</v>
      </c>
      <c r="O139" s="3"/>
      <c r="P139" s="3"/>
      <c r="Q139" s="3"/>
    </row>
    <row r="140">
      <c r="A140" s="6">
        <v>1160.0</v>
      </c>
      <c r="B140" s="4" t="s">
        <v>1165</v>
      </c>
      <c r="C140" s="4" t="s">
        <v>1617</v>
      </c>
      <c r="D140" s="4" t="s">
        <v>1618</v>
      </c>
      <c r="E140" s="4">
        <v>620115.0</v>
      </c>
      <c r="F140" s="6">
        <v>2.0</v>
      </c>
      <c r="G140" s="4" t="s">
        <v>1619</v>
      </c>
      <c r="H140" s="4" t="s">
        <v>1620</v>
      </c>
      <c r="I140" s="4">
        <v>500912.0</v>
      </c>
      <c r="J140" s="4" t="str">
        <f t="shared" si="1"/>
        <v>김숙현3119</v>
      </c>
      <c r="K140" s="3" t="str">
        <f t="shared" si="2"/>
        <v>정상</v>
      </c>
      <c r="L140" s="4">
        <v>70000.0</v>
      </c>
      <c r="M140" s="4">
        <v>70000.0</v>
      </c>
      <c r="N140" s="4">
        <v>0.0</v>
      </c>
      <c r="O140" s="3"/>
      <c r="P140" s="3"/>
      <c r="Q140" s="3"/>
    </row>
    <row r="141">
      <c r="A141" s="6">
        <v>876.0</v>
      </c>
      <c r="B141" s="4" t="s">
        <v>1621</v>
      </c>
      <c r="C141" s="4" t="s">
        <v>1622</v>
      </c>
      <c r="D141" s="4" t="s">
        <v>1623</v>
      </c>
      <c r="E141" s="4">
        <v>561029.0</v>
      </c>
      <c r="F141" s="6">
        <v>2.0</v>
      </c>
      <c r="G141" s="4" t="s">
        <v>1624</v>
      </c>
      <c r="H141" s="4" t="s">
        <v>1625</v>
      </c>
      <c r="I141" s="4">
        <v>520529.0</v>
      </c>
      <c r="J141" s="4" t="str">
        <f t="shared" si="1"/>
        <v>윤관식1085</v>
      </c>
      <c r="K141" s="3" t="str">
        <f t="shared" si="2"/>
        <v>정상</v>
      </c>
      <c r="L141" s="4">
        <v>70000.0</v>
      </c>
      <c r="M141" s="4">
        <v>70000.0</v>
      </c>
      <c r="N141" s="4">
        <v>0.0</v>
      </c>
      <c r="O141" s="3"/>
      <c r="P141" s="3"/>
      <c r="Q141" s="3"/>
    </row>
    <row r="142">
      <c r="A142" s="6">
        <v>454.0</v>
      </c>
      <c r="B142" s="4" t="s">
        <v>1626</v>
      </c>
      <c r="C142" s="4" t="s">
        <v>1627</v>
      </c>
      <c r="D142" s="4" t="s">
        <v>1628</v>
      </c>
      <c r="E142" s="4">
        <v>670529.0</v>
      </c>
      <c r="F142" s="6">
        <v>2.0</v>
      </c>
      <c r="G142" s="4" t="s">
        <v>1629</v>
      </c>
      <c r="H142" s="4" t="s">
        <v>1630</v>
      </c>
      <c r="I142" s="4">
        <v>670124.0</v>
      </c>
      <c r="J142" s="4" t="str">
        <f t="shared" si="1"/>
        <v>김미0409</v>
      </c>
      <c r="K142" s="3" t="str">
        <f t="shared" si="2"/>
        <v>정상</v>
      </c>
      <c r="L142" s="4">
        <v>70000.0</v>
      </c>
      <c r="M142" s="4">
        <v>70000.0</v>
      </c>
      <c r="N142" s="4">
        <v>0.0</v>
      </c>
      <c r="O142" s="3"/>
      <c r="P142" s="3"/>
      <c r="Q142" s="3"/>
    </row>
    <row r="143">
      <c r="A143" s="6">
        <v>942.0</v>
      </c>
      <c r="B143" s="4" t="s">
        <v>1631</v>
      </c>
      <c r="C143" s="4" t="s">
        <v>1632</v>
      </c>
      <c r="D143" s="4" t="s">
        <v>1633</v>
      </c>
      <c r="E143" s="4">
        <v>591006.0</v>
      </c>
      <c r="F143" s="6">
        <v>2.0</v>
      </c>
      <c r="G143" s="4" t="s">
        <v>1634</v>
      </c>
      <c r="H143" s="4" t="s">
        <v>1635</v>
      </c>
      <c r="I143" s="4">
        <v>711123.0</v>
      </c>
      <c r="J143" s="4" t="str">
        <f t="shared" si="1"/>
        <v>장혜원5388</v>
      </c>
      <c r="K143" s="3" t="str">
        <f t="shared" si="2"/>
        <v>정상</v>
      </c>
      <c r="L143" s="4">
        <v>70000.0</v>
      </c>
      <c r="M143" s="4">
        <v>70000.0</v>
      </c>
      <c r="N143" s="4">
        <v>0.0</v>
      </c>
      <c r="O143" s="3"/>
      <c r="P143" s="3"/>
      <c r="Q143" s="3"/>
    </row>
    <row r="144">
      <c r="A144" s="6">
        <v>291.0</v>
      </c>
      <c r="B144" s="4" t="s">
        <v>1636</v>
      </c>
      <c r="C144" s="4" t="s">
        <v>1637</v>
      </c>
      <c r="D144" s="4" t="s">
        <v>1638</v>
      </c>
      <c r="E144" s="4">
        <v>790220.0</v>
      </c>
      <c r="F144" s="6">
        <v>2.0</v>
      </c>
      <c r="G144" s="4" t="s">
        <v>1639</v>
      </c>
      <c r="H144" s="4" t="s">
        <v>1640</v>
      </c>
      <c r="I144" s="4">
        <v>760101.0</v>
      </c>
      <c r="J144" s="4" t="str">
        <f t="shared" si="1"/>
        <v>장경선6419</v>
      </c>
      <c r="K144" s="3" t="str">
        <f t="shared" si="2"/>
        <v>정상</v>
      </c>
      <c r="L144" s="4">
        <v>70000.0</v>
      </c>
      <c r="M144" s="4">
        <v>70000.0</v>
      </c>
      <c r="N144" s="4">
        <v>0.0</v>
      </c>
      <c r="O144" s="3"/>
      <c r="P144" s="3"/>
      <c r="Q144" s="3"/>
    </row>
    <row r="145">
      <c r="A145" s="6">
        <v>176.0</v>
      </c>
      <c r="B145" s="4" t="s">
        <v>1250</v>
      </c>
      <c r="C145" s="4" t="s">
        <v>1641</v>
      </c>
      <c r="D145" s="4" t="s">
        <v>1642</v>
      </c>
      <c r="E145" s="4">
        <v>631208.0</v>
      </c>
      <c r="F145" s="6">
        <v>2.0</v>
      </c>
      <c r="G145" s="4" t="s">
        <v>1643</v>
      </c>
      <c r="H145" s="4" t="s">
        <v>1644</v>
      </c>
      <c r="I145" s="4">
        <v>960508.0</v>
      </c>
      <c r="J145" s="4" t="str">
        <f t="shared" si="1"/>
        <v>표금복6551</v>
      </c>
      <c r="K145" s="3" t="str">
        <f t="shared" si="2"/>
        <v>정상</v>
      </c>
      <c r="L145" s="4">
        <v>70000.0</v>
      </c>
      <c r="M145" s="4">
        <v>70000.0</v>
      </c>
      <c r="N145" s="4">
        <v>0.0</v>
      </c>
      <c r="O145" s="3"/>
      <c r="P145" s="3"/>
      <c r="Q145" s="3"/>
    </row>
    <row r="146">
      <c r="A146" s="6">
        <v>278.0</v>
      </c>
      <c r="B146" s="4" t="s">
        <v>1645</v>
      </c>
      <c r="C146" s="4" t="s">
        <v>1646</v>
      </c>
      <c r="D146" s="4" t="s">
        <v>1647</v>
      </c>
      <c r="E146" s="4">
        <v>840418.0</v>
      </c>
      <c r="F146" s="6">
        <v>2.0</v>
      </c>
      <c r="G146" s="4" t="s">
        <v>1648</v>
      </c>
      <c r="H146" s="4" t="s">
        <v>1649</v>
      </c>
      <c r="I146" s="4">
        <v>800422.0</v>
      </c>
      <c r="J146" s="4" t="str">
        <f t="shared" si="1"/>
        <v>오지선1444</v>
      </c>
      <c r="K146" s="3" t="str">
        <f t="shared" si="2"/>
        <v>정상</v>
      </c>
      <c r="L146" s="4">
        <v>70000.0</v>
      </c>
      <c r="M146" s="4">
        <v>70000.0</v>
      </c>
      <c r="N146" s="4">
        <v>0.0</v>
      </c>
      <c r="O146" s="3"/>
      <c r="P146" s="3"/>
      <c r="Q146" s="3"/>
    </row>
    <row r="147">
      <c r="A147" s="6">
        <v>409.0</v>
      </c>
      <c r="B147" s="4" t="s">
        <v>1195</v>
      </c>
      <c r="C147" s="4" t="s">
        <v>1650</v>
      </c>
      <c r="D147" s="4" t="s">
        <v>1651</v>
      </c>
      <c r="E147" s="4">
        <v>820818.0</v>
      </c>
      <c r="F147" s="6">
        <v>2.0</v>
      </c>
      <c r="G147" s="4" t="s">
        <v>1652</v>
      </c>
      <c r="H147" s="4" t="s">
        <v>1653</v>
      </c>
      <c r="I147" s="4">
        <v>650814.0</v>
      </c>
      <c r="J147" s="4" t="str">
        <f t="shared" si="1"/>
        <v>나은영5145</v>
      </c>
      <c r="K147" s="3" t="str">
        <f t="shared" si="2"/>
        <v>정상</v>
      </c>
      <c r="L147" s="4">
        <v>70000.0</v>
      </c>
      <c r="M147" s="4">
        <v>70000.0</v>
      </c>
      <c r="N147" s="4">
        <v>0.0</v>
      </c>
      <c r="O147" s="3"/>
      <c r="P147" s="3"/>
      <c r="Q147" s="3"/>
    </row>
    <row r="148">
      <c r="A148" s="6">
        <v>1008.0</v>
      </c>
      <c r="B148" s="4" t="s">
        <v>1269</v>
      </c>
      <c r="C148" s="4" t="s">
        <v>1654</v>
      </c>
      <c r="D148" s="4" t="s">
        <v>1655</v>
      </c>
      <c r="E148" s="4">
        <v>880216.0</v>
      </c>
      <c r="F148" s="6">
        <v>2.0</v>
      </c>
      <c r="G148" s="4" t="s">
        <v>1656</v>
      </c>
      <c r="H148" s="4" t="s">
        <v>1657</v>
      </c>
      <c r="I148" s="4">
        <v>620727.0</v>
      </c>
      <c r="J148" s="4" t="str">
        <f t="shared" si="1"/>
        <v>박혜민8754</v>
      </c>
      <c r="K148" s="3" t="str">
        <f t="shared" si="2"/>
        <v>정상</v>
      </c>
      <c r="L148" s="4">
        <v>70000.0</v>
      </c>
      <c r="M148" s="4">
        <v>70000.0</v>
      </c>
      <c r="N148" s="4">
        <v>0.0</v>
      </c>
      <c r="O148" s="3"/>
      <c r="P148" s="3"/>
      <c r="Q148" s="3"/>
    </row>
    <row r="149">
      <c r="A149" s="6">
        <v>420.0</v>
      </c>
      <c r="B149" s="4" t="s">
        <v>1037</v>
      </c>
      <c r="C149" s="4" t="s">
        <v>1658</v>
      </c>
      <c r="D149" s="4" t="s">
        <v>1659</v>
      </c>
      <c r="E149" s="4">
        <v>760625.0</v>
      </c>
      <c r="F149" s="6">
        <v>2.0</v>
      </c>
      <c r="G149" s="4" t="s">
        <v>1660</v>
      </c>
      <c r="H149" s="4" t="s">
        <v>1661</v>
      </c>
      <c r="I149" s="4">
        <v>810925.0</v>
      </c>
      <c r="J149" s="4" t="str">
        <f t="shared" si="1"/>
        <v>김미라6878</v>
      </c>
      <c r="K149" s="3" t="str">
        <f t="shared" si="2"/>
        <v>정상</v>
      </c>
      <c r="L149" s="4">
        <v>70000.0</v>
      </c>
      <c r="M149" s="4">
        <v>70000.0</v>
      </c>
      <c r="N149" s="4">
        <v>0.0</v>
      </c>
      <c r="O149" s="3"/>
      <c r="P149" s="3"/>
      <c r="Q149" s="3"/>
    </row>
    <row r="150">
      <c r="A150" s="6">
        <v>619.0</v>
      </c>
      <c r="B150" s="4" t="s">
        <v>1662</v>
      </c>
      <c r="C150" s="4" t="s">
        <v>1663</v>
      </c>
      <c r="D150" s="4" t="s">
        <v>1664</v>
      </c>
      <c r="E150" s="4">
        <v>751210.0</v>
      </c>
      <c r="F150" s="6">
        <v>2.0</v>
      </c>
      <c r="G150" s="4" t="s">
        <v>1665</v>
      </c>
      <c r="H150" s="4" t="s">
        <v>1666</v>
      </c>
      <c r="I150" s="4">
        <v>710505.0</v>
      </c>
      <c r="J150" s="4" t="str">
        <f t="shared" si="1"/>
        <v>박수진6294</v>
      </c>
      <c r="K150" s="3" t="str">
        <f t="shared" si="2"/>
        <v>정상</v>
      </c>
      <c r="L150" s="4">
        <v>70000.0</v>
      </c>
      <c r="M150" s="4">
        <v>70000.0</v>
      </c>
      <c r="N150" s="4">
        <v>0.0</v>
      </c>
      <c r="O150" s="3"/>
      <c r="P150" s="3"/>
      <c r="Q150" s="3"/>
    </row>
    <row r="151">
      <c r="A151" s="5">
        <v>1228.0</v>
      </c>
      <c r="B151" s="3" t="s">
        <v>1209</v>
      </c>
      <c r="C151" s="3" t="s">
        <v>1667</v>
      </c>
      <c r="D151" s="3" t="s">
        <v>1668</v>
      </c>
      <c r="E151" s="3">
        <v>631001.0</v>
      </c>
      <c r="F151" s="5">
        <v>2.0</v>
      </c>
      <c r="G151" s="3" t="s">
        <v>1669</v>
      </c>
      <c r="H151" s="3" t="s">
        <v>1670</v>
      </c>
      <c r="I151" s="3">
        <v>620307.0</v>
      </c>
      <c r="J151" s="4" t="str">
        <f t="shared" si="1"/>
        <v>정숙4686</v>
      </c>
      <c r="K151" s="3" t="str">
        <f t="shared" si="2"/>
        <v>정상</v>
      </c>
      <c r="L151" s="4">
        <v>70000.0</v>
      </c>
      <c r="M151" s="4">
        <v>70000.0</v>
      </c>
      <c r="N151" s="4">
        <v>0.0</v>
      </c>
      <c r="O151" s="3"/>
      <c r="P151" s="3"/>
      <c r="Q151" s="3"/>
    </row>
    <row r="152">
      <c r="A152" s="5">
        <v>1069.0</v>
      </c>
      <c r="B152" s="3" t="s">
        <v>1076</v>
      </c>
      <c r="C152" s="3" t="s">
        <v>1671</v>
      </c>
      <c r="D152" s="3" t="s">
        <v>1672</v>
      </c>
      <c r="E152" s="3">
        <v>670515.0</v>
      </c>
      <c r="F152" s="5">
        <v>2.0</v>
      </c>
      <c r="G152" s="3" t="s">
        <v>1673</v>
      </c>
      <c r="H152" s="3" t="s">
        <v>1674</v>
      </c>
      <c r="I152" s="3">
        <v>610202.0</v>
      </c>
      <c r="J152" s="4" t="str">
        <f t="shared" si="1"/>
        <v>김영자5428</v>
      </c>
      <c r="K152" s="3" t="str">
        <f t="shared" si="2"/>
        <v>정상</v>
      </c>
      <c r="L152" s="4">
        <v>70000.0</v>
      </c>
      <c r="M152" s="4">
        <v>70000.0</v>
      </c>
      <c r="N152" s="4">
        <v>0.0</v>
      </c>
      <c r="O152" s="3"/>
      <c r="P152" s="3"/>
      <c r="Q152" s="3"/>
    </row>
    <row r="153">
      <c r="A153" s="5">
        <v>173.0</v>
      </c>
      <c r="B153" s="3" t="s">
        <v>1250</v>
      </c>
      <c r="C153" s="3" t="s">
        <v>1675</v>
      </c>
      <c r="D153" s="3" t="s">
        <v>1676</v>
      </c>
      <c r="E153" s="3">
        <v>650629.0</v>
      </c>
      <c r="F153" s="5">
        <v>2.0</v>
      </c>
      <c r="G153" s="3" t="s">
        <v>1677</v>
      </c>
      <c r="H153" s="3" t="s">
        <v>1678</v>
      </c>
      <c r="I153" s="3">
        <v>470108.0</v>
      </c>
      <c r="J153" s="4" t="str">
        <f t="shared" si="1"/>
        <v>남숙희7542</v>
      </c>
      <c r="K153" s="3" t="str">
        <f t="shared" si="2"/>
        <v>정상</v>
      </c>
      <c r="L153" s="4">
        <v>70000.0</v>
      </c>
      <c r="M153" s="4">
        <v>70000.0</v>
      </c>
      <c r="N153" s="4">
        <v>0.0</v>
      </c>
      <c r="O153" s="3"/>
      <c r="P153" s="3"/>
      <c r="Q153" s="3"/>
    </row>
    <row r="154">
      <c r="A154" s="6">
        <v>773.0</v>
      </c>
      <c r="B154" s="4" t="s">
        <v>1292</v>
      </c>
      <c r="C154" s="4" t="s">
        <v>1679</v>
      </c>
      <c r="D154" s="4" t="s">
        <v>1680</v>
      </c>
      <c r="E154" s="4">
        <v>600423.0</v>
      </c>
      <c r="F154" s="6">
        <v>2.0</v>
      </c>
      <c r="G154" s="4" t="s">
        <v>1681</v>
      </c>
      <c r="H154" s="4" t="s">
        <v>1682</v>
      </c>
      <c r="I154" s="4">
        <v>591206.0</v>
      </c>
      <c r="J154" s="4" t="str">
        <f t="shared" si="1"/>
        <v>김영순8200</v>
      </c>
      <c r="K154" s="3" t="str">
        <f t="shared" si="2"/>
        <v>정상</v>
      </c>
      <c r="L154" s="4">
        <v>70000.0</v>
      </c>
      <c r="M154" s="4">
        <v>70000.0</v>
      </c>
      <c r="N154" s="4">
        <v>0.0</v>
      </c>
      <c r="O154" s="3"/>
      <c r="P154" s="3"/>
      <c r="Q154" s="3"/>
    </row>
    <row r="155">
      <c r="A155" s="6">
        <v>457.0</v>
      </c>
      <c r="B155" s="4" t="s">
        <v>1626</v>
      </c>
      <c r="C155" s="4" t="s">
        <v>1683</v>
      </c>
      <c r="D155" s="4" t="s">
        <v>1684</v>
      </c>
      <c r="E155" s="4">
        <v>890905.0</v>
      </c>
      <c r="F155" s="6">
        <v>2.0</v>
      </c>
      <c r="G155" s="4" t="s">
        <v>1685</v>
      </c>
      <c r="H155" s="4" t="s">
        <v>1686</v>
      </c>
      <c r="I155" s="4">
        <v>650928.0</v>
      </c>
      <c r="J155" s="4" t="str">
        <f t="shared" si="1"/>
        <v>이유성3152</v>
      </c>
      <c r="K155" s="3" t="str">
        <f t="shared" si="2"/>
        <v>정상</v>
      </c>
      <c r="L155" s="4">
        <v>70000.0</v>
      </c>
      <c r="M155" s="4">
        <v>70000.0</v>
      </c>
      <c r="N155" s="4">
        <v>0.0</v>
      </c>
      <c r="O155" s="3"/>
      <c r="P155" s="3"/>
      <c r="Q155" s="3"/>
    </row>
    <row r="156">
      <c r="A156" s="6">
        <v>1181.0</v>
      </c>
      <c r="B156" s="4" t="s">
        <v>1471</v>
      </c>
      <c r="C156" s="4" t="s">
        <v>1687</v>
      </c>
      <c r="D156" s="4" t="s">
        <v>1688</v>
      </c>
      <c r="E156" s="4">
        <v>571223.0</v>
      </c>
      <c r="F156" s="6">
        <v>2.0</v>
      </c>
      <c r="G156" s="4" t="s">
        <v>1689</v>
      </c>
      <c r="H156" s="4" t="s">
        <v>1690</v>
      </c>
      <c r="I156" s="4">
        <v>820721.0</v>
      </c>
      <c r="J156" s="4" t="str">
        <f t="shared" si="1"/>
        <v>정재열3530</v>
      </c>
      <c r="K156" s="3" t="str">
        <f t="shared" si="2"/>
        <v>정상</v>
      </c>
      <c r="L156" s="4">
        <v>70000.0</v>
      </c>
      <c r="M156" s="4">
        <v>70000.0</v>
      </c>
      <c r="N156" s="4">
        <v>0.0</v>
      </c>
      <c r="O156" s="3"/>
      <c r="P156" s="3"/>
      <c r="Q156" s="3"/>
    </row>
    <row r="157">
      <c r="A157" s="6">
        <v>410.0</v>
      </c>
      <c r="B157" s="4" t="s">
        <v>1195</v>
      </c>
      <c r="C157" s="4" t="s">
        <v>1691</v>
      </c>
      <c r="D157" s="4" t="s">
        <v>1692</v>
      </c>
      <c r="E157" s="4">
        <v>691026.0</v>
      </c>
      <c r="F157" s="6">
        <v>2.0</v>
      </c>
      <c r="G157" s="4" t="s">
        <v>1693</v>
      </c>
      <c r="H157" s="3" t="s">
        <v>1694</v>
      </c>
      <c r="I157" s="4">
        <v>741023.0</v>
      </c>
      <c r="J157" s="4" t="str">
        <f t="shared" si="1"/>
        <v>진라희3114</v>
      </c>
      <c r="K157" s="3" t="str">
        <f t="shared" si="2"/>
        <v>정상</v>
      </c>
      <c r="L157" s="4">
        <v>70000.0</v>
      </c>
      <c r="M157" s="4">
        <v>70000.0</v>
      </c>
      <c r="N157" s="4">
        <v>0.0</v>
      </c>
      <c r="O157" s="3"/>
      <c r="P157" s="3"/>
      <c r="Q157" s="3"/>
    </row>
    <row r="158">
      <c r="A158" s="5">
        <v>1113.0</v>
      </c>
      <c r="B158" s="3" t="s">
        <v>1420</v>
      </c>
      <c r="C158" s="3" t="s">
        <v>1695</v>
      </c>
      <c r="D158" s="3" t="s">
        <v>1696</v>
      </c>
      <c r="E158" s="3">
        <v>540122.0</v>
      </c>
      <c r="F158" s="5">
        <v>2.0</v>
      </c>
      <c r="G158" s="3" t="s">
        <v>1697</v>
      </c>
      <c r="H158" s="3" t="s">
        <v>1698</v>
      </c>
      <c r="I158" s="3">
        <v>641125.0</v>
      </c>
      <c r="J158" s="4" t="str">
        <f t="shared" si="1"/>
        <v>반인기0145</v>
      </c>
      <c r="K158" s="3" t="str">
        <f t="shared" si="2"/>
        <v>정상</v>
      </c>
      <c r="L158" s="4">
        <v>70000.0</v>
      </c>
      <c r="M158" s="4">
        <v>70000.0</v>
      </c>
      <c r="N158" s="4">
        <v>0.0</v>
      </c>
      <c r="O158" s="3"/>
      <c r="P158" s="3"/>
      <c r="Q158" s="3"/>
    </row>
    <row r="159">
      <c r="A159" s="5">
        <v>628.0</v>
      </c>
      <c r="B159" s="3" t="s">
        <v>1699</v>
      </c>
      <c r="C159" s="3" t="s">
        <v>1700</v>
      </c>
      <c r="D159" s="3" t="s">
        <v>1701</v>
      </c>
      <c r="E159" s="3">
        <v>560502.0</v>
      </c>
      <c r="F159" s="5">
        <v>2.0</v>
      </c>
      <c r="G159" s="3" t="s">
        <v>1702</v>
      </c>
      <c r="H159" s="3" t="s">
        <v>1703</v>
      </c>
      <c r="I159" s="3">
        <v>600816.0</v>
      </c>
      <c r="J159" s="4" t="str">
        <f t="shared" si="1"/>
        <v>이을선4338</v>
      </c>
      <c r="K159" s="3" t="str">
        <f t="shared" si="2"/>
        <v>정상</v>
      </c>
      <c r="L159" s="4">
        <v>70000.0</v>
      </c>
      <c r="M159" s="4">
        <v>70000.0</v>
      </c>
      <c r="N159" s="4">
        <v>0.0</v>
      </c>
      <c r="O159" s="3"/>
      <c r="P159" s="3"/>
      <c r="Q159" s="3"/>
    </row>
    <row r="160">
      <c r="A160" s="6">
        <v>748.0</v>
      </c>
      <c r="B160" s="4" t="s">
        <v>1704</v>
      </c>
      <c r="C160" s="4" t="s">
        <v>1705</v>
      </c>
      <c r="D160" s="4" t="s">
        <v>1706</v>
      </c>
      <c r="E160" s="4">
        <v>550228.0</v>
      </c>
      <c r="F160" s="6">
        <v>2.0</v>
      </c>
      <c r="G160" s="4" t="s">
        <v>1707</v>
      </c>
      <c r="H160" s="4" t="s">
        <v>1708</v>
      </c>
      <c r="I160" s="4">
        <v>521115.0</v>
      </c>
      <c r="J160" s="4" t="str">
        <f t="shared" si="1"/>
        <v>이규삼2932</v>
      </c>
      <c r="K160" s="3" t="str">
        <f t="shared" si="2"/>
        <v>정상</v>
      </c>
      <c r="L160" s="4">
        <v>70000.0</v>
      </c>
      <c r="M160" s="4">
        <v>70000.0</v>
      </c>
      <c r="N160" s="4">
        <v>0.0</v>
      </c>
      <c r="O160" s="3"/>
      <c r="P160" s="3"/>
      <c r="Q160" s="3"/>
    </row>
    <row r="161">
      <c r="A161" s="6">
        <v>1095.0</v>
      </c>
      <c r="B161" s="4" t="s">
        <v>1137</v>
      </c>
      <c r="C161" s="4" t="s">
        <v>1709</v>
      </c>
      <c r="D161" s="4" t="s">
        <v>1710</v>
      </c>
      <c r="E161" s="4">
        <v>621012.0</v>
      </c>
      <c r="F161" s="6">
        <v>2.0</v>
      </c>
      <c r="G161" s="4" t="s">
        <v>1711</v>
      </c>
      <c r="H161" s="4" t="s">
        <v>1712</v>
      </c>
      <c r="I161" s="4">
        <v>590321.0</v>
      </c>
      <c r="J161" s="4" t="str">
        <f t="shared" si="1"/>
        <v>이미화6748</v>
      </c>
      <c r="K161" s="3" t="str">
        <f t="shared" si="2"/>
        <v>정상</v>
      </c>
      <c r="L161" s="4">
        <v>70000.0</v>
      </c>
      <c r="M161" s="4">
        <v>70000.0</v>
      </c>
      <c r="N161" s="4">
        <v>0.0</v>
      </c>
      <c r="O161" s="3"/>
      <c r="P161" s="3"/>
      <c r="Q161" s="3"/>
    </row>
    <row r="162">
      <c r="A162" s="6">
        <v>542.0</v>
      </c>
      <c r="B162" s="4" t="s">
        <v>1713</v>
      </c>
      <c r="C162" s="4" t="s">
        <v>1714</v>
      </c>
      <c r="D162" s="4" t="s">
        <v>1715</v>
      </c>
      <c r="E162" s="4">
        <v>650802.0</v>
      </c>
      <c r="F162" s="6">
        <v>2.0</v>
      </c>
      <c r="G162" s="4" t="s">
        <v>1716</v>
      </c>
      <c r="H162" s="4" t="s">
        <v>1717</v>
      </c>
      <c r="I162" s="4">
        <v>681023.0</v>
      </c>
      <c r="J162" s="4" t="str">
        <f t="shared" si="1"/>
        <v>이소원6425</v>
      </c>
      <c r="K162" s="3" t="str">
        <f t="shared" si="2"/>
        <v>정상</v>
      </c>
      <c r="L162" s="4">
        <v>70000.0</v>
      </c>
      <c r="M162" s="4">
        <v>70000.0</v>
      </c>
      <c r="N162" s="4">
        <v>0.0</v>
      </c>
      <c r="O162" s="3"/>
      <c r="P162" s="3"/>
      <c r="Q162" s="3"/>
    </row>
    <row r="163">
      <c r="A163" s="5">
        <v>358.0</v>
      </c>
      <c r="B163" s="3" t="s">
        <v>1086</v>
      </c>
      <c r="C163" s="3" t="s">
        <v>1718</v>
      </c>
      <c r="D163" s="3" t="s">
        <v>1719</v>
      </c>
      <c r="E163" s="3">
        <v>610324.0</v>
      </c>
      <c r="F163" s="5">
        <v>2.0</v>
      </c>
      <c r="G163" s="3" t="s">
        <v>1720</v>
      </c>
      <c r="H163" s="3" t="s">
        <v>1721</v>
      </c>
      <c r="I163" s="3">
        <v>580415.0</v>
      </c>
      <c r="J163" s="4" t="str">
        <f t="shared" si="1"/>
        <v>윤민종3456</v>
      </c>
      <c r="K163" s="3" t="str">
        <f t="shared" si="2"/>
        <v>정상</v>
      </c>
      <c r="L163" s="4">
        <v>70000.0</v>
      </c>
      <c r="M163" s="4">
        <v>70000.0</v>
      </c>
      <c r="N163" s="4">
        <v>0.0</v>
      </c>
      <c r="O163" s="3"/>
      <c r="P163" s="3"/>
      <c r="Q163" s="3"/>
    </row>
    <row r="164">
      <c r="A164" s="6">
        <v>878.0</v>
      </c>
      <c r="B164" s="4" t="s">
        <v>1621</v>
      </c>
      <c r="C164" s="4" t="s">
        <v>1722</v>
      </c>
      <c r="D164" s="4" t="s">
        <v>1723</v>
      </c>
      <c r="E164" s="4">
        <v>690323.0</v>
      </c>
      <c r="F164" s="6">
        <v>2.0</v>
      </c>
      <c r="G164" s="4" t="s">
        <v>1724</v>
      </c>
      <c r="H164" s="4" t="s">
        <v>1725</v>
      </c>
      <c r="I164" s="4">
        <v>691219.0</v>
      </c>
      <c r="J164" s="4" t="str">
        <f t="shared" si="1"/>
        <v>김정미1814</v>
      </c>
      <c r="K164" s="3" t="str">
        <f t="shared" si="2"/>
        <v>정상</v>
      </c>
      <c r="L164" s="4">
        <v>70000.0</v>
      </c>
      <c r="M164" s="4">
        <v>70000.0</v>
      </c>
      <c r="N164" s="4">
        <v>0.0</v>
      </c>
      <c r="O164" s="3"/>
      <c r="P164" s="3"/>
      <c r="Q164" s="3"/>
    </row>
    <row r="165">
      <c r="A165" s="6">
        <v>1054.0</v>
      </c>
      <c r="B165" s="4" t="s">
        <v>1047</v>
      </c>
      <c r="C165" s="4" t="s">
        <v>1726</v>
      </c>
      <c r="D165" s="4" t="s">
        <v>1727</v>
      </c>
      <c r="E165" s="4">
        <v>700110.0</v>
      </c>
      <c r="F165" s="6">
        <v>2.0</v>
      </c>
      <c r="G165" s="4" t="s">
        <v>1728</v>
      </c>
      <c r="H165" s="4" t="s">
        <v>1729</v>
      </c>
      <c r="I165" s="4">
        <v>780713.0</v>
      </c>
      <c r="J165" s="4" t="str">
        <f t="shared" si="1"/>
        <v>이애경1676</v>
      </c>
      <c r="K165" s="3" t="str">
        <f t="shared" si="2"/>
        <v>정상</v>
      </c>
      <c r="L165" s="4">
        <v>70000.0</v>
      </c>
      <c r="M165" s="4">
        <v>70000.0</v>
      </c>
      <c r="N165" s="4">
        <v>0.0</v>
      </c>
      <c r="O165" s="3"/>
      <c r="P165" s="3"/>
      <c r="Q165" s="3"/>
    </row>
    <row r="166">
      <c r="A166" s="6">
        <v>425.0</v>
      </c>
      <c r="B166" s="4" t="s">
        <v>1730</v>
      </c>
      <c r="C166" s="4" t="s">
        <v>1731</v>
      </c>
      <c r="D166" s="3" t="s">
        <v>1732</v>
      </c>
      <c r="E166" s="4">
        <v>640201.0</v>
      </c>
      <c r="F166" s="6">
        <v>2.0</v>
      </c>
      <c r="G166" s="4" t="s">
        <v>1733</v>
      </c>
      <c r="H166" s="4" t="s">
        <v>1734</v>
      </c>
      <c r="I166" s="4">
        <v>611230.0</v>
      </c>
      <c r="J166" s="4" t="str">
        <f t="shared" si="1"/>
        <v>이지영2400</v>
      </c>
      <c r="K166" s="3" t="str">
        <f t="shared" si="2"/>
        <v>정상</v>
      </c>
      <c r="L166" s="4">
        <v>70000.0</v>
      </c>
      <c r="M166" s="4">
        <v>70000.0</v>
      </c>
      <c r="N166" s="4">
        <v>0.0</v>
      </c>
      <c r="O166" s="3"/>
      <c r="P166" s="3"/>
      <c r="Q166" s="3"/>
    </row>
    <row r="167">
      <c r="A167" s="5">
        <v>997.0</v>
      </c>
      <c r="B167" s="3" t="s">
        <v>1022</v>
      </c>
      <c r="C167" s="3" t="s">
        <v>1735</v>
      </c>
      <c r="D167" s="3" t="s">
        <v>1736</v>
      </c>
      <c r="E167" s="3">
        <v>690610.0</v>
      </c>
      <c r="F167" s="5">
        <v>2.0</v>
      </c>
      <c r="G167" s="3" t="s">
        <v>1737</v>
      </c>
      <c r="H167" s="3" t="s">
        <v>1738</v>
      </c>
      <c r="I167" s="3">
        <v>640818.0</v>
      </c>
      <c r="J167" s="4" t="str">
        <f t="shared" si="1"/>
        <v>박미선6783</v>
      </c>
      <c r="K167" s="3" t="str">
        <f t="shared" si="2"/>
        <v>정상</v>
      </c>
      <c r="L167" s="4">
        <v>70000.0</v>
      </c>
      <c r="M167" s="4">
        <v>70000.0</v>
      </c>
      <c r="N167" s="4">
        <v>0.0</v>
      </c>
      <c r="O167" s="3"/>
      <c r="P167" s="3"/>
      <c r="Q167" s="3"/>
    </row>
    <row r="168">
      <c r="A168" s="5">
        <v>242.0</v>
      </c>
      <c r="B168" s="3" t="s">
        <v>1739</v>
      </c>
      <c r="C168" s="3" t="s">
        <v>1740</v>
      </c>
      <c r="D168" s="3" t="s">
        <v>1741</v>
      </c>
      <c r="E168" s="3">
        <v>790408.0</v>
      </c>
      <c r="F168" s="5">
        <v>2.0</v>
      </c>
      <c r="G168" s="3" t="s">
        <v>1742</v>
      </c>
      <c r="H168" s="3" t="s">
        <v>1743</v>
      </c>
      <c r="I168" s="3">
        <v>460103.0</v>
      </c>
      <c r="J168" s="4" t="str">
        <f t="shared" si="1"/>
        <v>류혜림3450</v>
      </c>
      <c r="K168" s="3" t="str">
        <f t="shared" si="2"/>
        <v>정상</v>
      </c>
      <c r="L168" s="4">
        <v>70000.0</v>
      </c>
      <c r="M168" s="4">
        <v>70000.0</v>
      </c>
      <c r="N168" s="4">
        <v>0.0</v>
      </c>
      <c r="O168" s="3"/>
      <c r="P168" s="3"/>
      <c r="Q168" s="3"/>
    </row>
    <row r="169">
      <c r="A169" s="6">
        <v>172.0</v>
      </c>
      <c r="B169" s="4" t="s">
        <v>1250</v>
      </c>
      <c r="C169" s="4" t="s">
        <v>1744</v>
      </c>
      <c r="D169" s="4" t="s">
        <v>1745</v>
      </c>
      <c r="E169" s="4">
        <v>630505.0</v>
      </c>
      <c r="F169" s="6">
        <v>2.0</v>
      </c>
      <c r="G169" s="4" t="s">
        <v>1746</v>
      </c>
      <c r="H169" s="4" t="s">
        <v>1747</v>
      </c>
      <c r="I169" s="4">
        <v>620910.0</v>
      </c>
      <c r="J169" s="4" t="str">
        <f t="shared" si="1"/>
        <v>양종원6361</v>
      </c>
      <c r="K169" s="3" t="str">
        <f t="shared" si="2"/>
        <v>정상</v>
      </c>
      <c r="L169" s="4">
        <v>70000.0</v>
      </c>
      <c r="M169" s="4">
        <v>70000.0</v>
      </c>
      <c r="N169" s="4">
        <v>0.0</v>
      </c>
      <c r="O169" s="3"/>
      <c r="P169" s="3"/>
      <c r="Q169" s="3"/>
    </row>
    <row r="170">
      <c r="A170" s="5">
        <v>727.0</v>
      </c>
      <c r="B170" s="3" t="s">
        <v>1335</v>
      </c>
      <c r="C170" s="3" t="s">
        <v>1748</v>
      </c>
      <c r="D170" s="3" t="s">
        <v>1749</v>
      </c>
      <c r="E170" s="3">
        <v>550125.0</v>
      </c>
      <c r="F170" s="5">
        <v>2.0</v>
      </c>
      <c r="G170" s="3" t="s">
        <v>1750</v>
      </c>
      <c r="H170" s="3" t="s">
        <v>1751</v>
      </c>
      <c r="I170" s="3">
        <v>921007.0</v>
      </c>
      <c r="J170" s="4" t="str">
        <f t="shared" si="1"/>
        <v>배미숙3949</v>
      </c>
      <c r="K170" s="3" t="str">
        <f t="shared" si="2"/>
        <v>정상</v>
      </c>
      <c r="L170" s="4">
        <v>70000.0</v>
      </c>
      <c r="M170" s="4">
        <v>70000.0</v>
      </c>
      <c r="N170" s="4">
        <v>0.0</v>
      </c>
      <c r="O170" s="3"/>
      <c r="P170" s="3"/>
      <c r="Q170" s="3"/>
    </row>
    <row r="171">
      <c r="A171" s="6">
        <v>253.0</v>
      </c>
      <c r="B171" s="4" t="s">
        <v>1752</v>
      </c>
      <c r="C171" s="4" t="s">
        <v>1753</v>
      </c>
      <c r="D171" s="4" t="s">
        <v>1754</v>
      </c>
      <c r="E171" s="4">
        <v>541115.0</v>
      </c>
      <c r="F171" s="6">
        <v>2.0</v>
      </c>
      <c r="G171" s="4" t="s">
        <v>1755</v>
      </c>
      <c r="H171" s="4" t="s">
        <v>1756</v>
      </c>
      <c r="I171" s="4">
        <v>560818.0</v>
      </c>
      <c r="J171" s="4" t="str">
        <f t="shared" si="1"/>
        <v>최양숙2549</v>
      </c>
      <c r="K171" s="3" t="str">
        <f t="shared" si="2"/>
        <v>정상</v>
      </c>
      <c r="L171" s="4">
        <v>70000.0</v>
      </c>
      <c r="M171" s="4">
        <v>70000.0</v>
      </c>
      <c r="N171" s="4">
        <v>0.0</v>
      </c>
      <c r="O171" s="3"/>
      <c r="P171" s="3"/>
      <c r="Q171" s="3"/>
    </row>
    <row r="172">
      <c r="A172" s="6">
        <v>413.0</v>
      </c>
      <c r="B172" s="4" t="s">
        <v>1518</v>
      </c>
      <c r="C172" s="4" t="s">
        <v>1757</v>
      </c>
      <c r="D172" s="4" t="s">
        <v>1758</v>
      </c>
      <c r="E172" s="4">
        <v>490607.0</v>
      </c>
      <c r="F172" s="6">
        <v>2.0</v>
      </c>
      <c r="G172" s="4" t="s">
        <v>1759</v>
      </c>
      <c r="H172" s="4" t="s">
        <v>1760</v>
      </c>
      <c r="I172" s="4">
        <v>600220.0</v>
      </c>
      <c r="J172" s="4" t="str">
        <f t="shared" si="1"/>
        <v>황광숙0607</v>
      </c>
      <c r="K172" s="3" t="str">
        <f t="shared" si="2"/>
        <v>정상</v>
      </c>
      <c r="L172" s="4">
        <v>70000.0</v>
      </c>
      <c r="M172" s="4">
        <v>70000.0</v>
      </c>
      <c r="N172" s="4">
        <v>0.0</v>
      </c>
      <c r="O172" s="3"/>
      <c r="P172" s="3"/>
      <c r="Q172" s="3"/>
    </row>
    <row r="173">
      <c r="A173" s="6">
        <v>380.0</v>
      </c>
      <c r="B173" s="4" t="s">
        <v>1761</v>
      </c>
      <c r="C173" s="4" t="s">
        <v>1762</v>
      </c>
      <c r="D173" s="4" t="s">
        <v>1763</v>
      </c>
      <c r="E173" s="4">
        <v>810924.0</v>
      </c>
      <c r="F173" s="6">
        <v>2.0</v>
      </c>
      <c r="G173" s="4" t="s">
        <v>1764</v>
      </c>
      <c r="H173" s="4" t="s">
        <v>1765</v>
      </c>
      <c r="I173" s="4">
        <v>540321.0</v>
      </c>
      <c r="J173" s="4" t="str">
        <f t="shared" si="1"/>
        <v>신정아5354</v>
      </c>
      <c r="K173" s="3" t="str">
        <f t="shared" si="2"/>
        <v>정상</v>
      </c>
      <c r="L173" s="4">
        <v>70000.0</v>
      </c>
      <c r="M173" s="4">
        <v>70000.0</v>
      </c>
      <c r="N173" s="4">
        <v>0.0</v>
      </c>
      <c r="O173" s="3"/>
      <c r="P173" s="3"/>
      <c r="Q173" s="3"/>
    </row>
    <row r="174">
      <c r="A174" s="6">
        <v>1210.0</v>
      </c>
      <c r="B174" s="4" t="s">
        <v>1454</v>
      </c>
      <c r="C174" s="4" t="s">
        <v>1766</v>
      </c>
      <c r="D174" s="4" t="s">
        <v>1767</v>
      </c>
      <c r="E174" s="4">
        <v>800101.0</v>
      </c>
      <c r="F174" s="6">
        <v>2.0</v>
      </c>
      <c r="G174" s="4" t="s">
        <v>1768</v>
      </c>
      <c r="H174" s="4" t="s">
        <v>1769</v>
      </c>
      <c r="I174" s="4">
        <v>791112.0</v>
      </c>
      <c r="J174" s="4" t="str">
        <f t="shared" si="1"/>
        <v>윤여진2814</v>
      </c>
      <c r="K174" s="3" t="str">
        <f t="shared" si="2"/>
        <v>정상</v>
      </c>
      <c r="L174" s="4">
        <v>70000.0</v>
      </c>
      <c r="M174" s="4">
        <v>70000.0</v>
      </c>
      <c r="N174" s="4">
        <v>0.0</v>
      </c>
      <c r="O174" s="3"/>
      <c r="P174" s="3"/>
      <c r="Q174" s="3"/>
    </row>
    <row r="175">
      <c r="A175" s="5">
        <v>891.0</v>
      </c>
      <c r="B175" s="3" t="s">
        <v>1114</v>
      </c>
      <c r="C175" s="3" t="s">
        <v>1770</v>
      </c>
      <c r="D175" s="3" t="s">
        <v>1771</v>
      </c>
      <c r="E175" s="3">
        <v>591212.0</v>
      </c>
      <c r="F175" s="5">
        <v>2.0</v>
      </c>
      <c r="G175" s="3" t="s">
        <v>1772</v>
      </c>
      <c r="H175" s="3" t="s">
        <v>1773</v>
      </c>
      <c r="I175" s="3">
        <v>621116.0</v>
      </c>
      <c r="J175" s="4" t="str">
        <f t="shared" si="1"/>
        <v>임경식6374</v>
      </c>
      <c r="K175" s="3" t="str">
        <f t="shared" si="2"/>
        <v>정상</v>
      </c>
      <c r="L175" s="4">
        <v>70000.0</v>
      </c>
      <c r="M175" s="4">
        <v>70000.0</v>
      </c>
      <c r="N175" s="4">
        <v>0.0</v>
      </c>
      <c r="O175" s="3"/>
      <c r="P175" s="3"/>
      <c r="Q175" s="3"/>
    </row>
    <row r="176">
      <c r="A176" s="6">
        <v>785.0</v>
      </c>
      <c r="B176" s="4" t="s">
        <v>1774</v>
      </c>
      <c r="C176" s="4" t="s">
        <v>1775</v>
      </c>
      <c r="D176" s="4" t="s">
        <v>1776</v>
      </c>
      <c r="E176" s="4">
        <v>680822.0</v>
      </c>
      <c r="F176" s="6">
        <v>2.0</v>
      </c>
      <c r="G176" s="4" t="s">
        <v>1777</v>
      </c>
      <c r="H176" s="4" t="s">
        <v>1778</v>
      </c>
      <c r="I176" s="4">
        <v>570328.0</v>
      </c>
      <c r="J176" s="4" t="str">
        <f t="shared" si="1"/>
        <v>이미경6750</v>
      </c>
      <c r="K176" s="3" t="str">
        <f t="shared" si="2"/>
        <v>정상</v>
      </c>
      <c r="L176" s="4">
        <v>70000.0</v>
      </c>
      <c r="M176" s="4">
        <v>70000.0</v>
      </c>
      <c r="N176" s="4">
        <v>0.0</v>
      </c>
      <c r="O176" s="3"/>
      <c r="P176" s="3"/>
      <c r="Q176" s="3"/>
    </row>
    <row r="177">
      <c r="A177" s="6">
        <v>613.0</v>
      </c>
      <c r="B177" s="4" t="s">
        <v>1779</v>
      </c>
      <c r="C177" s="4" t="s">
        <v>1780</v>
      </c>
      <c r="D177" s="4" t="s">
        <v>1781</v>
      </c>
      <c r="E177" s="4">
        <v>720621.0</v>
      </c>
      <c r="F177" s="6">
        <v>2.0</v>
      </c>
      <c r="G177" s="3" t="s">
        <v>1782</v>
      </c>
      <c r="H177" s="4" t="s">
        <v>1783</v>
      </c>
      <c r="I177" s="4">
        <v>461225.0</v>
      </c>
      <c r="J177" s="4" t="str">
        <f t="shared" si="1"/>
        <v>김지원9765</v>
      </c>
      <c r="K177" s="3" t="str">
        <f t="shared" si="2"/>
        <v>정상</v>
      </c>
      <c r="L177" s="4">
        <v>70000.0</v>
      </c>
      <c r="M177" s="4">
        <v>70000.0</v>
      </c>
      <c r="N177" s="4">
        <v>0.0</v>
      </c>
      <c r="O177" s="3"/>
      <c r="P177" s="3"/>
      <c r="Q177" s="3"/>
    </row>
    <row r="178">
      <c r="A178" s="6">
        <v>738.0</v>
      </c>
      <c r="B178" s="4" t="s">
        <v>1784</v>
      </c>
      <c r="C178" s="4" t="s">
        <v>1785</v>
      </c>
      <c r="D178" s="4" t="s">
        <v>1786</v>
      </c>
      <c r="E178" s="4">
        <v>701125.0</v>
      </c>
      <c r="F178" s="6">
        <v>2.0</v>
      </c>
      <c r="G178" s="4" t="s">
        <v>1787</v>
      </c>
      <c r="H178" s="4" t="s">
        <v>1788</v>
      </c>
      <c r="I178" s="4">
        <v>700203.0</v>
      </c>
      <c r="J178" s="4" t="str">
        <f t="shared" si="1"/>
        <v>장미영0348</v>
      </c>
      <c r="K178" s="3" t="str">
        <f t="shared" si="2"/>
        <v>정상</v>
      </c>
      <c r="L178" s="4">
        <v>70000.0</v>
      </c>
      <c r="M178" s="4">
        <v>70000.0</v>
      </c>
      <c r="N178" s="4">
        <v>0.0</v>
      </c>
      <c r="O178" s="3"/>
      <c r="P178" s="3"/>
      <c r="Q178" s="3"/>
    </row>
    <row r="179">
      <c r="A179" s="6">
        <v>525.0</v>
      </c>
      <c r="B179" s="4" t="s">
        <v>1789</v>
      </c>
      <c r="C179" s="4" t="s">
        <v>1790</v>
      </c>
      <c r="D179" s="4" t="s">
        <v>1791</v>
      </c>
      <c r="E179" s="4">
        <v>781103.0</v>
      </c>
      <c r="F179" s="6">
        <v>2.0</v>
      </c>
      <c r="G179" s="4" t="s">
        <v>1792</v>
      </c>
      <c r="H179" s="4" t="s">
        <v>1793</v>
      </c>
      <c r="I179" s="4">
        <v>770816.0</v>
      </c>
      <c r="J179" s="4" t="str">
        <f t="shared" si="1"/>
        <v>황성수7631</v>
      </c>
      <c r="K179" s="3" t="str">
        <f t="shared" si="2"/>
        <v>정상</v>
      </c>
      <c r="L179" s="4">
        <v>70000.0</v>
      </c>
      <c r="M179" s="4">
        <v>70000.0</v>
      </c>
      <c r="N179" s="4">
        <v>0.0</v>
      </c>
      <c r="O179" s="3"/>
      <c r="P179" s="3"/>
      <c r="Q179" s="3"/>
    </row>
    <row r="180">
      <c r="A180" s="5">
        <v>402.0</v>
      </c>
      <c r="B180" s="3" t="s">
        <v>1195</v>
      </c>
      <c r="C180" s="3" t="s">
        <v>1539</v>
      </c>
      <c r="D180" s="3" t="s">
        <v>1794</v>
      </c>
      <c r="E180" s="3">
        <v>721029.0</v>
      </c>
      <c r="F180" s="5">
        <v>2.0</v>
      </c>
      <c r="G180" s="3" t="s">
        <v>1795</v>
      </c>
      <c r="H180" s="3" t="s">
        <v>1796</v>
      </c>
      <c r="I180" s="3">
        <v>671029.0</v>
      </c>
      <c r="J180" s="4" t="str">
        <f t="shared" si="1"/>
        <v>정경희4585</v>
      </c>
      <c r="K180" s="3" t="str">
        <f t="shared" si="2"/>
        <v>정상</v>
      </c>
      <c r="L180" s="4">
        <v>70000.0</v>
      </c>
      <c r="M180" s="4">
        <v>70000.0</v>
      </c>
      <c r="N180" s="4">
        <v>0.0</v>
      </c>
      <c r="O180" s="3"/>
      <c r="P180" s="3"/>
      <c r="Q180" s="3"/>
    </row>
    <row r="181">
      <c r="A181" s="6">
        <v>417.0</v>
      </c>
      <c r="B181" s="4" t="s">
        <v>1037</v>
      </c>
      <c r="C181" s="4" t="s">
        <v>1797</v>
      </c>
      <c r="D181" s="4" t="s">
        <v>1798</v>
      </c>
      <c r="E181" s="4">
        <v>690214.0</v>
      </c>
      <c r="F181" s="6">
        <v>2.0</v>
      </c>
      <c r="G181" s="4" t="s">
        <v>1799</v>
      </c>
      <c r="H181" s="4" t="s">
        <v>1800</v>
      </c>
      <c r="I181" s="4">
        <v>670928.0</v>
      </c>
      <c r="J181" s="4" t="str">
        <f t="shared" si="1"/>
        <v>신수진0428</v>
      </c>
      <c r="K181" s="3" t="str">
        <f t="shared" si="2"/>
        <v>정상</v>
      </c>
      <c r="L181" s="4">
        <v>70000.0</v>
      </c>
      <c r="M181" s="4">
        <v>70000.0</v>
      </c>
      <c r="N181" s="4">
        <v>0.0</v>
      </c>
      <c r="O181" s="3"/>
      <c r="P181" s="3"/>
      <c r="Q181" s="3"/>
    </row>
    <row r="182">
      <c r="A182" s="6">
        <v>632.0</v>
      </c>
      <c r="B182" s="4" t="s">
        <v>1007</v>
      </c>
      <c r="C182" s="4" t="s">
        <v>1299</v>
      </c>
      <c r="D182" s="4" t="s">
        <v>1801</v>
      </c>
      <c r="E182" s="4">
        <v>720229.0</v>
      </c>
      <c r="F182" s="6">
        <v>2.0</v>
      </c>
      <c r="G182" s="4" t="s">
        <v>1802</v>
      </c>
      <c r="H182" s="4" t="s">
        <v>1803</v>
      </c>
      <c r="I182" s="4">
        <v>750815.0</v>
      </c>
      <c r="J182" s="4" t="str">
        <f t="shared" si="1"/>
        <v>김보경7295</v>
      </c>
      <c r="K182" s="3" t="str">
        <f t="shared" si="2"/>
        <v>정상</v>
      </c>
      <c r="L182" s="4">
        <v>70000.0</v>
      </c>
      <c r="M182" s="4">
        <v>70000.0</v>
      </c>
      <c r="N182" s="4">
        <v>0.0</v>
      </c>
      <c r="O182" s="3"/>
      <c r="P182" s="3"/>
      <c r="Q182" s="3"/>
    </row>
    <row r="183">
      <c r="A183" s="5">
        <v>1199.0</v>
      </c>
      <c r="B183" s="3" t="s">
        <v>1530</v>
      </c>
      <c r="C183" s="3" t="s">
        <v>1804</v>
      </c>
      <c r="D183" s="3" t="s">
        <v>1805</v>
      </c>
      <c r="E183" s="3">
        <v>520405.0</v>
      </c>
      <c r="F183" s="5">
        <v>2.0</v>
      </c>
      <c r="G183" s="3" t="s">
        <v>1806</v>
      </c>
      <c r="H183" s="3" t="s">
        <v>1807</v>
      </c>
      <c r="I183" s="3">
        <v>491224.0</v>
      </c>
      <c r="J183" s="4" t="str">
        <f t="shared" si="1"/>
        <v>김혜영1626</v>
      </c>
      <c r="K183" s="3" t="str">
        <f t="shared" si="2"/>
        <v>정상</v>
      </c>
      <c r="L183" s="4">
        <v>70000.0</v>
      </c>
      <c r="M183" s="4">
        <v>70000.0</v>
      </c>
      <c r="N183" s="4">
        <v>0.0</v>
      </c>
      <c r="O183" s="3"/>
      <c r="P183" s="3"/>
      <c r="Q183" s="3"/>
    </row>
    <row r="184">
      <c r="A184" s="6">
        <v>469.0</v>
      </c>
      <c r="B184" s="4" t="s">
        <v>1808</v>
      </c>
      <c r="C184" s="4" t="s">
        <v>1809</v>
      </c>
      <c r="D184" s="4" t="s">
        <v>1810</v>
      </c>
      <c r="E184" s="4">
        <v>690402.0</v>
      </c>
      <c r="F184" s="6">
        <v>2.0</v>
      </c>
      <c r="G184" s="4" t="s">
        <v>1811</v>
      </c>
      <c r="H184" s="4" t="s">
        <v>1812</v>
      </c>
      <c r="I184" s="4">
        <v>611017.0</v>
      </c>
      <c r="J184" s="4" t="str">
        <f t="shared" si="1"/>
        <v>최윤정0124</v>
      </c>
      <c r="K184" s="3" t="str">
        <f t="shared" si="2"/>
        <v>정상</v>
      </c>
      <c r="L184" s="4">
        <v>70000.0</v>
      </c>
      <c r="M184" s="4">
        <v>70000.0</v>
      </c>
      <c r="N184" s="4">
        <v>0.0</v>
      </c>
      <c r="O184" s="3"/>
      <c r="P184" s="3"/>
      <c r="Q184" s="3"/>
    </row>
    <row r="185">
      <c r="A185" s="5">
        <v>496.0</v>
      </c>
      <c r="B185" s="3" t="s">
        <v>1095</v>
      </c>
      <c r="C185" s="3" t="s">
        <v>1813</v>
      </c>
      <c r="D185" s="3" t="s">
        <v>1814</v>
      </c>
      <c r="E185" s="3">
        <v>621210.0</v>
      </c>
      <c r="F185" s="5">
        <v>2.0</v>
      </c>
      <c r="G185" s="3" t="s">
        <v>1815</v>
      </c>
      <c r="H185" s="3" t="s">
        <v>1816</v>
      </c>
      <c r="I185" s="3">
        <v>520110.0</v>
      </c>
      <c r="J185" s="4" t="str">
        <f t="shared" si="1"/>
        <v>김미승8337</v>
      </c>
      <c r="K185" s="3" t="str">
        <f t="shared" si="2"/>
        <v>정상</v>
      </c>
      <c r="L185" s="4">
        <v>70000.0</v>
      </c>
      <c r="M185" s="4">
        <v>70000.0</v>
      </c>
      <c r="N185" s="4">
        <v>0.0</v>
      </c>
      <c r="O185" s="3"/>
      <c r="P185" s="3"/>
      <c r="Q185" s="3"/>
    </row>
    <row r="186">
      <c r="A186" s="5">
        <v>999.0</v>
      </c>
      <c r="B186" s="3" t="s">
        <v>1022</v>
      </c>
      <c r="C186" s="3" t="s">
        <v>1817</v>
      </c>
      <c r="D186" s="3" t="s">
        <v>1818</v>
      </c>
      <c r="E186" s="3">
        <v>160108.0</v>
      </c>
      <c r="F186" s="5">
        <v>2.0</v>
      </c>
      <c r="G186" s="3" t="s">
        <v>1819</v>
      </c>
      <c r="H186" s="3" t="s">
        <v>1820</v>
      </c>
      <c r="I186" s="3">
        <v>701107.0</v>
      </c>
      <c r="J186" s="4" t="str">
        <f t="shared" si="1"/>
        <v>이아힘2310</v>
      </c>
      <c r="K186" s="3" t="str">
        <f t="shared" si="2"/>
        <v>정상</v>
      </c>
      <c r="L186" s="4">
        <v>70000.0</v>
      </c>
      <c r="M186" s="4">
        <v>70000.0</v>
      </c>
      <c r="N186" s="4">
        <v>0.0</v>
      </c>
      <c r="O186" s="3"/>
      <c r="P186" s="3"/>
      <c r="Q186" s="3"/>
    </row>
    <row r="187">
      <c r="A187" s="6">
        <v>357.0</v>
      </c>
      <c r="B187" s="4" t="s">
        <v>1032</v>
      </c>
      <c r="C187" s="4" t="s">
        <v>1821</v>
      </c>
      <c r="D187" s="4" t="s">
        <v>1822</v>
      </c>
      <c r="E187" s="4">
        <v>610520.0</v>
      </c>
      <c r="F187" s="6">
        <v>2.0</v>
      </c>
      <c r="G187" s="4" t="s">
        <v>1823</v>
      </c>
      <c r="H187" s="4" t="s">
        <v>1824</v>
      </c>
      <c r="I187" s="4">
        <v>631021.0</v>
      </c>
      <c r="J187" s="4" t="str">
        <f t="shared" si="1"/>
        <v>이경옥5342</v>
      </c>
      <c r="K187" s="3" t="str">
        <f t="shared" si="2"/>
        <v>정상</v>
      </c>
      <c r="L187" s="4">
        <v>70000.0</v>
      </c>
      <c r="M187" s="4">
        <v>70000.0</v>
      </c>
      <c r="N187" s="4">
        <v>0.0</v>
      </c>
      <c r="O187" s="3"/>
      <c r="P187" s="3"/>
      <c r="Q187" s="3"/>
    </row>
    <row r="188">
      <c r="A188" s="6">
        <v>597.0</v>
      </c>
      <c r="B188" s="4" t="s">
        <v>1825</v>
      </c>
      <c r="C188" s="4" t="s">
        <v>1826</v>
      </c>
      <c r="D188" s="4" t="s">
        <v>1827</v>
      </c>
      <c r="E188" s="4">
        <v>840702.0</v>
      </c>
      <c r="F188" s="6">
        <v>2.0</v>
      </c>
      <c r="G188" s="4" t="s">
        <v>1828</v>
      </c>
      <c r="H188" s="4" t="s">
        <v>1829</v>
      </c>
      <c r="I188" s="4">
        <v>600505.0</v>
      </c>
      <c r="J188" s="4" t="str">
        <f t="shared" si="1"/>
        <v>한준호6685</v>
      </c>
      <c r="K188" s="3" t="str">
        <f t="shared" si="2"/>
        <v>정상</v>
      </c>
      <c r="L188" s="4">
        <v>70000.0</v>
      </c>
      <c r="M188" s="4">
        <v>70000.0</v>
      </c>
      <c r="N188" s="4">
        <v>0.0</v>
      </c>
      <c r="O188" s="3"/>
      <c r="P188" s="3"/>
      <c r="Q188" s="3"/>
    </row>
    <row r="189">
      <c r="A189" s="6">
        <v>789.0</v>
      </c>
      <c r="B189" s="4" t="s">
        <v>1830</v>
      </c>
      <c r="C189" s="4" t="s">
        <v>1831</v>
      </c>
      <c r="D189" s="4" t="s">
        <v>1832</v>
      </c>
      <c r="E189" s="4">
        <v>641202.0</v>
      </c>
      <c r="F189" s="6">
        <v>2.0</v>
      </c>
      <c r="G189" s="4" t="s">
        <v>1833</v>
      </c>
      <c r="H189" s="4" t="s">
        <v>1834</v>
      </c>
      <c r="I189" s="4">
        <v>581113.0</v>
      </c>
      <c r="J189" s="4" t="str">
        <f t="shared" si="1"/>
        <v>김인순3575</v>
      </c>
      <c r="K189" s="3" t="str">
        <f t="shared" si="2"/>
        <v>정상</v>
      </c>
      <c r="L189" s="4">
        <v>70000.0</v>
      </c>
      <c r="M189" s="4">
        <v>70000.0</v>
      </c>
      <c r="N189" s="4">
        <v>0.0</v>
      </c>
      <c r="O189" s="3"/>
      <c r="P189" s="3"/>
      <c r="Q189" s="3"/>
    </row>
    <row r="190">
      <c r="A190" s="6">
        <v>322.0</v>
      </c>
      <c r="B190" s="4" t="s">
        <v>1322</v>
      </c>
      <c r="C190" s="4" t="s">
        <v>1835</v>
      </c>
      <c r="D190" s="4" t="s">
        <v>1836</v>
      </c>
      <c r="E190" s="4">
        <v>710318.0</v>
      </c>
      <c r="F190" s="6">
        <v>2.0</v>
      </c>
      <c r="G190" s="4" t="s">
        <v>1837</v>
      </c>
      <c r="H190" s="4" t="s">
        <v>1838</v>
      </c>
      <c r="I190" s="4">
        <v>690911.0</v>
      </c>
      <c r="J190" s="4" t="str">
        <f t="shared" si="1"/>
        <v>김명현9291</v>
      </c>
      <c r="K190" s="3" t="str">
        <f t="shared" si="2"/>
        <v>정상</v>
      </c>
      <c r="L190" s="4">
        <v>70000.0</v>
      </c>
      <c r="M190" s="4">
        <v>70000.0</v>
      </c>
      <c r="N190" s="4">
        <v>0.0</v>
      </c>
      <c r="O190" s="3"/>
      <c r="P190" s="3"/>
      <c r="Q190" s="3"/>
    </row>
    <row r="191">
      <c r="A191" s="5">
        <v>1059.0</v>
      </c>
      <c r="B191" s="3" t="s">
        <v>1047</v>
      </c>
      <c r="C191" s="3" t="s">
        <v>1839</v>
      </c>
      <c r="D191" s="3" t="s">
        <v>1840</v>
      </c>
      <c r="E191" s="3">
        <v>741115.0</v>
      </c>
      <c r="F191" s="5">
        <v>2.0</v>
      </c>
      <c r="G191" s="3" t="s">
        <v>1841</v>
      </c>
      <c r="H191" s="3" t="s">
        <v>1840</v>
      </c>
      <c r="I191" s="3">
        <v>770815.0</v>
      </c>
      <c r="J191" s="4" t="str">
        <f t="shared" si="1"/>
        <v>이남애0991</v>
      </c>
      <c r="K191" s="3" t="str">
        <f t="shared" si="2"/>
        <v>정상</v>
      </c>
      <c r="L191" s="4">
        <v>70000.0</v>
      </c>
      <c r="M191" s="4">
        <v>70000.0</v>
      </c>
      <c r="N191" s="4">
        <v>0.0</v>
      </c>
      <c r="O191" s="3"/>
      <c r="P191" s="3"/>
      <c r="Q191" s="3"/>
    </row>
    <row r="192">
      <c r="A192" s="6">
        <v>1115.0</v>
      </c>
      <c r="B192" s="4" t="s">
        <v>1420</v>
      </c>
      <c r="C192" s="4" t="s">
        <v>1842</v>
      </c>
      <c r="D192" s="4" t="s">
        <v>1843</v>
      </c>
      <c r="E192" s="4">
        <v>561215.0</v>
      </c>
      <c r="F192" s="6">
        <v>2.0</v>
      </c>
      <c r="G192" s="4" t="s">
        <v>1844</v>
      </c>
      <c r="H192" s="4" t="s">
        <v>1845</v>
      </c>
      <c r="I192" s="4">
        <v>510130.0</v>
      </c>
      <c r="J192" s="4" t="str">
        <f t="shared" si="1"/>
        <v>김상호8891</v>
      </c>
      <c r="K192" s="3" t="str">
        <f t="shared" si="2"/>
        <v>정상</v>
      </c>
      <c r="L192" s="4">
        <v>70000.0</v>
      </c>
      <c r="M192" s="4">
        <v>70000.0</v>
      </c>
      <c r="N192" s="4">
        <v>0.0</v>
      </c>
      <c r="O192" s="3"/>
      <c r="P192" s="3"/>
      <c r="Q192" s="3"/>
    </row>
    <row r="193">
      <c r="A193" s="5">
        <v>828.0</v>
      </c>
      <c r="B193" s="3" t="s">
        <v>1367</v>
      </c>
      <c r="C193" s="3" t="s">
        <v>1846</v>
      </c>
      <c r="D193" s="3" t="s">
        <v>1847</v>
      </c>
      <c r="E193" s="3">
        <v>490111.0</v>
      </c>
      <c r="F193" s="5">
        <v>2.0</v>
      </c>
      <c r="G193" s="3" t="s">
        <v>1844</v>
      </c>
      <c r="H193" s="3" t="s">
        <v>1848</v>
      </c>
      <c r="I193" s="3">
        <v>540715.0</v>
      </c>
      <c r="J193" s="4" t="str">
        <f t="shared" si="1"/>
        <v>유병용3101</v>
      </c>
      <c r="K193" s="3" t="str">
        <f t="shared" si="2"/>
        <v>정상</v>
      </c>
      <c r="L193" s="4">
        <v>70000.0</v>
      </c>
      <c r="M193" s="4">
        <v>70000.0</v>
      </c>
      <c r="N193" s="4">
        <v>0.0</v>
      </c>
      <c r="O193" s="3"/>
      <c r="P193" s="3"/>
      <c r="Q193" s="3"/>
    </row>
    <row r="194">
      <c r="A194" s="6">
        <v>238.0</v>
      </c>
      <c r="B194" s="4" t="s">
        <v>1438</v>
      </c>
      <c r="C194" s="4" t="s">
        <v>1849</v>
      </c>
      <c r="D194" s="4" t="s">
        <v>1850</v>
      </c>
      <c r="E194" s="4">
        <v>610112.0</v>
      </c>
      <c r="F194" s="6">
        <v>2.0</v>
      </c>
      <c r="G194" s="4" t="s">
        <v>1821</v>
      </c>
      <c r="H194" s="4" t="s">
        <v>1851</v>
      </c>
      <c r="I194" s="4">
        <v>660805.0</v>
      </c>
      <c r="J194" s="4" t="str">
        <f t="shared" si="1"/>
        <v>정효순7999</v>
      </c>
      <c r="K194" s="3" t="str">
        <f t="shared" si="2"/>
        <v>정상</v>
      </c>
      <c r="L194" s="4">
        <v>70000.0</v>
      </c>
      <c r="M194" s="4">
        <v>70000.0</v>
      </c>
      <c r="N194" s="4">
        <v>0.0</v>
      </c>
      <c r="O194" s="3"/>
      <c r="P194" s="3"/>
      <c r="Q194" s="3"/>
    </row>
    <row r="195">
      <c r="A195" s="6">
        <v>937.0</v>
      </c>
      <c r="B195" s="4" t="s">
        <v>1523</v>
      </c>
      <c r="C195" s="4" t="s">
        <v>1852</v>
      </c>
      <c r="D195" s="4" t="s">
        <v>1853</v>
      </c>
      <c r="E195" s="4">
        <v>570707.0</v>
      </c>
      <c r="F195" s="6">
        <v>2.0</v>
      </c>
      <c r="G195" s="4" t="s">
        <v>1854</v>
      </c>
      <c r="H195" s="4" t="s">
        <v>1855</v>
      </c>
      <c r="I195" s="4">
        <v>590227.0</v>
      </c>
      <c r="J195" s="4" t="str">
        <f t="shared" si="1"/>
        <v>이명희7767</v>
      </c>
      <c r="K195" s="3" t="str">
        <f t="shared" si="2"/>
        <v>정상</v>
      </c>
      <c r="L195" s="4">
        <v>70000.0</v>
      </c>
      <c r="M195" s="4">
        <v>70000.0</v>
      </c>
      <c r="N195" s="4">
        <v>0.0</v>
      </c>
      <c r="O195" s="3"/>
      <c r="P195" s="3"/>
      <c r="Q195" s="3"/>
    </row>
    <row r="196">
      <c r="A196" s="6">
        <v>226.0</v>
      </c>
      <c r="B196" s="4" t="s">
        <v>1575</v>
      </c>
      <c r="C196" s="4" t="s">
        <v>1856</v>
      </c>
      <c r="D196" s="4" t="s">
        <v>1857</v>
      </c>
      <c r="E196" s="4">
        <v>611208.0</v>
      </c>
      <c r="F196" s="6">
        <v>2.0</v>
      </c>
      <c r="G196" s="4" t="s">
        <v>1858</v>
      </c>
      <c r="H196" s="4" t="s">
        <v>1859</v>
      </c>
      <c r="I196" s="4">
        <v>650924.0</v>
      </c>
      <c r="J196" s="4" t="str">
        <f t="shared" si="1"/>
        <v>성명숙1208</v>
      </c>
      <c r="K196" s="3" t="str">
        <f t="shared" si="2"/>
        <v>정상</v>
      </c>
      <c r="L196" s="4">
        <v>70000.0</v>
      </c>
      <c r="M196" s="4">
        <v>70000.0</v>
      </c>
      <c r="N196" s="4">
        <v>0.0</v>
      </c>
    </row>
    <row r="197">
      <c r="A197" s="6">
        <v>202.0</v>
      </c>
      <c r="B197" s="4" t="s">
        <v>1109</v>
      </c>
      <c r="C197" s="4" t="s">
        <v>1860</v>
      </c>
      <c r="D197" s="4" t="s">
        <v>1861</v>
      </c>
      <c r="E197" s="4">
        <v>670425.0</v>
      </c>
      <c r="F197" s="6">
        <v>2.0</v>
      </c>
      <c r="G197" s="4" t="s">
        <v>1862</v>
      </c>
      <c r="H197" s="4" t="s">
        <v>1863</v>
      </c>
      <c r="I197" s="4">
        <v>660517.0</v>
      </c>
      <c r="J197" s="4" t="str">
        <f t="shared" si="1"/>
        <v>김미희8992</v>
      </c>
      <c r="K197" s="3" t="str">
        <f t="shared" si="2"/>
        <v>정상</v>
      </c>
      <c r="L197" s="4">
        <v>70000.0</v>
      </c>
      <c r="M197" s="4">
        <v>70000.0</v>
      </c>
      <c r="N197" s="4">
        <v>0.0</v>
      </c>
    </row>
    <row r="198">
      <c r="A198" s="6">
        <v>784.0</v>
      </c>
      <c r="B198" s="4" t="s">
        <v>1774</v>
      </c>
      <c r="C198" s="4" t="s">
        <v>1864</v>
      </c>
      <c r="D198" s="4" t="s">
        <v>1865</v>
      </c>
      <c r="E198" s="4">
        <v>621110.0</v>
      </c>
      <c r="F198" s="6">
        <v>2.0</v>
      </c>
      <c r="G198" s="4" t="s">
        <v>1866</v>
      </c>
      <c r="H198" s="4" t="s">
        <v>1867</v>
      </c>
      <c r="I198" s="4">
        <v>901225.0</v>
      </c>
      <c r="J198" s="4" t="str">
        <f t="shared" si="1"/>
        <v>장선애1384</v>
      </c>
      <c r="K198" s="3" t="str">
        <f t="shared" si="2"/>
        <v>정상</v>
      </c>
      <c r="L198" s="4">
        <v>70000.0</v>
      </c>
      <c r="M198" s="4">
        <v>70000.0</v>
      </c>
      <c r="N198" s="4">
        <v>0.0</v>
      </c>
    </row>
    <row r="199">
      <c r="A199" s="6">
        <v>1190.0</v>
      </c>
      <c r="B199" s="4" t="s">
        <v>1530</v>
      </c>
      <c r="C199" s="4" t="s">
        <v>1868</v>
      </c>
      <c r="D199" s="4" t="s">
        <v>1869</v>
      </c>
      <c r="E199" s="4">
        <v>601005.0</v>
      </c>
      <c r="F199" s="6">
        <v>2.0</v>
      </c>
      <c r="G199" s="4" t="s">
        <v>1870</v>
      </c>
      <c r="H199" s="4" t="s">
        <v>1871</v>
      </c>
      <c r="I199" s="4">
        <v>700224.0</v>
      </c>
      <c r="J199" s="4" t="str">
        <f t="shared" si="1"/>
        <v>신성규6024</v>
      </c>
      <c r="K199" s="3" t="str">
        <f t="shared" si="2"/>
        <v>정상</v>
      </c>
      <c r="L199" s="4">
        <v>70000.0</v>
      </c>
      <c r="M199" s="4">
        <v>70000.0</v>
      </c>
      <c r="N199" s="4">
        <v>0.0</v>
      </c>
    </row>
    <row r="200">
      <c r="A200" s="5">
        <v>914.0</v>
      </c>
      <c r="B200" s="3" t="s">
        <v>1872</v>
      </c>
      <c r="C200" s="3" t="s">
        <v>1873</v>
      </c>
      <c r="D200" s="3" t="s">
        <v>1874</v>
      </c>
      <c r="E200" s="3">
        <v>650825.0</v>
      </c>
      <c r="F200" s="5">
        <v>2.0</v>
      </c>
      <c r="G200" s="3" t="s">
        <v>1875</v>
      </c>
      <c r="H200" s="3" t="s">
        <v>1876</v>
      </c>
      <c r="I200" s="3">
        <v>610425.0</v>
      </c>
      <c r="J200" s="4" t="str">
        <f t="shared" si="1"/>
        <v>박진영9758</v>
      </c>
      <c r="K200" s="3" t="str">
        <f t="shared" si="2"/>
        <v>정상</v>
      </c>
      <c r="L200" s="4">
        <v>70000.0</v>
      </c>
      <c r="M200" s="4">
        <v>70000.0</v>
      </c>
      <c r="N200" s="4">
        <v>0.0</v>
      </c>
    </row>
    <row r="201">
      <c r="A201" s="6">
        <v>630.0</v>
      </c>
      <c r="B201" s="4" t="s">
        <v>1007</v>
      </c>
      <c r="C201" s="4" t="s">
        <v>1877</v>
      </c>
      <c r="D201" s="4" t="s">
        <v>1878</v>
      </c>
      <c r="E201" s="4">
        <v>700714.0</v>
      </c>
      <c r="F201" s="6">
        <v>2.0</v>
      </c>
      <c r="G201" s="4" t="s">
        <v>1879</v>
      </c>
      <c r="H201" s="4" t="s">
        <v>1880</v>
      </c>
      <c r="I201" s="4">
        <v>601212.0</v>
      </c>
      <c r="J201" s="4" t="str">
        <f t="shared" si="1"/>
        <v>한순애5381</v>
      </c>
      <c r="K201" s="3" t="str">
        <f t="shared" si="2"/>
        <v>정상</v>
      </c>
      <c r="L201" s="4">
        <v>70000.0</v>
      </c>
      <c r="M201" s="4">
        <v>70000.0</v>
      </c>
      <c r="N201" s="4">
        <v>0.0</v>
      </c>
    </row>
    <row r="202">
      <c r="A202" s="6">
        <v>247.0</v>
      </c>
      <c r="B202" s="4" t="s">
        <v>1410</v>
      </c>
      <c r="C202" s="4" t="s">
        <v>1881</v>
      </c>
      <c r="D202" s="4" t="s">
        <v>1882</v>
      </c>
      <c r="E202" s="4">
        <v>610905.0</v>
      </c>
      <c r="F202" s="6">
        <v>2.0</v>
      </c>
      <c r="G202" s="4" t="s">
        <v>1883</v>
      </c>
      <c r="H202" s="4" t="s">
        <v>1884</v>
      </c>
      <c r="I202" s="4">
        <v>660214.0</v>
      </c>
      <c r="J202" s="4" t="str">
        <f t="shared" si="1"/>
        <v>유영희0675</v>
      </c>
      <c r="K202" s="3" t="str">
        <f t="shared" si="2"/>
        <v>정상</v>
      </c>
      <c r="L202" s="4">
        <v>70000.0</v>
      </c>
      <c r="M202" s="4">
        <v>70000.0</v>
      </c>
      <c r="N202" s="4">
        <v>0.0</v>
      </c>
    </row>
    <row r="203">
      <c r="A203" s="6">
        <v>453.0</v>
      </c>
      <c r="B203" s="4" t="s">
        <v>1626</v>
      </c>
      <c r="C203" s="4" t="s">
        <v>1885</v>
      </c>
      <c r="D203" s="4" t="s">
        <v>1886</v>
      </c>
      <c r="E203" s="4">
        <v>900819.0</v>
      </c>
      <c r="F203" s="6">
        <v>2.0</v>
      </c>
      <c r="G203" s="4" t="s">
        <v>1887</v>
      </c>
      <c r="H203" s="4" t="s">
        <v>1888</v>
      </c>
      <c r="I203" s="4">
        <v>900414.0</v>
      </c>
      <c r="J203" s="4" t="str">
        <f t="shared" si="1"/>
        <v>신희철5511</v>
      </c>
      <c r="K203" s="3" t="str">
        <f t="shared" si="2"/>
        <v>정상</v>
      </c>
      <c r="L203" s="4">
        <v>70000.0</v>
      </c>
      <c r="M203" s="4">
        <v>70000.0</v>
      </c>
      <c r="N203" s="4">
        <v>0.0</v>
      </c>
    </row>
    <row r="204">
      <c r="A204" s="5">
        <v>1176.0</v>
      </c>
      <c r="B204" s="3" t="s">
        <v>1471</v>
      </c>
      <c r="C204" s="3" t="s">
        <v>1889</v>
      </c>
      <c r="D204" s="3" t="s">
        <v>1890</v>
      </c>
      <c r="E204" s="3">
        <v>600319.0</v>
      </c>
      <c r="F204" s="5">
        <v>2.0</v>
      </c>
      <c r="G204" s="3" t="s">
        <v>1891</v>
      </c>
      <c r="H204" s="3" t="s">
        <v>1892</v>
      </c>
      <c r="I204" s="3">
        <v>790915.0</v>
      </c>
      <c r="J204" s="4" t="str">
        <f t="shared" si="1"/>
        <v>이은숙2600</v>
      </c>
      <c r="K204" s="3" t="str">
        <f t="shared" si="2"/>
        <v>정상</v>
      </c>
      <c r="L204" s="4">
        <v>70000.0</v>
      </c>
      <c r="M204" s="4">
        <v>70000.0</v>
      </c>
      <c r="N204" s="4">
        <v>0.0</v>
      </c>
    </row>
    <row r="205">
      <c r="A205" s="6">
        <v>1020.0</v>
      </c>
      <c r="B205" s="4" t="s">
        <v>1062</v>
      </c>
      <c r="C205" s="4" t="s">
        <v>1893</v>
      </c>
      <c r="D205" s="4" t="s">
        <v>1894</v>
      </c>
      <c r="E205" s="4">
        <v>590217.0</v>
      </c>
      <c r="F205" s="6">
        <v>2.0</v>
      </c>
      <c r="G205" s="4" t="s">
        <v>1895</v>
      </c>
      <c r="H205" s="4" t="s">
        <v>1896</v>
      </c>
      <c r="I205" s="4">
        <v>610216.0</v>
      </c>
      <c r="J205" s="4" t="str">
        <f t="shared" si="1"/>
        <v>유혜경0368</v>
      </c>
      <c r="K205" s="3" t="str">
        <f t="shared" si="2"/>
        <v>정상</v>
      </c>
      <c r="L205" s="4">
        <v>70000.0</v>
      </c>
      <c r="M205" s="4">
        <v>70000.0</v>
      </c>
      <c r="N205" s="4">
        <v>0.0</v>
      </c>
    </row>
    <row r="206">
      <c r="A206" s="5">
        <v>560.0</v>
      </c>
      <c r="B206" s="3" t="s">
        <v>1255</v>
      </c>
      <c r="C206" s="3" t="s">
        <v>1897</v>
      </c>
      <c r="D206" s="3" t="s">
        <v>1898</v>
      </c>
      <c r="E206" s="3">
        <v>650214.0</v>
      </c>
      <c r="F206" s="5">
        <v>2.0</v>
      </c>
      <c r="G206" s="3" t="s">
        <v>1899</v>
      </c>
      <c r="H206" s="3" t="s">
        <v>1900</v>
      </c>
      <c r="I206" s="3">
        <v>631030.0</v>
      </c>
      <c r="J206" s="4" t="str">
        <f t="shared" si="1"/>
        <v>노영란3801</v>
      </c>
      <c r="K206" s="3" t="str">
        <f t="shared" si="2"/>
        <v>정상</v>
      </c>
      <c r="L206" s="4">
        <v>70000.0</v>
      </c>
      <c r="M206" s="4">
        <v>70000.0</v>
      </c>
      <c r="N206" s="4">
        <v>0.0</v>
      </c>
    </row>
    <row r="207">
      <c r="A207" s="6">
        <v>192.0</v>
      </c>
      <c r="B207" s="4" t="s">
        <v>1282</v>
      </c>
      <c r="C207" s="4" t="s">
        <v>1901</v>
      </c>
      <c r="D207" s="4" t="s">
        <v>1902</v>
      </c>
      <c r="E207" s="4">
        <v>601028.0</v>
      </c>
      <c r="F207" s="6">
        <v>2.0</v>
      </c>
      <c r="G207" s="4" t="s">
        <v>1903</v>
      </c>
      <c r="H207" s="4" t="s">
        <v>1904</v>
      </c>
      <c r="I207" s="4">
        <v>620424.0</v>
      </c>
      <c r="J207" s="4" t="str">
        <f t="shared" si="1"/>
        <v>이상즙8275</v>
      </c>
      <c r="K207" s="3" t="str">
        <f t="shared" si="2"/>
        <v>정상</v>
      </c>
      <c r="L207" s="4">
        <v>70000.0</v>
      </c>
      <c r="M207" s="4">
        <v>70000.0</v>
      </c>
      <c r="N207" s="4">
        <v>0.0</v>
      </c>
    </row>
    <row r="208">
      <c r="A208" s="6">
        <v>570.0</v>
      </c>
      <c r="B208" s="4" t="s">
        <v>1312</v>
      </c>
      <c r="C208" s="4" t="s">
        <v>1905</v>
      </c>
      <c r="D208" s="4" t="s">
        <v>1906</v>
      </c>
      <c r="E208" s="4">
        <v>550115.0</v>
      </c>
      <c r="F208" s="6">
        <v>2.0</v>
      </c>
      <c r="G208" s="4" t="s">
        <v>1907</v>
      </c>
      <c r="H208" s="4" t="s">
        <v>1908</v>
      </c>
      <c r="I208" s="4">
        <v>570617.0</v>
      </c>
      <c r="J208" s="4" t="str">
        <f t="shared" si="1"/>
        <v>이갑숙6767</v>
      </c>
      <c r="K208" s="3" t="str">
        <f t="shared" si="2"/>
        <v>정상</v>
      </c>
      <c r="L208" s="4">
        <v>70000.0</v>
      </c>
      <c r="M208" s="4">
        <v>70000.0</v>
      </c>
      <c r="N208" s="4">
        <v>0.0</v>
      </c>
    </row>
    <row r="209">
      <c r="A209" s="6">
        <v>587.0</v>
      </c>
      <c r="B209" s="4" t="s">
        <v>1372</v>
      </c>
      <c r="C209" s="4" t="s">
        <v>1909</v>
      </c>
      <c r="D209" s="4" t="s">
        <v>1910</v>
      </c>
      <c r="E209" s="4">
        <v>690201.0</v>
      </c>
      <c r="F209" s="6">
        <v>2.0</v>
      </c>
      <c r="G209" s="4" t="s">
        <v>1911</v>
      </c>
      <c r="H209" s="4" t="s">
        <v>1912</v>
      </c>
      <c r="I209" s="4">
        <v>561105.0</v>
      </c>
      <c r="J209" s="4" t="str">
        <f t="shared" si="1"/>
        <v>윤은숙1890</v>
      </c>
      <c r="K209" s="3" t="str">
        <f t="shared" si="2"/>
        <v>정상</v>
      </c>
      <c r="L209" s="4">
        <v>70000.0</v>
      </c>
      <c r="M209" s="4">
        <v>70000.0</v>
      </c>
      <c r="N209" s="4">
        <v>0.0</v>
      </c>
    </row>
    <row r="210">
      <c r="A210" s="6">
        <v>778.0</v>
      </c>
      <c r="B210" s="4" t="s">
        <v>1774</v>
      </c>
      <c r="C210" s="4" t="s">
        <v>1913</v>
      </c>
      <c r="D210" s="4" t="s">
        <v>1914</v>
      </c>
      <c r="E210" s="4">
        <v>30310.0</v>
      </c>
      <c r="F210" s="6">
        <v>2.0</v>
      </c>
      <c r="G210" s="4" t="s">
        <v>1915</v>
      </c>
      <c r="H210" s="4" t="s">
        <v>1916</v>
      </c>
      <c r="I210" s="4">
        <v>740316.0</v>
      </c>
      <c r="J210" s="4" t="str">
        <f t="shared" si="1"/>
        <v>김민지8930</v>
      </c>
      <c r="K210" s="3" t="str">
        <f t="shared" si="2"/>
        <v>정상</v>
      </c>
      <c r="L210" s="4">
        <v>70000.0</v>
      </c>
      <c r="M210" s="4">
        <v>70000.0</v>
      </c>
      <c r="N210" s="4">
        <v>0.0</v>
      </c>
    </row>
    <row r="211">
      <c r="A211" s="6">
        <v>646.0</v>
      </c>
      <c r="B211" s="4" t="s">
        <v>1007</v>
      </c>
      <c r="C211" s="4" t="s">
        <v>1917</v>
      </c>
      <c r="D211" s="4" t="s">
        <v>1918</v>
      </c>
      <c r="E211" s="4">
        <v>540406.0</v>
      </c>
      <c r="F211" s="6">
        <v>2.0</v>
      </c>
      <c r="G211" s="4" t="s">
        <v>1919</v>
      </c>
      <c r="H211" s="4" t="s">
        <v>1920</v>
      </c>
      <c r="I211" s="4">
        <v>540615.0</v>
      </c>
      <c r="J211" s="4" t="str">
        <f t="shared" si="1"/>
        <v>노주원1954</v>
      </c>
      <c r="K211" s="3" t="str">
        <f t="shared" si="2"/>
        <v>정상</v>
      </c>
      <c r="L211" s="4">
        <v>70000.0</v>
      </c>
      <c r="M211" s="4">
        <v>70000.0</v>
      </c>
      <c r="N211" s="4">
        <v>0.0</v>
      </c>
    </row>
    <row r="212">
      <c r="A212" s="6">
        <v>538.0</v>
      </c>
      <c r="B212" s="4" t="s">
        <v>1713</v>
      </c>
      <c r="C212" s="4" t="s">
        <v>1921</v>
      </c>
      <c r="D212" s="4" t="s">
        <v>1922</v>
      </c>
      <c r="E212" s="4">
        <v>750423.0</v>
      </c>
      <c r="F212" s="6">
        <v>2.0</v>
      </c>
      <c r="G212" s="4" t="s">
        <v>1923</v>
      </c>
      <c r="H212" s="4" t="s">
        <v>1924</v>
      </c>
      <c r="I212" s="4">
        <v>90911.0</v>
      </c>
      <c r="J212" s="4" t="str">
        <f t="shared" si="1"/>
        <v>최윤희0580</v>
      </c>
      <c r="K212" s="3" t="str">
        <f t="shared" si="2"/>
        <v>정상</v>
      </c>
      <c r="L212" s="4">
        <v>70000.0</v>
      </c>
      <c r="M212" s="4">
        <v>70000.0</v>
      </c>
      <c r="N212" s="4">
        <v>0.0</v>
      </c>
    </row>
    <row r="213">
      <c r="A213" s="6">
        <v>511.0</v>
      </c>
      <c r="B213" s="4" t="s">
        <v>1095</v>
      </c>
      <c r="C213" s="4" t="s">
        <v>1925</v>
      </c>
      <c r="D213" s="4" t="s">
        <v>1926</v>
      </c>
      <c r="E213" s="4">
        <v>790822.0</v>
      </c>
      <c r="F213" s="6">
        <v>2.0</v>
      </c>
      <c r="G213" s="4" t="s">
        <v>1927</v>
      </c>
      <c r="H213" s="4" t="s">
        <v>1928</v>
      </c>
      <c r="I213" s="4">
        <v>491013.0</v>
      </c>
      <c r="J213" s="4" t="str">
        <f t="shared" si="1"/>
        <v>김가연9115</v>
      </c>
      <c r="K213" s="3" t="str">
        <f t="shared" si="2"/>
        <v>정상</v>
      </c>
      <c r="L213" s="4">
        <v>70000.0</v>
      </c>
      <c r="M213" s="4">
        <v>70000.0</v>
      </c>
      <c r="N213" s="4">
        <v>0.0</v>
      </c>
    </row>
    <row r="214">
      <c r="A214" s="6">
        <v>354.0</v>
      </c>
      <c r="B214" s="4" t="s">
        <v>1032</v>
      </c>
      <c r="C214" s="4" t="s">
        <v>1929</v>
      </c>
      <c r="D214" s="4" t="s">
        <v>1930</v>
      </c>
      <c r="E214" s="4">
        <v>550726.0</v>
      </c>
      <c r="F214" s="6">
        <v>2.0</v>
      </c>
      <c r="G214" s="4" t="s">
        <v>1931</v>
      </c>
      <c r="H214" s="4" t="s">
        <v>1932</v>
      </c>
      <c r="I214" s="4">
        <v>771031.0</v>
      </c>
      <c r="J214" s="4" t="str">
        <f t="shared" si="1"/>
        <v>유순옥7104</v>
      </c>
      <c r="K214" s="3" t="str">
        <f t="shared" si="2"/>
        <v>정상</v>
      </c>
      <c r="L214" s="4">
        <v>70000.0</v>
      </c>
      <c r="M214" s="4">
        <v>70000.0</v>
      </c>
      <c r="N214" s="4">
        <v>0.0</v>
      </c>
    </row>
    <row r="215">
      <c r="A215" s="5">
        <v>232.0</v>
      </c>
      <c r="B215" s="3" t="s">
        <v>1933</v>
      </c>
      <c r="C215" s="3" t="s">
        <v>1934</v>
      </c>
      <c r="D215" s="3" t="s">
        <v>1935</v>
      </c>
      <c r="E215" s="3">
        <v>930623.0</v>
      </c>
      <c r="F215" s="5">
        <v>2.0</v>
      </c>
      <c r="G215" s="3" t="s">
        <v>1936</v>
      </c>
      <c r="H215" s="3" t="s">
        <v>1937</v>
      </c>
      <c r="I215" s="3">
        <v>940404.0</v>
      </c>
      <c r="J215" s="4" t="str">
        <f t="shared" si="1"/>
        <v>장신영7244</v>
      </c>
      <c r="K215" s="3" t="str">
        <f t="shared" si="2"/>
        <v>정상</v>
      </c>
      <c r="L215" s="4">
        <v>70000.0</v>
      </c>
      <c r="M215" s="4">
        <v>70000.0</v>
      </c>
      <c r="N215" s="4">
        <v>0.0</v>
      </c>
    </row>
    <row r="216">
      <c r="A216" s="6">
        <v>776.0</v>
      </c>
      <c r="B216" s="4" t="s">
        <v>1292</v>
      </c>
      <c r="C216" s="4" t="s">
        <v>1938</v>
      </c>
      <c r="D216" s="4" t="s">
        <v>1939</v>
      </c>
      <c r="E216" s="4">
        <v>560211.0</v>
      </c>
      <c r="F216" s="6">
        <v>2.0</v>
      </c>
      <c r="G216" s="4" t="s">
        <v>1940</v>
      </c>
      <c r="H216" s="4" t="s">
        <v>1941</v>
      </c>
      <c r="I216" s="4">
        <v>781008.0</v>
      </c>
      <c r="J216" s="4" t="str">
        <f t="shared" si="1"/>
        <v>현해시5421</v>
      </c>
      <c r="K216" s="3" t="str">
        <f t="shared" si="2"/>
        <v>정상</v>
      </c>
      <c r="L216" s="4">
        <v>70000.0</v>
      </c>
      <c r="M216" s="4">
        <v>70000.0</v>
      </c>
      <c r="N216" s="4">
        <v>0.0</v>
      </c>
    </row>
    <row r="217">
      <c r="A217" s="6">
        <v>1237.0</v>
      </c>
      <c r="B217" s="4" t="s">
        <v>1209</v>
      </c>
      <c r="C217" s="4" t="s">
        <v>1942</v>
      </c>
      <c r="D217" s="4" t="s">
        <v>1943</v>
      </c>
      <c r="E217" s="4">
        <v>740826.0</v>
      </c>
      <c r="F217" s="6">
        <v>2.0</v>
      </c>
      <c r="G217" s="4" t="s">
        <v>1944</v>
      </c>
      <c r="H217" s="4" t="s">
        <v>1945</v>
      </c>
      <c r="I217" s="4">
        <v>420130.0</v>
      </c>
      <c r="J217" s="4" t="str">
        <f t="shared" si="1"/>
        <v>양경6832</v>
      </c>
      <c r="K217" s="3" t="str">
        <f t="shared" si="2"/>
        <v>정상</v>
      </c>
      <c r="L217" s="4">
        <v>70000.0</v>
      </c>
      <c r="M217" s="4">
        <v>70000.0</v>
      </c>
      <c r="N217" s="4">
        <v>0.0</v>
      </c>
    </row>
    <row r="218">
      <c r="A218" s="5">
        <v>838.0</v>
      </c>
      <c r="B218" s="3" t="s">
        <v>1588</v>
      </c>
      <c r="C218" s="3" t="s">
        <v>1946</v>
      </c>
      <c r="D218" s="3" t="s">
        <v>1947</v>
      </c>
      <c r="E218" s="3">
        <v>540303.0</v>
      </c>
      <c r="F218" s="5">
        <v>2.0</v>
      </c>
      <c r="G218" s="3" t="s">
        <v>1948</v>
      </c>
      <c r="H218" s="3" t="s">
        <v>1949</v>
      </c>
      <c r="I218" s="3">
        <v>540613.0</v>
      </c>
      <c r="J218" s="4" t="str">
        <f t="shared" si="1"/>
        <v>한상언6103</v>
      </c>
      <c r="K218" s="3" t="str">
        <f t="shared" si="2"/>
        <v>정상</v>
      </c>
      <c r="L218" s="4">
        <v>70000.0</v>
      </c>
      <c r="M218" s="4">
        <v>70000.0</v>
      </c>
      <c r="N218" s="4">
        <v>0.0</v>
      </c>
    </row>
    <row r="219">
      <c r="A219" s="6">
        <v>302.0</v>
      </c>
      <c r="B219" s="4" t="s">
        <v>1950</v>
      </c>
      <c r="C219" s="4" t="s">
        <v>1951</v>
      </c>
      <c r="D219" s="4" t="s">
        <v>1952</v>
      </c>
      <c r="E219" s="4">
        <v>550506.0</v>
      </c>
      <c r="F219" s="6">
        <v>2.0</v>
      </c>
      <c r="G219" s="4" t="s">
        <v>1953</v>
      </c>
      <c r="H219" s="4" t="s">
        <v>1954</v>
      </c>
      <c r="I219" s="4">
        <v>570715.0</v>
      </c>
      <c r="J219" s="4" t="str">
        <f t="shared" si="1"/>
        <v>나순복1188</v>
      </c>
      <c r="K219" s="3" t="str">
        <f t="shared" si="2"/>
        <v>정상</v>
      </c>
      <c r="L219" s="4">
        <v>70000.0</v>
      </c>
      <c r="M219" s="4">
        <v>70000.0</v>
      </c>
      <c r="N219" s="4">
        <v>0.0</v>
      </c>
    </row>
    <row r="220">
      <c r="A220" s="5">
        <v>1219.0</v>
      </c>
      <c r="B220" s="3" t="s">
        <v>1454</v>
      </c>
      <c r="C220" s="3" t="s">
        <v>1955</v>
      </c>
      <c r="D220" s="3" t="s">
        <v>1956</v>
      </c>
      <c r="E220" s="3">
        <v>620513.0</v>
      </c>
      <c r="F220" s="5">
        <v>2.0</v>
      </c>
      <c r="G220" s="3" t="s">
        <v>1957</v>
      </c>
      <c r="H220" s="3" t="s">
        <v>1958</v>
      </c>
      <c r="I220" s="3">
        <v>400504.0</v>
      </c>
      <c r="J220" s="4" t="str">
        <f t="shared" si="1"/>
        <v>이영희9086</v>
      </c>
      <c r="K220" s="3" t="str">
        <f t="shared" si="2"/>
        <v>정상</v>
      </c>
      <c r="L220" s="4">
        <v>70000.0</v>
      </c>
      <c r="M220" s="4">
        <v>70000.0</v>
      </c>
      <c r="N220" s="4">
        <v>0.0</v>
      </c>
    </row>
    <row r="221">
      <c r="A221" s="5">
        <v>225.0</v>
      </c>
      <c r="B221" s="3" t="s">
        <v>1575</v>
      </c>
      <c r="C221" s="3" t="s">
        <v>1959</v>
      </c>
      <c r="D221" s="3" t="s">
        <v>1960</v>
      </c>
      <c r="E221" s="3">
        <v>940811.0</v>
      </c>
      <c r="F221" s="5">
        <v>2.0</v>
      </c>
      <c r="G221" s="3" t="s">
        <v>1961</v>
      </c>
      <c r="H221" s="3" t="s">
        <v>1962</v>
      </c>
      <c r="I221" s="3">
        <v>641218.0</v>
      </c>
      <c r="J221" s="4" t="str">
        <f t="shared" si="1"/>
        <v>정명지3360</v>
      </c>
      <c r="K221" s="3" t="str">
        <f t="shared" si="2"/>
        <v>정상</v>
      </c>
      <c r="L221" s="4">
        <v>70000.0</v>
      </c>
      <c r="M221" s="4">
        <v>70000.0</v>
      </c>
      <c r="N221" s="4">
        <v>0.0</v>
      </c>
    </row>
    <row r="222">
      <c r="A222" s="6">
        <v>813.0</v>
      </c>
      <c r="B222" s="4" t="s">
        <v>1232</v>
      </c>
      <c r="C222" s="4" t="s">
        <v>1963</v>
      </c>
      <c r="D222" s="4" t="s">
        <v>1964</v>
      </c>
      <c r="E222" s="4">
        <v>541225.0</v>
      </c>
      <c r="F222" s="6">
        <v>2.0</v>
      </c>
      <c r="G222" s="4" t="s">
        <v>1965</v>
      </c>
      <c r="H222" s="4" t="s">
        <v>1966</v>
      </c>
      <c r="I222" s="4">
        <v>540222.0</v>
      </c>
      <c r="J222" s="4" t="str">
        <f t="shared" si="1"/>
        <v>신병천7420</v>
      </c>
      <c r="K222" s="3" t="str">
        <f t="shared" si="2"/>
        <v>정상</v>
      </c>
      <c r="L222" s="4">
        <v>70000.0</v>
      </c>
      <c r="M222" s="4">
        <v>70000.0</v>
      </c>
      <c r="N222" s="4">
        <v>0.0</v>
      </c>
    </row>
    <row r="223">
      <c r="A223" s="6">
        <v>854.0</v>
      </c>
      <c r="B223" s="4" t="s">
        <v>1967</v>
      </c>
      <c r="C223" s="4" t="s">
        <v>1968</v>
      </c>
      <c r="D223" s="4" t="s">
        <v>1969</v>
      </c>
      <c r="E223" s="4">
        <v>630418.0</v>
      </c>
      <c r="F223" s="6">
        <v>2.0</v>
      </c>
      <c r="G223" s="4" t="s">
        <v>1970</v>
      </c>
      <c r="H223" s="4" t="s">
        <v>1971</v>
      </c>
      <c r="I223" s="4">
        <v>740312.0</v>
      </c>
      <c r="J223" s="4" t="str">
        <f t="shared" si="1"/>
        <v>천현우1029</v>
      </c>
      <c r="K223" s="3" t="str">
        <f t="shared" si="2"/>
        <v>정상</v>
      </c>
      <c r="L223" s="4">
        <v>70000.0</v>
      </c>
      <c r="M223" s="4">
        <v>70000.0</v>
      </c>
      <c r="N223" s="4">
        <v>0.0</v>
      </c>
    </row>
    <row r="224">
      <c r="A224" s="6">
        <v>602.0</v>
      </c>
      <c r="B224" s="4" t="s">
        <v>1219</v>
      </c>
      <c r="C224" s="4" t="s">
        <v>1972</v>
      </c>
      <c r="D224" s="4" t="s">
        <v>1973</v>
      </c>
      <c r="E224" s="4">
        <v>651214.0</v>
      </c>
      <c r="F224" s="6">
        <v>2.0</v>
      </c>
      <c r="G224" s="4" t="s">
        <v>1974</v>
      </c>
      <c r="H224" s="4" t="s">
        <v>1975</v>
      </c>
      <c r="I224" s="4">
        <v>950623.0</v>
      </c>
      <c r="J224" s="4" t="str">
        <f t="shared" si="1"/>
        <v>박재희8104</v>
      </c>
      <c r="K224" s="3" t="str">
        <f t="shared" si="2"/>
        <v>정상</v>
      </c>
      <c r="L224" s="4">
        <v>70000.0</v>
      </c>
      <c r="M224" s="4">
        <v>70000.0</v>
      </c>
      <c r="N224" s="4">
        <v>0.0</v>
      </c>
    </row>
    <row r="225">
      <c r="A225" s="6">
        <v>435.0</v>
      </c>
      <c r="B225" s="4" t="s">
        <v>1976</v>
      </c>
      <c r="C225" s="4" t="s">
        <v>1977</v>
      </c>
      <c r="D225" s="4" t="s">
        <v>1978</v>
      </c>
      <c r="E225" s="4">
        <v>570901.0</v>
      </c>
      <c r="F225" s="6">
        <v>2.0</v>
      </c>
      <c r="G225" s="4" t="s">
        <v>1979</v>
      </c>
      <c r="H225" s="4" t="s">
        <v>1980</v>
      </c>
      <c r="I225" s="4">
        <v>620310.0</v>
      </c>
      <c r="J225" s="4" t="str">
        <f t="shared" si="1"/>
        <v>가재연6413</v>
      </c>
      <c r="K225" s="3" t="str">
        <f t="shared" si="2"/>
        <v>정상</v>
      </c>
      <c r="L225" s="4">
        <v>70000.0</v>
      </c>
      <c r="M225" s="4">
        <v>70000.0</v>
      </c>
      <c r="N225" s="4">
        <v>0.0</v>
      </c>
    </row>
    <row r="226">
      <c r="A226" s="6">
        <v>132.0</v>
      </c>
      <c r="B226" s="4" t="s">
        <v>1981</v>
      </c>
      <c r="C226" s="4" t="s">
        <v>1982</v>
      </c>
      <c r="D226" s="4" t="s">
        <v>1983</v>
      </c>
      <c r="E226" s="4">
        <v>720115.0</v>
      </c>
      <c r="F226" s="6">
        <v>2.0</v>
      </c>
      <c r="G226" s="4" t="s">
        <v>1984</v>
      </c>
      <c r="H226" s="4" t="s">
        <v>1985</v>
      </c>
      <c r="I226" s="4">
        <v>550303.0</v>
      </c>
      <c r="J226" s="4" t="str">
        <f t="shared" si="1"/>
        <v>박유순8098</v>
      </c>
      <c r="K226" s="3" t="str">
        <f t="shared" si="2"/>
        <v>정상</v>
      </c>
      <c r="L226" s="4">
        <v>70000.0</v>
      </c>
      <c r="M226" s="4">
        <v>70000.0</v>
      </c>
      <c r="N226" s="4">
        <v>0.0</v>
      </c>
    </row>
    <row r="227">
      <c r="A227" s="5">
        <v>1175.0</v>
      </c>
      <c r="B227" s="3" t="s">
        <v>1471</v>
      </c>
      <c r="C227" s="3" t="s">
        <v>1986</v>
      </c>
      <c r="D227" s="3" t="s">
        <v>1987</v>
      </c>
      <c r="E227" s="3">
        <v>600315.0</v>
      </c>
      <c r="F227" s="5">
        <v>2.0</v>
      </c>
      <c r="G227" s="3" t="s">
        <v>1988</v>
      </c>
      <c r="H227" s="3" t="s">
        <v>1989</v>
      </c>
      <c r="I227" s="3">
        <v>610307.0</v>
      </c>
      <c r="J227" s="4" t="str">
        <f t="shared" si="1"/>
        <v>이춘희6530</v>
      </c>
      <c r="K227" s="3" t="str">
        <f t="shared" si="2"/>
        <v>정상</v>
      </c>
      <c r="L227" s="4">
        <v>70000.0</v>
      </c>
      <c r="M227" s="4">
        <v>70000.0</v>
      </c>
      <c r="N227" s="4">
        <v>0.0</v>
      </c>
    </row>
    <row r="228">
      <c r="A228" s="5">
        <v>731.0</v>
      </c>
      <c r="B228" s="3" t="s">
        <v>1335</v>
      </c>
      <c r="C228" s="3" t="s">
        <v>1990</v>
      </c>
      <c r="D228" s="3" t="s">
        <v>1991</v>
      </c>
      <c r="E228" s="3">
        <v>660402.0</v>
      </c>
      <c r="F228" s="5">
        <v>2.0</v>
      </c>
      <c r="G228" s="3" t="s">
        <v>1992</v>
      </c>
      <c r="H228" s="3" t="s">
        <v>1993</v>
      </c>
      <c r="I228" s="3">
        <v>700901.0</v>
      </c>
      <c r="J228" s="4" t="str">
        <f t="shared" si="1"/>
        <v>조원석8398</v>
      </c>
      <c r="K228" s="3" t="str">
        <f t="shared" si="2"/>
        <v>정상</v>
      </c>
      <c r="L228" s="4">
        <v>70000.0</v>
      </c>
      <c r="M228" s="4">
        <v>70000.0</v>
      </c>
      <c r="N228" s="4">
        <v>0.0</v>
      </c>
    </row>
    <row r="229">
      <c r="A229" s="6">
        <v>697.0</v>
      </c>
      <c r="B229" s="4" t="s">
        <v>1245</v>
      </c>
      <c r="C229" s="4" t="s">
        <v>1994</v>
      </c>
      <c r="D229" s="4" t="s">
        <v>1995</v>
      </c>
      <c r="E229" s="4">
        <v>780216.0</v>
      </c>
      <c r="F229" s="6">
        <v>2.0</v>
      </c>
      <c r="G229" s="4" t="s">
        <v>1996</v>
      </c>
      <c r="H229" s="4" t="s">
        <v>1997</v>
      </c>
      <c r="I229" s="4">
        <v>820120.0</v>
      </c>
      <c r="J229" s="4" t="str">
        <f t="shared" si="1"/>
        <v>고은혜7179</v>
      </c>
      <c r="K229" s="3" t="str">
        <f t="shared" si="2"/>
        <v>정상</v>
      </c>
      <c r="L229" s="4">
        <v>70000.0</v>
      </c>
      <c r="M229" s="4">
        <v>70000.0</v>
      </c>
      <c r="N229" s="4">
        <v>0.0</v>
      </c>
    </row>
    <row r="230">
      <c r="A230" s="6">
        <v>160.0</v>
      </c>
      <c r="B230" s="4" t="s">
        <v>1287</v>
      </c>
      <c r="C230" s="4" t="s">
        <v>1998</v>
      </c>
      <c r="D230" s="4" t="s">
        <v>1999</v>
      </c>
      <c r="E230" s="4">
        <v>571207.0</v>
      </c>
      <c r="F230" s="6">
        <v>2.0</v>
      </c>
      <c r="G230" s="4" t="s">
        <v>2000</v>
      </c>
      <c r="H230" s="4" t="s">
        <v>2001</v>
      </c>
      <c r="I230" s="4">
        <v>531021.0</v>
      </c>
      <c r="J230" s="4" t="str">
        <f t="shared" si="1"/>
        <v>신희자8624</v>
      </c>
      <c r="K230" s="3" t="str">
        <f t="shared" si="2"/>
        <v>정상</v>
      </c>
      <c r="L230" s="4">
        <v>70000.0</v>
      </c>
      <c r="M230" s="4">
        <v>70000.0</v>
      </c>
      <c r="N230" s="4">
        <v>0.0</v>
      </c>
    </row>
    <row r="231">
      <c r="A231" s="6">
        <v>463.0</v>
      </c>
      <c r="B231" s="4" t="s">
        <v>1626</v>
      </c>
      <c r="C231" s="4" t="s">
        <v>2002</v>
      </c>
      <c r="D231" s="4" t="s">
        <v>2003</v>
      </c>
      <c r="E231" s="4">
        <v>600919.0</v>
      </c>
      <c r="F231" s="6">
        <v>2.0</v>
      </c>
      <c r="G231" s="4" t="s">
        <v>2004</v>
      </c>
      <c r="H231" s="4" t="s">
        <v>2005</v>
      </c>
      <c r="I231" s="4">
        <v>560529.0</v>
      </c>
      <c r="J231" s="4" t="str">
        <f t="shared" si="1"/>
        <v>고인숙9527</v>
      </c>
      <c r="K231" s="3" t="str">
        <f t="shared" si="2"/>
        <v>정상</v>
      </c>
      <c r="L231" s="4">
        <v>70000.0</v>
      </c>
      <c r="M231" s="4">
        <v>70000.0</v>
      </c>
      <c r="N231" s="4">
        <v>0.0</v>
      </c>
    </row>
    <row r="232">
      <c r="A232" s="6">
        <v>458.0</v>
      </c>
      <c r="B232" s="4" t="s">
        <v>1626</v>
      </c>
      <c r="C232" s="4" t="s">
        <v>2006</v>
      </c>
      <c r="D232" s="4" t="s">
        <v>2007</v>
      </c>
      <c r="E232" s="4">
        <v>480415.0</v>
      </c>
      <c r="F232" s="6">
        <v>2.0</v>
      </c>
      <c r="G232" s="4" t="s">
        <v>2008</v>
      </c>
      <c r="H232" s="4" t="s">
        <v>2009</v>
      </c>
      <c r="I232" s="4">
        <v>480701.0</v>
      </c>
      <c r="J232" s="4" t="str">
        <f t="shared" si="1"/>
        <v>윤정숙3328</v>
      </c>
      <c r="K232" s="3" t="str">
        <f t="shared" si="2"/>
        <v>정상</v>
      </c>
      <c r="L232" s="4">
        <v>70000.0</v>
      </c>
      <c r="M232" s="4">
        <v>70000.0</v>
      </c>
      <c r="N232" s="4">
        <v>0.0</v>
      </c>
    </row>
    <row r="233">
      <c r="A233" s="6">
        <v>337.0</v>
      </c>
      <c r="B233" s="4" t="s">
        <v>1052</v>
      </c>
      <c r="C233" s="4" t="s">
        <v>2010</v>
      </c>
      <c r="D233" s="4" t="s">
        <v>2011</v>
      </c>
      <c r="E233" s="4">
        <v>630527.0</v>
      </c>
      <c r="F233" s="6">
        <v>2.0</v>
      </c>
      <c r="G233" s="4" t="s">
        <v>2012</v>
      </c>
      <c r="H233" s="4" t="s">
        <v>2013</v>
      </c>
      <c r="I233" s="4">
        <v>720717.0</v>
      </c>
      <c r="J233" s="4" t="str">
        <f t="shared" si="1"/>
        <v>오효근6604</v>
      </c>
      <c r="K233" s="3" t="str">
        <f t="shared" si="2"/>
        <v>정상</v>
      </c>
      <c r="L233" s="4">
        <v>70000.0</v>
      </c>
      <c r="M233" s="4">
        <v>70000.0</v>
      </c>
      <c r="N233" s="4">
        <v>0.0</v>
      </c>
    </row>
    <row r="234">
      <c r="A234" s="6">
        <v>138.0</v>
      </c>
      <c r="B234" s="4" t="s">
        <v>1204</v>
      </c>
      <c r="C234" s="4" t="s">
        <v>2014</v>
      </c>
      <c r="D234" s="4" t="s">
        <v>2015</v>
      </c>
      <c r="E234" s="4">
        <v>740707.0</v>
      </c>
      <c r="F234" s="6">
        <v>2.0</v>
      </c>
      <c r="G234" s="4" t="s">
        <v>2016</v>
      </c>
      <c r="H234" s="4" t="s">
        <v>2017</v>
      </c>
      <c r="I234" s="4">
        <v>740716.0</v>
      </c>
      <c r="J234" s="4" t="str">
        <f t="shared" si="1"/>
        <v>박찬욱8670</v>
      </c>
      <c r="K234" s="3" t="str">
        <f t="shared" si="2"/>
        <v>정상</v>
      </c>
      <c r="L234" s="4">
        <v>70000.0</v>
      </c>
      <c r="M234" s="4">
        <v>70000.0</v>
      </c>
      <c r="N234" s="4">
        <v>0.0</v>
      </c>
    </row>
    <row r="235">
      <c r="A235" s="6">
        <v>902.0</v>
      </c>
      <c r="B235" s="4" t="s">
        <v>1872</v>
      </c>
      <c r="C235" s="4" t="s">
        <v>2018</v>
      </c>
      <c r="D235" s="4" t="s">
        <v>2019</v>
      </c>
      <c r="E235" s="4">
        <v>620220.0</v>
      </c>
      <c r="F235" s="6">
        <v>2.0</v>
      </c>
      <c r="G235" s="4" t="s">
        <v>1030</v>
      </c>
      <c r="H235" s="4" t="s">
        <v>2020</v>
      </c>
      <c r="I235" s="4">
        <v>541113.0</v>
      </c>
      <c r="J235" s="4" t="str">
        <f t="shared" si="1"/>
        <v>황성화0236</v>
      </c>
      <c r="K235" s="3" t="str">
        <f t="shared" si="2"/>
        <v>정상</v>
      </c>
      <c r="L235" s="4">
        <v>70000.0</v>
      </c>
      <c r="M235" s="4">
        <v>70000.0</v>
      </c>
      <c r="N235" s="4">
        <v>0.0</v>
      </c>
    </row>
    <row r="236">
      <c r="A236" s="5">
        <v>931.0</v>
      </c>
      <c r="B236" s="3" t="s">
        <v>1001</v>
      </c>
      <c r="C236" s="3" t="s">
        <v>2021</v>
      </c>
      <c r="D236" s="3" t="s">
        <v>2022</v>
      </c>
      <c r="E236" s="3">
        <v>581115.0</v>
      </c>
      <c r="F236" s="5">
        <v>2.0</v>
      </c>
      <c r="G236" s="3" t="s">
        <v>2023</v>
      </c>
      <c r="H236" s="3" t="s">
        <v>2024</v>
      </c>
      <c r="I236" s="3">
        <v>630912.0</v>
      </c>
      <c r="J236" s="4" t="str">
        <f t="shared" si="1"/>
        <v>진승엽3879</v>
      </c>
      <c r="K236" s="3" t="str">
        <f t="shared" si="2"/>
        <v>정상</v>
      </c>
      <c r="L236" s="4">
        <v>70000.0</v>
      </c>
      <c r="M236" s="4">
        <v>70000.0</v>
      </c>
      <c r="N236" s="4">
        <v>0.0</v>
      </c>
    </row>
    <row r="237">
      <c r="A237" s="6">
        <v>744.0</v>
      </c>
      <c r="B237" s="4" t="s">
        <v>1057</v>
      </c>
      <c r="C237" s="4" t="s">
        <v>2025</v>
      </c>
      <c r="D237" s="4" t="s">
        <v>2026</v>
      </c>
      <c r="E237" s="4">
        <v>670325.0</v>
      </c>
      <c r="F237" s="6">
        <v>2.0</v>
      </c>
      <c r="G237" s="4" t="s">
        <v>2027</v>
      </c>
      <c r="H237" s="4" t="s">
        <v>2028</v>
      </c>
      <c r="I237" s="4">
        <v>610215.0</v>
      </c>
      <c r="J237" s="4" t="str">
        <f t="shared" si="1"/>
        <v>황재숙8331</v>
      </c>
      <c r="K237" s="3" t="str">
        <f t="shared" si="2"/>
        <v>정상</v>
      </c>
      <c r="L237" s="4">
        <v>70000.0</v>
      </c>
      <c r="M237" s="4">
        <v>70000.0</v>
      </c>
      <c r="N237" s="4">
        <v>0.0</v>
      </c>
    </row>
    <row r="238">
      <c r="A238" s="6">
        <v>830.0</v>
      </c>
      <c r="B238" s="4" t="s">
        <v>1367</v>
      </c>
      <c r="C238" s="4" t="s">
        <v>2029</v>
      </c>
      <c r="D238" s="4" t="s">
        <v>2030</v>
      </c>
      <c r="E238" s="4">
        <v>750215.0</v>
      </c>
      <c r="F238" s="6">
        <v>2.0</v>
      </c>
      <c r="G238" s="4" t="s">
        <v>2031</v>
      </c>
      <c r="H238" s="4" t="s">
        <v>2032</v>
      </c>
      <c r="I238" s="4">
        <v>731016.0</v>
      </c>
      <c r="J238" s="4" t="str">
        <f t="shared" si="1"/>
        <v>문은경2864</v>
      </c>
      <c r="K238" s="3" t="str">
        <f t="shared" si="2"/>
        <v>정상</v>
      </c>
      <c r="L238" s="4">
        <v>70000.0</v>
      </c>
      <c r="M238" s="4">
        <v>70000.0</v>
      </c>
      <c r="N238" s="4">
        <v>0.0</v>
      </c>
    </row>
    <row r="239">
      <c r="A239" s="6">
        <v>489.0</v>
      </c>
      <c r="B239" s="4" t="s">
        <v>1027</v>
      </c>
      <c r="C239" s="4" t="s">
        <v>2033</v>
      </c>
      <c r="D239" s="4" t="s">
        <v>2034</v>
      </c>
      <c r="E239" s="4">
        <v>660805.0</v>
      </c>
      <c r="F239" s="6">
        <v>2.0</v>
      </c>
      <c r="G239" s="4" t="s">
        <v>2035</v>
      </c>
      <c r="H239" s="4" t="s">
        <v>2036</v>
      </c>
      <c r="I239" s="4">
        <v>760624.0</v>
      </c>
      <c r="J239" s="4" t="str">
        <f t="shared" si="1"/>
        <v>송인옥0520</v>
      </c>
      <c r="K239" s="3" t="str">
        <f t="shared" si="2"/>
        <v>정상</v>
      </c>
      <c r="L239" s="4">
        <v>70000.0</v>
      </c>
      <c r="M239" s="4">
        <v>70000.0</v>
      </c>
      <c r="N239" s="4">
        <v>0.0</v>
      </c>
    </row>
    <row r="240">
      <c r="A240" s="5">
        <v>1042.0</v>
      </c>
      <c r="B240" s="3" t="s">
        <v>1062</v>
      </c>
      <c r="C240" s="3" t="s">
        <v>2037</v>
      </c>
      <c r="D240" s="3" t="s">
        <v>2038</v>
      </c>
      <c r="E240" s="3">
        <v>771127.0</v>
      </c>
      <c r="F240" s="5">
        <v>2.0</v>
      </c>
      <c r="G240" s="3" t="s">
        <v>2039</v>
      </c>
      <c r="H240" s="3" t="s">
        <v>2040</v>
      </c>
      <c r="I240" s="3">
        <v>740624.0</v>
      </c>
      <c r="J240" s="4" t="str">
        <f t="shared" si="1"/>
        <v>송영희9453</v>
      </c>
      <c r="K240" s="3" t="str">
        <f t="shared" si="2"/>
        <v>정상</v>
      </c>
      <c r="L240" s="4">
        <v>70000.0</v>
      </c>
      <c r="M240" s="4">
        <v>70000.0</v>
      </c>
      <c r="N240" s="4">
        <v>0.0</v>
      </c>
    </row>
    <row r="241">
      <c r="A241" s="6">
        <v>976.0</v>
      </c>
      <c r="B241" s="4" t="s">
        <v>1488</v>
      </c>
      <c r="C241" s="4" t="s">
        <v>2041</v>
      </c>
      <c r="D241" s="4" t="s">
        <v>2042</v>
      </c>
      <c r="E241" s="4">
        <v>690821.0</v>
      </c>
      <c r="F241" s="6">
        <v>2.0</v>
      </c>
      <c r="G241" s="4" t="s">
        <v>2043</v>
      </c>
      <c r="H241" s="4" t="s">
        <v>2044</v>
      </c>
      <c r="I241" s="4">
        <v>771215.0</v>
      </c>
      <c r="J241" s="4" t="str">
        <f t="shared" si="1"/>
        <v>류은양8855</v>
      </c>
      <c r="K241" s="3" t="str">
        <f t="shared" si="2"/>
        <v>정상</v>
      </c>
      <c r="L241" s="4">
        <v>70000.0</v>
      </c>
      <c r="M241" s="4">
        <v>70000.0</v>
      </c>
      <c r="N241" s="4">
        <v>0.0</v>
      </c>
    </row>
    <row r="242">
      <c r="A242" s="6">
        <v>449.0</v>
      </c>
      <c r="B242" s="4" t="s">
        <v>1626</v>
      </c>
      <c r="C242" s="4" t="s">
        <v>2045</v>
      </c>
      <c r="D242" s="4" t="s">
        <v>2046</v>
      </c>
      <c r="E242" s="4">
        <v>660826.0</v>
      </c>
      <c r="F242" s="6">
        <v>2.0</v>
      </c>
      <c r="G242" s="4" t="s">
        <v>2047</v>
      </c>
      <c r="H242" s="4" t="s">
        <v>2048</v>
      </c>
      <c r="I242" s="4">
        <v>550325.0</v>
      </c>
      <c r="J242" s="4" t="str">
        <f t="shared" si="1"/>
        <v>손종옥8803</v>
      </c>
      <c r="K242" s="3" t="str">
        <f t="shared" si="2"/>
        <v>정상</v>
      </c>
      <c r="L242" s="4">
        <v>70000.0</v>
      </c>
      <c r="M242" s="4">
        <v>70000.0</v>
      </c>
      <c r="N242" s="4">
        <v>0.0</v>
      </c>
    </row>
    <row r="243">
      <c r="A243" s="6">
        <v>1187.0</v>
      </c>
      <c r="B243" s="4" t="s">
        <v>1471</v>
      </c>
      <c r="C243" s="4" t="s">
        <v>2049</v>
      </c>
      <c r="D243" s="4" t="s">
        <v>2050</v>
      </c>
      <c r="E243" s="4">
        <v>900128.0</v>
      </c>
      <c r="F243" s="6">
        <v>2.0</v>
      </c>
      <c r="G243" s="4" t="s">
        <v>2051</v>
      </c>
      <c r="H243" s="4" t="s">
        <v>2052</v>
      </c>
      <c r="I243" s="4">
        <v>911222.0</v>
      </c>
      <c r="J243" s="4" t="str">
        <f t="shared" si="1"/>
        <v>차주명5434</v>
      </c>
      <c r="K243" s="3" t="str">
        <f t="shared" si="2"/>
        <v>정상</v>
      </c>
      <c r="L243" s="4">
        <v>70000.0</v>
      </c>
      <c r="M243" s="4">
        <v>70000.0</v>
      </c>
      <c r="N243" s="4">
        <v>0.0</v>
      </c>
    </row>
    <row r="244">
      <c r="A244" s="6">
        <v>1135.0</v>
      </c>
      <c r="B244" s="4" t="s">
        <v>2053</v>
      </c>
      <c r="C244" s="3" t="s">
        <v>2054</v>
      </c>
      <c r="D244" s="4" t="s">
        <v>2055</v>
      </c>
      <c r="E244" s="4">
        <v>560503.0</v>
      </c>
      <c r="F244" s="6">
        <v>2.0</v>
      </c>
      <c r="G244" s="4" t="s">
        <v>2056</v>
      </c>
      <c r="H244" s="4" t="s">
        <v>2057</v>
      </c>
      <c r="I244" s="4">
        <v>540110.0</v>
      </c>
      <c r="J244" s="4" t="str">
        <f t="shared" si="1"/>
        <v>손정자3113</v>
      </c>
      <c r="K244" s="3" t="str">
        <f t="shared" si="2"/>
        <v>정상</v>
      </c>
      <c r="L244" s="4">
        <v>70000.0</v>
      </c>
      <c r="M244" s="4">
        <v>70000.0</v>
      </c>
      <c r="N244" s="4">
        <v>0.0</v>
      </c>
    </row>
    <row r="245">
      <c r="A245" s="6">
        <v>215.0</v>
      </c>
      <c r="B245" s="4" t="s">
        <v>1566</v>
      </c>
      <c r="C245" s="4" t="s">
        <v>2058</v>
      </c>
      <c r="D245" s="4" t="s">
        <v>2059</v>
      </c>
      <c r="E245" s="4">
        <v>540208.0</v>
      </c>
      <c r="F245" s="6">
        <v>2.0</v>
      </c>
      <c r="G245" s="4" t="s">
        <v>2060</v>
      </c>
      <c r="H245" s="4" t="s">
        <v>2061</v>
      </c>
      <c r="I245" s="4">
        <v>570720.0</v>
      </c>
      <c r="J245" s="4" t="str">
        <f t="shared" si="1"/>
        <v>설애영7970</v>
      </c>
      <c r="K245" s="3" t="str">
        <f t="shared" si="2"/>
        <v>정상</v>
      </c>
      <c r="L245" s="4">
        <v>70000.0</v>
      </c>
      <c r="M245" s="4">
        <v>70000.0</v>
      </c>
      <c r="N245" s="4">
        <v>0.0</v>
      </c>
    </row>
    <row r="246">
      <c r="A246" s="6">
        <v>585.0</v>
      </c>
      <c r="B246" s="4" t="s">
        <v>1372</v>
      </c>
      <c r="C246" s="4" t="s">
        <v>2062</v>
      </c>
      <c r="D246" s="4" t="s">
        <v>2063</v>
      </c>
      <c r="E246" s="4">
        <v>721202.0</v>
      </c>
      <c r="F246" s="6">
        <v>2.0</v>
      </c>
      <c r="G246" s="4" t="s">
        <v>2064</v>
      </c>
      <c r="H246" s="4" t="s">
        <v>2065</v>
      </c>
      <c r="I246" s="4">
        <v>741218.0</v>
      </c>
      <c r="J246" s="4" t="str">
        <f t="shared" si="1"/>
        <v>석소희7212</v>
      </c>
      <c r="K246" s="3" t="str">
        <f t="shared" si="2"/>
        <v>정상</v>
      </c>
      <c r="L246" s="4">
        <v>70000.0</v>
      </c>
      <c r="M246" s="4">
        <v>70000.0</v>
      </c>
      <c r="N246" s="4">
        <v>0.0</v>
      </c>
    </row>
    <row r="247">
      <c r="A247" s="6">
        <v>849.0</v>
      </c>
      <c r="B247" s="4" t="s">
        <v>1967</v>
      </c>
      <c r="C247" s="4" t="s">
        <v>2066</v>
      </c>
      <c r="D247" s="4" t="s">
        <v>2067</v>
      </c>
      <c r="E247" s="4">
        <v>601017.0</v>
      </c>
      <c r="F247" s="6">
        <v>2.0</v>
      </c>
      <c r="G247" s="4" t="s">
        <v>2068</v>
      </c>
      <c r="H247" s="4" t="s">
        <v>2069</v>
      </c>
      <c r="I247" s="4">
        <v>620722.0</v>
      </c>
      <c r="J247" s="4" t="str">
        <f t="shared" si="1"/>
        <v>강태준8305</v>
      </c>
      <c r="K247" s="3" t="str">
        <f t="shared" si="2"/>
        <v>정상</v>
      </c>
      <c r="L247" s="4">
        <v>70000.0</v>
      </c>
      <c r="M247" s="4">
        <v>70000.0</v>
      </c>
      <c r="N247" s="4">
        <v>0.0</v>
      </c>
    </row>
    <row r="248">
      <c r="A248" s="6">
        <v>671.0</v>
      </c>
      <c r="B248" s="4" t="s">
        <v>1100</v>
      </c>
      <c r="C248" s="4" t="s">
        <v>2070</v>
      </c>
      <c r="D248" s="4" t="s">
        <v>2071</v>
      </c>
      <c r="E248" s="4">
        <v>700305.0</v>
      </c>
      <c r="F248" s="6">
        <v>2.0</v>
      </c>
      <c r="G248" s="4" t="s">
        <v>2072</v>
      </c>
      <c r="H248" s="4" t="s">
        <v>2073</v>
      </c>
      <c r="I248" s="4">
        <v>600613.0</v>
      </c>
      <c r="J248" s="4" t="str">
        <f t="shared" si="1"/>
        <v>권혜규9679</v>
      </c>
      <c r="K248" s="3" t="str">
        <f t="shared" si="2"/>
        <v>정상</v>
      </c>
      <c r="L248" s="4">
        <v>70000.0</v>
      </c>
      <c r="M248" s="4">
        <v>70000.0</v>
      </c>
      <c r="N248" s="4">
        <v>0.0</v>
      </c>
    </row>
    <row r="249">
      <c r="A249" s="6">
        <v>331.0</v>
      </c>
      <c r="B249" s="4" t="s">
        <v>1322</v>
      </c>
      <c r="C249" s="4" t="s">
        <v>2074</v>
      </c>
      <c r="D249" s="4" t="s">
        <v>2075</v>
      </c>
      <c r="E249" s="4">
        <v>830319.0</v>
      </c>
      <c r="F249" s="6">
        <v>2.0</v>
      </c>
      <c r="G249" s="4" t="s">
        <v>2076</v>
      </c>
      <c r="H249" s="4" t="s">
        <v>2077</v>
      </c>
      <c r="I249" s="4">
        <v>810212.0</v>
      </c>
      <c r="J249" s="4" t="str">
        <f t="shared" si="1"/>
        <v>서영란5434</v>
      </c>
      <c r="K249" s="3" t="str">
        <f t="shared" si="2"/>
        <v>정상</v>
      </c>
      <c r="L249" s="4">
        <v>70000.0</v>
      </c>
      <c r="M249" s="4">
        <v>70000.0</v>
      </c>
      <c r="N249" s="4">
        <v>0.0</v>
      </c>
    </row>
    <row r="250">
      <c r="A250" s="6">
        <v>706.0</v>
      </c>
      <c r="B250" s="4" t="s">
        <v>2078</v>
      </c>
      <c r="C250" s="4" t="s">
        <v>2079</v>
      </c>
      <c r="D250" s="4" t="s">
        <v>2080</v>
      </c>
      <c r="E250" s="4">
        <v>711219.0</v>
      </c>
      <c r="F250" s="6">
        <v>2.0</v>
      </c>
      <c r="G250" s="4" t="s">
        <v>2081</v>
      </c>
      <c r="H250" s="4" t="s">
        <v>2082</v>
      </c>
      <c r="I250" s="4">
        <v>450315.0</v>
      </c>
      <c r="J250" s="4" t="str">
        <f t="shared" si="1"/>
        <v>양우정6832</v>
      </c>
      <c r="K250" s="3" t="str">
        <f t="shared" si="2"/>
        <v>정상</v>
      </c>
      <c r="L250" s="4">
        <v>70000.0</v>
      </c>
      <c r="M250" s="4">
        <v>70000.0</v>
      </c>
      <c r="N250" s="4">
        <v>0.0</v>
      </c>
    </row>
    <row r="251">
      <c r="A251" s="6">
        <v>694.0</v>
      </c>
      <c r="B251" s="4" t="s">
        <v>1245</v>
      </c>
      <c r="C251" s="4" t="s">
        <v>2083</v>
      </c>
      <c r="D251" s="4" t="s">
        <v>2084</v>
      </c>
      <c r="E251" s="4">
        <v>720424.0</v>
      </c>
      <c r="F251" s="6">
        <v>2.0</v>
      </c>
      <c r="G251" s="4" t="s">
        <v>2085</v>
      </c>
      <c r="H251" s="4" t="s">
        <v>2086</v>
      </c>
      <c r="I251" s="4">
        <v>701124.0</v>
      </c>
      <c r="J251" s="4" t="str">
        <f t="shared" si="1"/>
        <v>최원정1337</v>
      </c>
      <c r="K251" s="3" t="str">
        <f t="shared" si="2"/>
        <v>정상</v>
      </c>
      <c r="L251" s="4">
        <v>70000.0</v>
      </c>
      <c r="M251" s="4">
        <v>70000.0</v>
      </c>
      <c r="N251" s="4">
        <v>0.0</v>
      </c>
    </row>
    <row r="252">
      <c r="A252" s="6">
        <v>477.0</v>
      </c>
      <c r="B252" s="4" t="s">
        <v>1042</v>
      </c>
      <c r="C252" s="4" t="s">
        <v>2087</v>
      </c>
      <c r="D252" s="4" t="s">
        <v>2088</v>
      </c>
      <c r="E252" s="4">
        <v>710913.0</v>
      </c>
      <c r="F252" s="6">
        <v>2.0</v>
      </c>
      <c r="G252" s="4" t="s">
        <v>2089</v>
      </c>
      <c r="H252" s="4" t="s">
        <v>2090</v>
      </c>
      <c r="I252" s="4">
        <v>970618.0</v>
      </c>
      <c r="J252" s="4" t="str">
        <f t="shared" si="1"/>
        <v>최은경7905</v>
      </c>
      <c r="K252" s="3" t="str">
        <f t="shared" si="2"/>
        <v>정상</v>
      </c>
      <c r="L252" s="4">
        <v>70000.0</v>
      </c>
      <c r="M252" s="4">
        <v>70000.0</v>
      </c>
      <c r="N252" s="4">
        <v>0.0</v>
      </c>
    </row>
    <row r="253">
      <c r="A253" s="6">
        <v>680.0</v>
      </c>
      <c r="B253" s="4" t="s">
        <v>1214</v>
      </c>
      <c r="C253" s="4" t="s">
        <v>2091</v>
      </c>
      <c r="D253" s="4" t="s">
        <v>2092</v>
      </c>
      <c r="E253" s="4">
        <v>570914.0</v>
      </c>
      <c r="F253" s="6">
        <v>2.0</v>
      </c>
      <c r="G253" s="4" t="s">
        <v>2093</v>
      </c>
      <c r="H253" s="4" t="s">
        <v>2094</v>
      </c>
      <c r="I253" s="4">
        <v>850626.0</v>
      </c>
      <c r="J253" s="4" t="str">
        <f t="shared" si="1"/>
        <v>전춘옥7480</v>
      </c>
      <c r="K253" s="3" t="str">
        <f t="shared" si="2"/>
        <v>정상</v>
      </c>
      <c r="L253" s="4">
        <v>70000.0</v>
      </c>
      <c r="M253" s="4">
        <v>70000.0</v>
      </c>
      <c r="N253" s="4">
        <v>0.0</v>
      </c>
    </row>
    <row r="254">
      <c r="A254" s="5">
        <v>555.0</v>
      </c>
      <c r="B254" s="3" t="s">
        <v>1552</v>
      </c>
      <c r="C254" s="3" t="s">
        <v>2095</v>
      </c>
      <c r="D254" s="3" t="s">
        <v>2096</v>
      </c>
      <c r="E254" s="3">
        <v>670315.0</v>
      </c>
      <c r="F254" s="5">
        <v>2.0</v>
      </c>
      <c r="G254" s="3" t="s">
        <v>2097</v>
      </c>
      <c r="H254" s="3" t="s">
        <v>2098</v>
      </c>
      <c r="I254" s="3">
        <v>920708.0</v>
      </c>
      <c r="J254" s="4" t="str">
        <f t="shared" si="1"/>
        <v>배연옥3234</v>
      </c>
      <c r="K254" s="3" t="str">
        <f t="shared" si="2"/>
        <v>정상</v>
      </c>
      <c r="L254" s="4">
        <v>70000.0</v>
      </c>
      <c r="M254" s="4">
        <v>70000.0</v>
      </c>
      <c r="N254" s="4">
        <v>0.0</v>
      </c>
    </row>
    <row r="255">
      <c r="A255" s="5">
        <v>890.0</v>
      </c>
      <c r="B255" s="3" t="s">
        <v>1114</v>
      </c>
      <c r="C255" s="3" t="s">
        <v>2099</v>
      </c>
      <c r="D255" s="3" t="s">
        <v>2100</v>
      </c>
      <c r="E255" s="3">
        <v>590618.0</v>
      </c>
      <c r="F255" s="5">
        <v>2.0</v>
      </c>
      <c r="G255" s="3" t="s">
        <v>2101</v>
      </c>
      <c r="H255" s="3" t="s">
        <v>2102</v>
      </c>
      <c r="I255" s="3">
        <v>550416.0</v>
      </c>
      <c r="J255" s="4" t="str">
        <f t="shared" si="1"/>
        <v>백광숙0209</v>
      </c>
      <c r="K255" s="3" t="str">
        <f t="shared" si="2"/>
        <v>정상</v>
      </c>
      <c r="L255" s="4">
        <v>70000.0</v>
      </c>
      <c r="M255" s="4">
        <v>70000.0</v>
      </c>
      <c r="N255" s="4">
        <v>0.0</v>
      </c>
    </row>
    <row r="256">
      <c r="A256" s="6">
        <v>446.0</v>
      </c>
      <c r="B256" s="4" t="s">
        <v>1626</v>
      </c>
      <c r="C256" s="4" t="s">
        <v>2103</v>
      </c>
      <c r="D256" s="4" t="s">
        <v>2104</v>
      </c>
      <c r="E256" s="4">
        <v>671017.0</v>
      </c>
      <c r="F256" s="6">
        <v>2.0</v>
      </c>
      <c r="G256" s="4" t="s">
        <v>2105</v>
      </c>
      <c r="H256" s="4" t="s">
        <v>2106</v>
      </c>
      <c r="I256" s="4">
        <v>681212.0</v>
      </c>
      <c r="J256" s="4" t="str">
        <f t="shared" si="1"/>
        <v>남창건4208</v>
      </c>
      <c r="K256" s="3" t="str">
        <f t="shared" si="2"/>
        <v>정상</v>
      </c>
      <c r="L256" s="4">
        <v>70000.0</v>
      </c>
      <c r="M256" s="4">
        <v>70000.0</v>
      </c>
      <c r="N256" s="4">
        <v>0.0</v>
      </c>
    </row>
    <row r="257">
      <c r="A257" s="6">
        <v>786.0</v>
      </c>
      <c r="B257" s="4" t="s">
        <v>1830</v>
      </c>
      <c r="C257" s="4" t="s">
        <v>2107</v>
      </c>
      <c r="D257" s="4" t="s">
        <v>2108</v>
      </c>
      <c r="E257" s="4">
        <v>581210.0</v>
      </c>
      <c r="F257" s="6">
        <v>2.0</v>
      </c>
      <c r="G257" s="4" t="s">
        <v>2109</v>
      </c>
      <c r="H257" s="4" t="s">
        <v>2110</v>
      </c>
      <c r="I257" s="4">
        <v>580113.0</v>
      </c>
      <c r="J257" s="4" t="str">
        <f t="shared" si="1"/>
        <v>류선균8235</v>
      </c>
      <c r="K257" s="3" t="str">
        <f t="shared" si="2"/>
        <v>정상</v>
      </c>
      <c r="L257" s="4">
        <v>70000.0</v>
      </c>
      <c r="M257" s="4">
        <v>70000.0</v>
      </c>
      <c r="N257" s="4">
        <v>0.0</v>
      </c>
    </row>
    <row r="258">
      <c r="A258" s="6">
        <v>1086.0</v>
      </c>
      <c r="B258" s="4" t="s">
        <v>1076</v>
      </c>
      <c r="C258" s="4" t="s">
        <v>2111</v>
      </c>
      <c r="D258" s="4" t="s">
        <v>2112</v>
      </c>
      <c r="E258" s="4">
        <v>530125.0</v>
      </c>
      <c r="F258" s="6">
        <v>2.0</v>
      </c>
      <c r="G258" s="4" t="s">
        <v>2113</v>
      </c>
      <c r="H258" s="4" t="s">
        <v>2114</v>
      </c>
      <c r="I258" s="4">
        <v>490330.0</v>
      </c>
      <c r="J258" s="4" t="str">
        <f t="shared" si="1"/>
        <v>백소희1879</v>
      </c>
      <c r="K258" s="3" t="str">
        <f t="shared" si="2"/>
        <v>정상</v>
      </c>
      <c r="L258" s="4">
        <v>70000.0</v>
      </c>
      <c r="M258" s="4">
        <v>70000.0</v>
      </c>
      <c r="N258" s="4">
        <v>0.0</v>
      </c>
    </row>
    <row r="259">
      <c r="A259" s="6">
        <v>168.0</v>
      </c>
      <c r="B259" s="4" t="s">
        <v>1287</v>
      </c>
      <c r="C259" s="4" t="s">
        <v>2115</v>
      </c>
      <c r="D259" s="4" t="s">
        <v>2116</v>
      </c>
      <c r="E259" s="4">
        <v>910304.0</v>
      </c>
      <c r="F259" s="6">
        <v>2.0</v>
      </c>
      <c r="G259" s="4" t="s">
        <v>2117</v>
      </c>
      <c r="H259" s="4" t="s">
        <v>2118</v>
      </c>
      <c r="I259" s="4">
        <v>660311.0</v>
      </c>
      <c r="J259" s="4" t="str">
        <f t="shared" si="1"/>
        <v>김하나3221</v>
      </c>
      <c r="K259" s="3" t="str">
        <f t="shared" si="2"/>
        <v>정상</v>
      </c>
      <c r="L259" s="4">
        <v>70000.0</v>
      </c>
      <c r="M259" s="4">
        <v>70000.0</v>
      </c>
      <c r="N259" s="4">
        <v>0.0</v>
      </c>
    </row>
    <row r="260">
      <c r="A260" s="5">
        <v>1025.0</v>
      </c>
      <c r="B260" s="3" t="s">
        <v>1062</v>
      </c>
      <c r="C260" s="3" t="s">
        <v>2119</v>
      </c>
      <c r="D260" s="3" t="s">
        <v>2120</v>
      </c>
      <c r="E260" s="3">
        <v>610705.0</v>
      </c>
      <c r="F260" s="5">
        <v>2.0</v>
      </c>
      <c r="G260" s="3" t="s">
        <v>2121</v>
      </c>
      <c r="H260" s="3" t="s">
        <v>2122</v>
      </c>
      <c r="I260" s="3">
        <v>570310.0</v>
      </c>
      <c r="J260" s="4" t="str">
        <f t="shared" si="1"/>
        <v>차경남8101</v>
      </c>
      <c r="K260" s="3" t="str">
        <f t="shared" si="2"/>
        <v>정상</v>
      </c>
      <c r="L260" s="4">
        <v>70000.0</v>
      </c>
      <c r="M260" s="4">
        <v>70000.0</v>
      </c>
      <c r="N260" s="4">
        <v>0.0</v>
      </c>
    </row>
    <row r="261">
      <c r="A261" s="5">
        <v>311.0</v>
      </c>
      <c r="B261" s="3" t="s">
        <v>2123</v>
      </c>
      <c r="C261" s="3" t="s">
        <v>2124</v>
      </c>
      <c r="D261" s="3" t="s">
        <v>2125</v>
      </c>
      <c r="E261" s="3">
        <v>970715.0</v>
      </c>
      <c r="F261" s="5">
        <v>2.0</v>
      </c>
      <c r="G261" s="3" t="s">
        <v>2126</v>
      </c>
      <c r="H261" s="3" t="s">
        <v>2127</v>
      </c>
      <c r="I261" s="3">
        <v>660316.0</v>
      </c>
      <c r="J261" s="4" t="str">
        <f t="shared" si="1"/>
        <v>배희수0715</v>
      </c>
      <c r="K261" s="3" t="str">
        <f t="shared" si="2"/>
        <v>정상</v>
      </c>
      <c r="L261" s="4">
        <v>70000.0</v>
      </c>
      <c r="M261" s="4">
        <v>70000.0</v>
      </c>
      <c r="N261" s="4">
        <v>0.0</v>
      </c>
    </row>
    <row r="262">
      <c r="A262" s="5">
        <v>133.0</v>
      </c>
      <c r="B262" s="3" t="s">
        <v>1981</v>
      </c>
      <c r="C262" s="3" t="s">
        <v>2128</v>
      </c>
      <c r="D262" s="3" t="s">
        <v>2129</v>
      </c>
      <c r="E262" s="3">
        <v>600206.0</v>
      </c>
      <c r="F262" s="5">
        <v>2.0</v>
      </c>
      <c r="G262" s="3" t="s">
        <v>2130</v>
      </c>
      <c r="H262" s="3" t="s">
        <v>2131</v>
      </c>
      <c r="I262" s="3">
        <v>590422.0</v>
      </c>
      <c r="J262" s="4" t="str">
        <f t="shared" si="1"/>
        <v>윤혜연0395</v>
      </c>
      <c r="K262" s="3" t="str">
        <f t="shared" si="2"/>
        <v>정상</v>
      </c>
      <c r="L262" s="4">
        <v>70000.0</v>
      </c>
      <c r="M262" s="4">
        <v>70000.0</v>
      </c>
      <c r="N262" s="4">
        <v>0.0</v>
      </c>
    </row>
    <row r="263">
      <c r="A263" s="5">
        <v>843.0</v>
      </c>
      <c r="B263" s="3" t="s">
        <v>1588</v>
      </c>
      <c r="C263" s="3" t="s">
        <v>2132</v>
      </c>
      <c r="D263" s="3" t="s">
        <v>2133</v>
      </c>
      <c r="E263" s="3">
        <v>770408.0</v>
      </c>
      <c r="F263" s="5">
        <v>2.0</v>
      </c>
      <c r="G263" s="3" t="s">
        <v>2134</v>
      </c>
      <c r="H263" s="3" t="s">
        <v>2135</v>
      </c>
      <c r="I263" s="3">
        <v>740327.0</v>
      </c>
      <c r="J263" s="4" t="str">
        <f t="shared" si="1"/>
        <v>이정은7820</v>
      </c>
      <c r="K263" s="3" t="str">
        <f t="shared" si="2"/>
        <v>정상</v>
      </c>
      <c r="L263" s="4">
        <v>70000.0</v>
      </c>
      <c r="M263" s="4">
        <v>70000.0</v>
      </c>
      <c r="N263" s="4">
        <v>0.0</v>
      </c>
    </row>
    <row r="264">
      <c r="A264" s="6">
        <v>920.0</v>
      </c>
      <c r="B264" s="4" t="s">
        <v>1001</v>
      </c>
      <c r="C264" s="4" t="s">
        <v>2136</v>
      </c>
      <c r="D264" s="4" t="s">
        <v>2137</v>
      </c>
      <c r="E264" s="4">
        <v>640913.0</v>
      </c>
      <c r="F264" s="6">
        <v>2.0</v>
      </c>
      <c r="G264" s="4" t="s">
        <v>2138</v>
      </c>
      <c r="H264" s="4" t="s">
        <v>2139</v>
      </c>
      <c r="I264" s="4">
        <v>640122.0</v>
      </c>
      <c r="J264" s="4" t="str">
        <f t="shared" si="1"/>
        <v>김선현3359</v>
      </c>
      <c r="K264" s="3" t="str">
        <f t="shared" si="2"/>
        <v>정상</v>
      </c>
      <c r="L264" s="4">
        <v>70000.0</v>
      </c>
      <c r="M264" s="4">
        <v>70000.0</v>
      </c>
      <c r="N264" s="4">
        <v>0.0</v>
      </c>
    </row>
    <row r="265">
      <c r="A265" s="6">
        <v>655.0</v>
      </c>
      <c r="B265" s="4" t="s">
        <v>1415</v>
      </c>
      <c r="C265" s="4" t="s">
        <v>2140</v>
      </c>
      <c r="D265" s="4" t="s">
        <v>2141</v>
      </c>
      <c r="E265" s="4">
        <v>980116.0</v>
      </c>
      <c r="F265" s="6">
        <v>2.0</v>
      </c>
      <c r="G265" s="4" t="s">
        <v>2142</v>
      </c>
      <c r="H265" s="4" t="s">
        <v>2143</v>
      </c>
      <c r="I265" s="4">
        <v>680629.0</v>
      </c>
      <c r="J265" s="4" t="str">
        <f t="shared" si="1"/>
        <v>이세라7027</v>
      </c>
      <c r="K265" s="3" t="str">
        <f t="shared" si="2"/>
        <v>정상</v>
      </c>
      <c r="L265" s="4">
        <v>70000.0</v>
      </c>
      <c r="M265" s="4">
        <v>70000.0</v>
      </c>
      <c r="N265" s="4">
        <v>0.0</v>
      </c>
    </row>
    <row r="266">
      <c r="A266" s="6">
        <v>346.0</v>
      </c>
      <c r="B266" s="4" t="s">
        <v>1052</v>
      </c>
      <c r="C266" s="4" t="s">
        <v>2144</v>
      </c>
      <c r="D266" s="4" t="s">
        <v>2145</v>
      </c>
      <c r="E266" s="4">
        <v>540816.0</v>
      </c>
      <c r="F266" s="6">
        <v>2.0</v>
      </c>
      <c r="G266" s="4" t="s">
        <v>2146</v>
      </c>
      <c r="H266" s="4" t="s">
        <v>2147</v>
      </c>
      <c r="I266" s="4">
        <v>531212.0</v>
      </c>
      <c r="J266" s="4" t="str">
        <f t="shared" si="1"/>
        <v>김귀자2193</v>
      </c>
      <c r="K266" s="3" t="str">
        <f t="shared" si="2"/>
        <v>정상</v>
      </c>
      <c r="L266" s="4">
        <v>70000.0</v>
      </c>
      <c r="M266" s="4">
        <v>70000.0</v>
      </c>
      <c r="N266" s="4">
        <v>0.0</v>
      </c>
    </row>
    <row r="267">
      <c r="A267" s="6">
        <v>148.0</v>
      </c>
      <c r="B267" s="4" t="s">
        <v>996</v>
      </c>
      <c r="C267" s="4" t="s">
        <v>2148</v>
      </c>
      <c r="D267" s="4" t="s">
        <v>2149</v>
      </c>
      <c r="E267" s="4">
        <v>610323.0</v>
      </c>
      <c r="F267" s="6">
        <v>2.0</v>
      </c>
      <c r="G267" s="4" t="s">
        <v>2150</v>
      </c>
      <c r="H267" s="4" t="s">
        <v>2151</v>
      </c>
      <c r="I267" s="4">
        <v>580804.0</v>
      </c>
      <c r="J267" s="4" t="str">
        <f t="shared" si="1"/>
        <v>방종숙9319</v>
      </c>
      <c r="K267" s="3" t="str">
        <f t="shared" si="2"/>
        <v>정상</v>
      </c>
      <c r="L267" s="4">
        <v>70000.0</v>
      </c>
      <c r="M267" s="4">
        <v>70000.0</v>
      </c>
      <c r="N267" s="4">
        <v>0.0</v>
      </c>
    </row>
    <row r="268">
      <c r="A268" s="6">
        <v>1172.0</v>
      </c>
      <c r="B268" s="4" t="s">
        <v>1471</v>
      </c>
      <c r="C268" s="4" t="s">
        <v>2152</v>
      </c>
      <c r="D268" s="4" t="s">
        <v>2153</v>
      </c>
      <c r="E268" s="4">
        <v>610118.0</v>
      </c>
      <c r="F268" s="6">
        <v>2.0</v>
      </c>
      <c r="G268" s="4" t="s">
        <v>2154</v>
      </c>
      <c r="H268" s="4" t="s">
        <v>2155</v>
      </c>
      <c r="I268" s="4">
        <v>600310.0</v>
      </c>
      <c r="J268" s="4" t="str">
        <f t="shared" si="1"/>
        <v>오정림4977</v>
      </c>
      <c r="K268" s="3" t="str">
        <f t="shared" si="2"/>
        <v>정상</v>
      </c>
      <c r="L268" s="4">
        <v>70000.0</v>
      </c>
      <c r="M268" s="4">
        <v>70000.0</v>
      </c>
      <c r="N268" s="4">
        <v>0.0</v>
      </c>
    </row>
    <row r="269">
      <c r="A269" s="6">
        <v>756.0</v>
      </c>
      <c r="B269" s="4" t="s">
        <v>2156</v>
      </c>
      <c r="C269" s="4" t="s">
        <v>2157</v>
      </c>
      <c r="D269" s="4" t="s">
        <v>2158</v>
      </c>
      <c r="E269" s="4">
        <v>710107.0</v>
      </c>
      <c r="F269" s="6">
        <v>2.0</v>
      </c>
      <c r="G269" s="4" t="s">
        <v>2159</v>
      </c>
      <c r="H269" s="4" t="s">
        <v>2160</v>
      </c>
      <c r="I269" s="4">
        <v>701127.0</v>
      </c>
      <c r="J269" s="4" t="str">
        <f t="shared" si="1"/>
        <v>조명아7117</v>
      </c>
      <c r="K269" s="3" t="str">
        <f t="shared" si="2"/>
        <v>정상</v>
      </c>
      <c r="L269" s="4">
        <v>70000.0</v>
      </c>
      <c r="M269" s="4">
        <v>70000.0</v>
      </c>
      <c r="N269" s="4">
        <v>0.0</v>
      </c>
    </row>
    <row r="270">
      <c r="A270" s="6">
        <v>279.0</v>
      </c>
      <c r="B270" s="4" t="s">
        <v>1645</v>
      </c>
      <c r="C270" s="4" t="s">
        <v>2161</v>
      </c>
      <c r="D270" s="4" t="s">
        <v>2162</v>
      </c>
      <c r="E270" s="4">
        <v>740516.0</v>
      </c>
      <c r="F270" s="6">
        <v>2.0</v>
      </c>
      <c r="G270" s="4" t="s">
        <v>2163</v>
      </c>
      <c r="H270" s="4" t="s">
        <v>2164</v>
      </c>
      <c r="I270" s="4">
        <v>631112.0</v>
      </c>
      <c r="J270" s="4" t="str">
        <f t="shared" si="1"/>
        <v>함은순7927</v>
      </c>
      <c r="K270" s="3" t="str">
        <f t="shared" si="2"/>
        <v>정상</v>
      </c>
      <c r="L270" s="4">
        <v>70000.0</v>
      </c>
      <c r="M270" s="4">
        <v>70000.0</v>
      </c>
      <c r="N270" s="4">
        <v>0.0</v>
      </c>
    </row>
    <row r="271">
      <c r="A271" s="6">
        <v>874.0</v>
      </c>
      <c r="B271" s="4" t="s">
        <v>1621</v>
      </c>
      <c r="C271" s="4" t="s">
        <v>2165</v>
      </c>
      <c r="D271" s="4" t="s">
        <v>2166</v>
      </c>
      <c r="E271" s="4">
        <v>530118.0</v>
      </c>
      <c r="F271" s="6">
        <v>2.0</v>
      </c>
      <c r="G271" s="4" t="s">
        <v>2167</v>
      </c>
      <c r="H271" s="4" t="s">
        <v>2168</v>
      </c>
      <c r="I271" s="4">
        <v>570227.0</v>
      </c>
      <c r="J271" s="4" t="str">
        <f t="shared" si="1"/>
        <v>박영주1228</v>
      </c>
      <c r="K271" s="3" t="str">
        <f t="shared" si="2"/>
        <v>정상</v>
      </c>
      <c r="L271" s="4">
        <v>70000.0</v>
      </c>
      <c r="M271" s="4">
        <v>70000.0</v>
      </c>
      <c r="N271" s="4">
        <v>0.0</v>
      </c>
    </row>
    <row r="272">
      <c r="A272" s="6">
        <v>1114.0</v>
      </c>
      <c r="B272" s="4" t="s">
        <v>1420</v>
      </c>
      <c r="C272" s="4" t="s">
        <v>2169</v>
      </c>
      <c r="D272" s="4" t="s">
        <v>2170</v>
      </c>
      <c r="E272" s="4">
        <v>551211.0</v>
      </c>
      <c r="F272" s="6">
        <v>2.0</v>
      </c>
      <c r="G272" s="4" t="s">
        <v>2171</v>
      </c>
      <c r="H272" s="4" t="s">
        <v>2172</v>
      </c>
      <c r="I272" s="4">
        <v>580212.0</v>
      </c>
      <c r="J272" s="4" t="str">
        <f t="shared" si="1"/>
        <v>박창희1977</v>
      </c>
      <c r="K272" s="3" t="str">
        <f t="shared" si="2"/>
        <v>정상</v>
      </c>
      <c r="L272" s="4">
        <v>70000.0</v>
      </c>
      <c r="M272" s="4">
        <v>70000.0</v>
      </c>
      <c r="N272" s="4">
        <v>0.0</v>
      </c>
    </row>
    <row r="273">
      <c r="A273" s="6">
        <v>709.0</v>
      </c>
      <c r="B273" s="4" t="s">
        <v>2078</v>
      </c>
      <c r="C273" s="4" t="s">
        <v>2173</v>
      </c>
      <c r="D273" s="4" t="s">
        <v>2174</v>
      </c>
      <c r="E273" s="4">
        <v>790130.0</v>
      </c>
      <c r="F273" s="6">
        <v>2.0</v>
      </c>
      <c r="G273" s="4" t="s">
        <v>2175</v>
      </c>
      <c r="H273" s="4" t="s">
        <v>2176</v>
      </c>
      <c r="I273" s="4">
        <v>781022.0</v>
      </c>
      <c r="J273" s="4" t="str">
        <f t="shared" si="1"/>
        <v>변혜진9852</v>
      </c>
      <c r="K273" s="3" t="str">
        <f t="shared" si="2"/>
        <v>정상</v>
      </c>
      <c r="L273" s="4">
        <v>70000.0</v>
      </c>
      <c r="M273" s="4">
        <v>70000.0</v>
      </c>
      <c r="N273" s="4">
        <v>0.0</v>
      </c>
    </row>
    <row r="274">
      <c r="A274" s="6">
        <v>397.0</v>
      </c>
      <c r="B274" s="4" t="s">
        <v>1195</v>
      </c>
      <c r="C274" s="4" t="s">
        <v>2177</v>
      </c>
      <c r="D274" s="4" t="s">
        <v>2178</v>
      </c>
      <c r="E274" s="4">
        <v>610604.0</v>
      </c>
      <c r="F274" s="6">
        <v>2.0</v>
      </c>
      <c r="G274" s="4" t="s">
        <v>2179</v>
      </c>
      <c r="H274" s="4" t="s">
        <v>2180</v>
      </c>
      <c r="I274" s="4">
        <v>530814.0</v>
      </c>
      <c r="J274" s="4" t="str">
        <f t="shared" si="1"/>
        <v>손승민6469</v>
      </c>
      <c r="K274" s="3" t="str">
        <f t="shared" si="2"/>
        <v>정상</v>
      </c>
      <c r="L274" s="4">
        <v>70000.0</v>
      </c>
      <c r="M274" s="4">
        <v>70000.0</v>
      </c>
      <c r="N274" s="4">
        <v>0.0</v>
      </c>
    </row>
    <row r="275">
      <c r="A275" s="6">
        <v>623.0</v>
      </c>
      <c r="B275" s="4" t="s">
        <v>1142</v>
      </c>
      <c r="C275" s="4" t="s">
        <v>1368</v>
      </c>
      <c r="D275" s="4" t="s">
        <v>2181</v>
      </c>
      <c r="E275" s="4">
        <v>550406.0</v>
      </c>
      <c r="F275" s="6">
        <v>2.0</v>
      </c>
      <c r="G275" s="4" t="s">
        <v>2182</v>
      </c>
      <c r="H275" s="4" t="s">
        <v>2183</v>
      </c>
      <c r="I275" s="4">
        <v>550228.0</v>
      </c>
      <c r="J275" s="4" t="str">
        <f t="shared" si="1"/>
        <v>김정숙9159</v>
      </c>
      <c r="K275" s="3" t="str">
        <f t="shared" si="2"/>
        <v>정상</v>
      </c>
      <c r="L275" s="4">
        <v>70000.0</v>
      </c>
      <c r="M275" s="4">
        <v>70000.0</v>
      </c>
      <c r="N275" s="4">
        <v>0.0</v>
      </c>
    </row>
    <row r="276">
      <c r="A276" s="6">
        <v>438.0</v>
      </c>
      <c r="B276" s="4" t="s">
        <v>1381</v>
      </c>
      <c r="C276" s="4" t="s">
        <v>2184</v>
      </c>
      <c r="D276" s="4" t="s">
        <v>2185</v>
      </c>
      <c r="E276" s="4">
        <v>720226.0</v>
      </c>
      <c r="F276" s="6">
        <v>2.0</v>
      </c>
      <c r="G276" s="4" t="s">
        <v>2186</v>
      </c>
      <c r="H276" s="4" t="s">
        <v>2187</v>
      </c>
      <c r="I276" s="4">
        <v>510413.0</v>
      </c>
      <c r="J276" s="4" t="str">
        <f t="shared" si="1"/>
        <v>지혜영2260</v>
      </c>
      <c r="K276" s="3" t="str">
        <f t="shared" si="2"/>
        <v>정상</v>
      </c>
      <c r="L276" s="4">
        <v>70000.0</v>
      </c>
      <c r="M276" s="4">
        <v>70000.0</v>
      </c>
      <c r="N276" s="4">
        <v>0.0</v>
      </c>
    </row>
    <row r="277">
      <c r="A277" s="6">
        <v>833.0</v>
      </c>
      <c r="B277" s="4" t="s">
        <v>1588</v>
      </c>
      <c r="C277" s="4" t="s">
        <v>2188</v>
      </c>
      <c r="D277" s="4" t="s">
        <v>2189</v>
      </c>
      <c r="E277" s="4">
        <v>681207.0</v>
      </c>
      <c r="F277" s="6">
        <v>2.0</v>
      </c>
      <c r="G277" s="4" t="s">
        <v>2190</v>
      </c>
      <c r="H277" s="4" t="s">
        <v>2191</v>
      </c>
      <c r="I277" s="4">
        <v>891118.0</v>
      </c>
      <c r="J277" s="4" t="str">
        <f t="shared" si="1"/>
        <v>이영애7026</v>
      </c>
      <c r="K277" s="3" t="str">
        <f t="shared" si="2"/>
        <v>정상</v>
      </c>
      <c r="L277" s="4">
        <v>70000.0</v>
      </c>
      <c r="M277" s="4">
        <v>70000.0</v>
      </c>
      <c r="N277" s="4">
        <v>0.0</v>
      </c>
    </row>
    <row r="278">
      <c r="A278" s="5">
        <v>657.0</v>
      </c>
      <c r="B278" s="3" t="s">
        <v>1100</v>
      </c>
      <c r="C278" s="3" t="s">
        <v>2192</v>
      </c>
      <c r="D278" s="3" t="s">
        <v>2193</v>
      </c>
      <c r="E278" s="3">
        <v>621126.0</v>
      </c>
      <c r="F278" s="5">
        <v>2.0</v>
      </c>
      <c r="G278" s="3" t="s">
        <v>2194</v>
      </c>
      <c r="H278" s="3" t="s">
        <v>2195</v>
      </c>
      <c r="I278" s="3">
        <v>570722.0</v>
      </c>
      <c r="J278" s="4" t="str">
        <f t="shared" si="1"/>
        <v>백창남8750</v>
      </c>
      <c r="K278" s="3" t="str">
        <f t="shared" si="2"/>
        <v>정상</v>
      </c>
      <c r="L278" s="4">
        <v>70000.0</v>
      </c>
      <c r="M278" s="4">
        <v>70000.0</v>
      </c>
      <c r="N278" s="4">
        <v>0.0</v>
      </c>
    </row>
    <row r="279">
      <c r="A279" s="6">
        <v>933.0</v>
      </c>
      <c r="B279" s="4" t="s">
        <v>1001</v>
      </c>
      <c r="C279" s="4" t="s">
        <v>2196</v>
      </c>
      <c r="D279" s="4" t="s">
        <v>2197</v>
      </c>
      <c r="E279" s="4">
        <v>750404.0</v>
      </c>
      <c r="F279" s="6">
        <v>2.0</v>
      </c>
      <c r="G279" s="4" t="s">
        <v>2198</v>
      </c>
      <c r="H279" s="4" t="s">
        <v>2199</v>
      </c>
      <c r="I279" s="4">
        <v>730618.0</v>
      </c>
      <c r="J279" s="4" t="str">
        <f t="shared" si="1"/>
        <v>김민희1894</v>
      </c>
      <c r="K279" s="3" t="str">
        <f t="shared" si="2"/>
        <v>정상</v>
      </c>
      <c r="L279" s="4">
        <v>70000.0</v>
      </c>
      <c r="M279" s="4">
        <v>70000.0</v>
      </c>
      <c r="N279" s="4">
        <v>0.0</v>
      </c>
    </row>
    <row r="280">
      <c r="A280" s="6">
        <v>1174.0</v>
      </c>
      <c r="B280" s="4" t="s">
        <v>1471</v>
      </c>
      <c r="C280" s="4" t="s">
        <v>2200</v>
      </c>
      <c r="D280" s="4" t="s">
        <v>2201</v>
      </c>
      <c r="E280" s="4">
        <v>771208.0</v>
      </c>
      <c r="F280" s="6">
        <v>2.0</v>
      </c>
      <c r="G280" s="4" t="s">
        <v>2202</v>
      </c>
      <c r="H280" s="4" t="s">
        <v>2203</v>
      </c>
      <c r="I280" s="4">
        <v>731128.0</v>
      </c>
      <c r="J280" s="4" t="str">
        <f t="shared" si="1"/>
        <v>박선아8872</v>
      </c>
      <c r="K280" s="3" t="str">
        <f t="shared" si="2"/>
        <v>정상</v>
      </c>
      <c r="L280" s="4">
        <v>70000.0</v>
      </c>
      <c r="M280" s="4">
        <v>70000.0</v>
      </c>
      <c r="N280" s="4">
        <v>0.0</v>
      </c>
    </row>
    <row r="281">
      <c r="A281" s="6">
        <v>216.0</v>
      </c>
      <c r="B281" s="4" t="s">
        <v>1566</v>
      </c>
      <c r="C281" s="4" t="s">
        <v>2204</v>
      </c>
      <c r="D281" s="4" t="s">
        <v>2205</v>
      </c>
      <c r="E281" s="4">
        <v>830228.0</v>
      </c>
      <c r="F281" s="6">
        <v>2.0</v>
      </c>
      <c r="G281" s="4" t="s">
        <v>2206</v>
      </c>
      <c r="H281" s="4" t="s">
        <v>2207</v>
      </c>
      <c r="I281" s="4">
        <v>731217.0</v>
      </c>
      <c r="J281" s="4" t="str">
        <f t="shared" si="1"/>
        <v>서동희8780</v>
      </c>
      <c r="K281" s="3" t="str">
        <f t="shared" si="2"/>
        <v>정상</v>
      </c>
      <c r="L281" s="4">
        <v>70000.0</v>
      </c>
      <c r="M281" s="4">
        <v>70000.0</v>
      </c>
      <c r="N281" s="4">
        <v>0.0</v>
      </c>
    </row>
    <row r="282">
      <c r="A282" s="6">
        <v>372.0</v>
      </c>
      <c r="B282" s="4" t="s">
        <v>1761</v>
      </c>
      <c r="C282" s="4" t="s">
        <v>2208</v>
      </c>
      <c r="D282" s="4" t="s">
        <v>2209</v>
      </c>
      <c r="E282" s="4">
        <v>920401.0</v>
      </c>
      <c r="F282" s="6">
        <v>2.0</v>
      </c>
      <c r="G282" s="3" t="s">
        <v>2210</v>
      </c>
      <c r="H282" s="3" t="s">
        <v>2211</v>
      </c>
      <c r="I282" s="3">
        <v>660411.0</v>
      </c>
      <c r="J282" s="4" t="str">
        <f t="shared" si="1"/>
        <v>이지아3589</v>
      </c>
      <c r="K282" s="3" t="str">
        <f t="shared" si="2"/>
        <v>정상</v>
      </c>
      <c r="L282" s="4">
        <v>70000.0</v>
      </c>
      <c r="M282" s="4">
        <v>70000.0</v>
      </c>
      <c r="N282" s="4">
        <v>0.0</v>
      </c>
    </row>
    <row r="283">
      <c r="A283" s="5">
        <v>643.0</v>
      </c>
      <c r="B283" s="3" t="s">
        <v>1007</v>
      </c>
      <c r="C283" s="3" t="s">
        <v>2212</v>
      </c>
      <c r="D283" s="3" t="s">
        <v>2213</v>
      </c>
      <c r="E283" s="3">
        <v>620420.0</v>
      </c>
      <c r="F283" s="5">
        <v>2.0</v>
      </c>
      <c r="G283" s="3" t="s">
        <v>2214</v>
      </c>
      <c r="H283" s="3" t="s">
        <v>2215</v>
      </c>
      <c r="I283" s="3">
        <v>571213.0</v>
      </c>
      <c r="J283" s="4" t="str">
        <f t="shared" si="1"/>
        <v>박영숙6432</v>
      </c>
      <c r="K283" s="3" t="str">
        <f t="shared" si="2"/>
        <v>정상</v>
      </c>
      <c r="L283" s="4">
        <v>70000.0</v>
      </c>
      <c r="M283" s="4">
        <v>70000.0</v>
      </c>
      <c r="N283" s="4">
        <v>0.0</v>
      </c>
    </row>
    <row r="284">
      <c r="A284" s="6">
        <v>134.0</v>
      </c>
      <c r="B284" s="4" t="s">
        <v>1204</v>
      </c>
      <c r="C284" s="4" t="s">
        <v>2216</v>
      </c>
      <c r="D284" s="4" t="s">
        <v>2217</v>
      </c>
      <c r="E284" s="4">
        <v>750620.0</v>
      </c>
      <c r="F284" s="6">
        <v>2.0</v>
      </c>
      <c r="G284" s="4" t="s">
        <v>2218</v>
      </c>
      <c r="H284" s="4" t="s">
        <v>2219</v>
      </c>
      <c r="I284" s="4">
        <v>91109.0</v>
      </c>
      <c r="J284" s="4" t="str">
        <f t="shared" si="1"/>
        <v>박보라5168</v>
      </c>
      <c r="K284" s="3" t="str">
        <f t="shared" si="2"/>
        <v>정상</v>
      </c>
      <c r="L284" s="4">
        <v>70000.0</v>
      </c>
      <c r="M284" s="4">
        <v>70000.0</v>
      </c>
      <c r="N284" s="4">
        <v>0.0</v>
      </c>
    </row>
    <row r="285">
      <c r="A285" s="6">
        <v>566.0</v>
      </c>
      <c r="B285" s="4" t="s">
        <v>1312</v>
      </c>
      <c r="C285" s="4" t="s">
        <v>2220</v>
      </c>
      <c r="D285" s="4" t="s">
        <v>2221</v>
      </c>
      <c r="E285" s="4">
        <v>791217.0</v>
      </c>
      <c r="F285" s="6">
        <v>2.0</v>
      </c>
      <c r="G285" s="4" t="s">
        <v>2218</v>
      </c>
      <c r="H285" s="4" t="s">
        <v>2222</v>
      </c>
      <c r="I285" s="4">
        <v>50704.0</v>
      </c>
      <c r="J285" s="4" t="str">
        <f t="shared" si="1"/>
        <v>홍미정3758</v>
      </c>
      <c r="K285" s="3" t="str">
        <f t="shared" si="2"/>
        <v>정상</v>
      </c>
      <c r="L285" s="4">
        <v>70000.0</v>
      </c>
      <c r="M285" s="4">
        <v>70000.0</v>
      </c>
      <c r="N285" s="4">
        <v>0.0</v>
      </c>
    </row>
    <row r="286">
      <c r="A286" s="6">
        <v>418.0</v>
      </c>
      <c r="B286" s="4" t="s">
        <v>1037</v>
      </c>
      <c r="C286" s="4" t="s">
        <v>2223</v>
      </c>
      <c r="D286" s="4" t="s">
        <v>2224</v>
      </c>
      <c r="E286" s="4">
        <v>550422.0</v>
      </c>
      <c r="F286" s="6">
        <v>2.0</v>
      </c>
      <c r="G286" s="4" t="s">
        <v>2225</v>
      </c>
      <c r="H286" s="4" t="s">
        <v>2226</v>
      </c>
      <c r="I286" s="4">
        <v>520617.0</v>
      </c>
      <c r="J286" s="4" t="str">
        <f t="shared" si="1"/>
        <v>임경란0986</v>
      </c>
      <c r="K286" s="3" t="str">
        <f t="shared" si="2"/>
        <v>정상</v>
      </c>
      <c r="L286" s="4">
        <v>70000.0</v>
      </c>
      <c r="M286" s="4">
        <v>70000.0</v>
      </c>
      <c r="N286" s="4">
        <v>0.0</v>
      </c>
    </row>
    <row r="287">
      <c r="A287" s="5">
        <v>627.0</v>
      </c>
      <c r="B287" s="3" t="s">
        <v>1699</v>
      </c>
      <c r="C287" s="3" t="s">
        <v>1406</v>
      </c>
      <c r="D287" s="3" t="s">
        <v>2227</v>
      </c>
      <c r="E287" s="3">
        <v>600627.0</v>
      </c>
      <c r="F287" s="5">
        <v>2.0</v>
      </c>
      <c r="G287" s="3" t="s">
        <v>2228</v>
      </c>
      <c r="H287" s="3" t="s">
        <v>2229</v>
      </c>
      <c r="I287" s="3">
        <v>580813.0</v>
      </c>
      <c r="J287" s="4" t="str">
        <f t="shared" si="1"/>
        <v>김영희1067</v>
      </c>
      <c r="K287" s="3" t="str">
        <f t="shared" si="2"/>
        <v>정상</v>
      </c>
      <c r="L287" s="4">
        <v>70000.0</v>
      </c>
      <c r="M287" s="4">
        <v>70000.0</v>
      </c>
      <c r="N287" s="4">
        <v>0.0</v>
      </c>
    </row>
    <row r="288">
      <c r="A288" s="6">
        <v>702.0</v>
      </c>
      <c r="B288" s="4" t="s">
        <v>2078</v>
      </c>
      <c r="C288" s="4" t="s">
        <v>2230</v>
      </c>
      <c r="D288" s="4" t="s">
        <v>2231</v>
      </c>
      <c r="E288" s="4">
        <v>550227.0</v>
      </c>
      <c r="F288" s="6">
        <v>2.0</v>
      </c>
      <c r="G288" s="4" t="s">
        <v>2232</v>
      </c>
      <c r="H288" s="4" t="s">
        <v>2233</v>
      </c>
      <c r="I288" s="4">
        <v>880518.0</v>
      </c>
      <c r="J288" s="4" t="str">
        <f t="shared" si="1"/>
        <v>최민주1857</v>
      </c>
      <c r="K288" s="3" t="str">
        <f t="shared" si="2"/>
        <v>정상</v>
      </c>
      <c r="L288" s="4">
        <v>70000.0</v>
      </c>
      <c r="M288" s="4">
        <v>70000.0</v>
      </c>
      <c r="N288" s="4">
        <v>0.0</v>
      </c>
    </row>
    <row r="289">
      <c r="A289" s="6">
        <v>712.0</v>
      </c>
      <c r="B289" s="4" t="s">
        <v>2234</v>
      </c>
      <c r="C289" s="4" t="s">
        <v>2235</v>
      </c>
      <c r="D289" s="4" t="s">
        <v>2236</v>
      </c>
      <c r="E289" s="4">
        <v>610906.0</v>
      </c>
      <c r="F289" s="6">
        <v>2.0</v>
      </c>
      <c r="G289" s="4" t="s">
        <v>2237</v>
      </c>
      <c r="H289" s="4" t="s">
        <v>2238</v>
      </c>
      <c r="I289" s="4">
        <v>700717.0</v>
      </c>
      <c r="J289" s="4" t="str">
        <f t="shared" si="1"/>
        <v>임영길6196</v>
      </c>
      <c r="K289" s="3" t="str">
        <f t="shared" si="2"/>
        <v>정상</v>
      </c>
      <c r="L289" s="4">
        <v>70000.0</v>
      </c>
      <c r="M289" s="4">
        <v>70000.0</v>
      </c>
      <c r="N289" s="4">
        <v>0.0</v>
      </c>
    </row>
    <row r="290">
      <c r="A290" s="6">
        <v>994.0</v>
      </c>
      <c r="B290" s="4" t="s">
        <v>1022</v>
      </c>
      <c r="C290" s="4" t="s">
        <v>2239</v>
      </c>
      <c r="D290" s="4" t="s">
        <v>2240</v>
      </c>
      <c r="E290" s="4">
        <v>580812.0</v>
      </c>
      <c r="F290" s="6">
        <v>2.0</v>
      </c>
      <c r="G290" s="4" t="s">
        <v>2241</v>
      </c>
      <c r="H290" s="4" t="s">
        <v>2242</v>
      </c>
      <c r="I290" s="4">
        <v>810215.0</v>
      </c>
      <c r="J290" s="4" t="str">
        <f t="shared" si="1"/>
        <v>전영옥4627</v>
      </c>
      <c r="K290" s="3" t="str">
        <f t="shared" si="2"/>
        <v>정상</v>
      </c>
      <c r="L290" s="4">
        <v>70000.0</v>
      </c>
      <c r="M290" s="4">
        <v>70000.0</v>
      </c>
      <c r="N290" s="4">
        <v>0.0</v>
      </c>
    </row>
    <row r="291">
      <c r="A291" s="6">
        <v>1162.0</v>
      </c>
      <c r="B291" s="4" t="s">
        <v>1165</v>
      </c>
      <c r="C291" s="4" t="s">
        <v>2243</v>
      </c>
      <c r="D291" s="4" t="s">
        <v>2244</v>
      </c>
      <c r="E291" s="4">
        <v>611218.0</v>
      </c>
      <c r="F291" s="6">
        <v>2.0</v>
      </c>
      <c r="G291" s="4" t="s">
        <v>2245</v>
      </c>
      <c r="H291" s="4" t="s">
        <v>2246</v>
      </c>
      <c r="I291" s="4">
        <v>550917.0</v>
      </c>
      <c r="J291" s="4" t="str">
        <f t="shared" si="1"/>
        <v>이숙희4254</v>
      </c>
      <c r="K291" s="3" t="str">
        <f t="shared" si="2"/>
        <v>정상</v>
      </c>
      <c r="L291" s="4">
        <v>70000.0</v>
      </c>
      <c r="M291" s="4">
        <v>70000.0</v>
      </c>
      <c r="N291" s="4">
        <v>0.0</v>
      </c>
    </row>
    <row r="292">
      <c r="A292" s="5">
        <v>695.0</v>
      </c>
      <c r="B292" s="3" t="s">
        <v>1245</v>
      </c>
      <c r="C292" s="3" t="s">
        <v>2247</v>
      </c>
      <c r="D292" s="3" t="s">
        <v>2248</v>
      </c>
      <c r="E292" s="3">
        <v>710221.0</v>
      </c>
      <c r="F292" s="5">
        <v>2.0</v>
      </c>
      <c r="G292" s="3" t="s">
        <v>2249</v>
      </c>
      <c r="H292" s="3" t="s">
        <v>2250</v>
      </c>
      <c r="I292" s="3">
        <v>40102.0</v>
      </c>
      <c r="J292" s="4" t="str">
        <f t="shared" si="1"/>
        <v>김미정9788</v>
      </c>
      <c r="K292" s="3" t="str">
        <f t="shared" si="2"/>
        <v>정상</v>
      </c>
      <c r="L292" s="4">
        <v>70000.0</v>
      </c>
      <c r="M292" s="4">
        <v>70000.0</v>
      </c>
      <c r="N292" s="4">
        <v>0.0</v>
      </c>
    </row>
    <row r="293">
      <c r="A293" s="6">
        <v>711.0</v>
      </c>
      <c r="B293" s="4" t="s">
        <v>2078</v>
      </c>
      <c r="C293" s="4" t="s">
        <v>2251</v>
      </c>
      <c r="D293" s="4" t="s">
        <v>2252</v>
      </c>
      <c r="E293" s="4">
        <v>491222.0</v>
      </c>
      <c r="F293" s="6">
        <v>2.0</v>
      </c>
      <c r="G293" s="4" t="s">
        <v>2253</v>
      </c>
      <c r="H293" s="4" t="s">
        <v>2254</v>
      </c>
      <c r="I293" s="4">
        <v>730212.0</v>
      </c>
      <c r="J293" s="4" t="str">
        <f t="shared" si="1"/>
        <v>안경자9297</v>
      </c>
      <c r="K293" s="3" t="str">
        <f t="shared" si="2"/>
        <v>정상</v>
      </c>
      <c r="L293" s="4">
        <v>70000.0</v>
      </c>
      <c r="M293" s="4">
        <v>70000.0</v>
      </c>
      <c r="N293" s="4">
        <v>0.0</v>
      </c>
    </row>
    <row r="294">
      <c r="A294" s="6">
        <v>746.0</v>
      </c>
      <c r="B294" s="4" t="s">
        <v>1057</v>
      </c>
      <c r="C294" s="4" t="s">
        <v>2255</v>
      </c>
      <c r="D294" s="4" t="s">
        <v>2256</v>
      </c>
      <c r="E294" s="4">
        <v>661225.0</v>
      </c>
      <c r="F294" s="6">
        <v>2.0</v>
      </c>
      <c r="G294" s="4" t="s">
        <v>2257</v>
      </c>
      <c r="H294" s="4" t="s">
        <v>2258</v>
      </c>
      <c r="I294" s="4">
        <v>730115.0</v>
      </c>
      <c r="J294" s="4" t="str">
        <f t="shared" si="1"/>
        <v>박진숙5310</v>
      </c>
      <c r="K294" s="3" t="str">
        <f t="shared" si="2"/>
        <v>정상</v>
      </c>
      <c r="L294" s="4">
        <v>70000.0</v>
      </c>
      <c r="M294" s="4">
        <v>70000.0</v>
      </c>
      <c r="N294" s="4">
        <v>0.0</v>
      </c>
    </row>
    <row r="295">
      <c r="A295" s="6">
        <v>405.0</v>
      </c>
      <c r="B295" s="4" t="s">
        <v>1195</v>
      </c>
      <c r="C295" s="4" t="s">
        <v>2259</v>
      </c>
      <c r="D295" s="4" t="s">
        <v>2260</v>
      </c>
      <c r="E295" s="4">
        <v>620707.0</v>
      </c>
      <c r="F295" s="6">
        <v>2.0</v>
      </c>
      <c r="G295" s="4" t="s">
        <v>2261</v>
      </c>
      <c r="H295" s="4" t="s">
        <v>2262</v>
      </c>
      <c r="I295" s="4">
        <v>530402.0</v>
      </c>
      <c r="J295" s="4" t="str">
        <f t="shared" si="1"/>
        <v>김순화9361</v>
      </c>
      <c r="K295" s="3" t="str">
        <f t="shared" si="2"/>
        <v>정상</v>
      </c>
      <c r="L295" s="4">
        <v>70000.0</v>
      </c>
      <c r="M295" s="4">
        <v>70000.0</v>
      </c>
      <c r="N295" s="4">
        <v>0.0</v>
      </c>
    </row>
    <row r="296">
      <c r="A296" s="6">
        <v>880.0</v>
      </c>
      <c r="B296" s="4" t="s">
        <v>1621</v>
      </c>
      <c r="C296" s="4" t="s">
        <v>2263</v>
      </c>
      <c r="D296" s="4" t="s">
        <v>2264</v>
      </c>
      <c r="E296" s="4">
        <v>740125.0</v>
      </c>
      <c r="F296" s="6">
        <v>2.0</v>
      </c>
      <c r="G296" s="4" t="s">
        <v>2265</v>
      </c>
      <c r="H296" s="4" t="s">
        <v>2266</v>
      </c>
      <c r="I296" s="4">
        <v>690503.0</v>
      </c>
      <c r="J296" s="4" t="str">
        <f t="shared" si="1"/>
        <v>조윤경5497</v>
      </c>
      <c r="K296" s="3" t="str">
        <f t="shared" si="2"/>
        <v>정상</v>
      </c>
      <c r="L296" s="4">
        <v>70000.0</v>
      </c>
      <c r="M296" s="4">
        <v>70000.0</v>
      </c>
      <c r="N296" s="4">
        <v>0.0</v>
      </c>
    </row>
    <row r="297">
      <c r="A297" s="6">
        <v>287.0</v>
      </c>
      <c r="B297" s="4" t="s">
        <v>2267</v>
      </c>
      <c r="C297" s="4" t="s">
        <v>2268</v>
      </c>
      <c r="D297" s="4" t="s">
        <v>2269</v>
      </c>
      <c r="E297" s="4">
        <v>800313.0</v>
      </c>
      <c r="F297" s="6">
        <v>2.0</v>
      </c>
      <c r="G297" s="4" t="s">
        <v>2270</v>
      </c>
      <c r="H297" s="4" t="s">
        <v>2271</v>
      </c>
      <c r="I297" s="4">
        <v>541203.0</v>
      </c>
      <c r="J297" s="4" t="str">
        <f t="shared" si="1"/>
        <v>김제니3130</v>
      </c>
      <c r="K297" s="3" t="str">
        <f t="shared" si="2"/>
        <v>정상</v>
      </c>
      <c r="L297" s="4">
        <v>70000.0</v>
      </c>
      <c r="M297" s="4">
        <v>70000.0</v>
      </c>
      <c r="N297" s="4">
        <v>0.0</v>
      </c>
    </row>
    <row r="298">
      <c r="A298" s="6">
        <v>219.0</v>
      </c>
      <c r="B298" s="4" t="s">
        <v>1575</v>
      </c>
      <c r="C298" s="4" t="s">
        <v>2272</v>
      </c>
      <c r="D298" s="4" t="s">
        <v>2273</v>
      </c>
      <c r="E298" s="4">
        <v>941019.0</v>
      </c>
      <c r="F298" s="6">
        <v>2.0</v>
      </c>
      <c r="G298" s="4" t="s">
        <v>2274</v>
      </c>
      <c r="H298" s="4" t="s">
        <v>2275</v>
      </c>
      <c r="I298" s="4">
        <v>620721.0</v>
      </c>
      <c r="J298" s="4" t="str">
        <f t="shared" si="1"/>
        <v>박찬호5700</v>
      </c>
      <c r="K298" s="3" t="str">
        <f t="shared" si="2"/>
        <v>정상</v>
      </c>
      <c r="L298" s="4">
        <v>70000.0</v>
      </c>
      <c r="M298" s="4">
        <v>70000.0</v>
      </c>
      <c r="N298" s="4">
        <v>0.0</v>
      </c>
    </row>
    <row r="299">
      <c r="A299" s="6">
        <v>528.0</v>
      </c>
      <c r="B299" s="4" t="s">
        <v>1789</v>
      </c>
      <c r="C299" s="4" t="s">
        <v>2276</v>
      </c>
      <c r="D299" s="4" t="s">
        <v>2277</v>
      </c>
      <c r="E299" s="4">
        <v>820701.0</v>
      </c>
      <c r="F299" s="6">
        <v>2.0</v>
      </c>
      <c r="G299" s="4" t="s">
        <v>2278</v>
      </c>
      <c r="H299" s="4" t="s">
        <v>2279</v>
      </c>
      <c r="I299" s="4">
        <v>660225.0</v>
      </c>
      <c r="J299" s="4" t="str">
        <f t="shared" si="1"/>
        <v>최준희0031</v>
      </c>
      <c r="K299" s="3" t="str">
        <f t="shared" si="2"/>
        <v>정상</v>
      </c>
      <c r="L299" s="4">
        <v>70000.0</v>
      </c>
      <c r="M299" s="4">
        <v>70000.0</v>
      </c>
      <c r="N299" s="4">
        <v>0.0</v>
      </c>
    </row>
    <row r="300">
      <c r="A300" s="6">
        <v>447.0</v>
      </c>
      <c r="B300" s="4" t="s">
        <v>1626</v>
      </c>
      <c r="C300" s="4" t="s">
        <v>2280</v>
      </c>
      <c r="D300" s="4" t="s">
        <v>2281</v>
      </c>
      <c r="E300" s="4">
        <v>701220.0</v>
      </c>
      <c r="F300" s="6">
        <v>2.0</v>
      </c>
      <c r="G300" s="4" t="s">
        <v>2282</v>
      </c>
      <c r="H300" s="4" t="s">
        <v>2283</v>
      </c>
      <c r="I300" s="4">
        <v>690502.0</v>
      </c>
      <c r="J300" s="4" t="str">
        <f t="shared" si="1"/>
        <v>강기정0940</v>
      </c>
      <c r="K300" s="3" t="str">
        <f t="shared" si="2"/>
        <v>정상</v>
      </c>
      <c r="L300" s="4">
        <v>70000.0</v>
      </c>
      <c r="M300" s="4">
        <v>70000.0</v>
      </c>
      <c r="N300" s="4">
        <v>0.0</v>
      </c>
    </row>
    <row r="301">
      <c r="A301" s="5">
        <v>983.0</v>
      </c>
      <c r="B301" s="3" t="s">
        <v>1022</v>
      </c>
      <c r="C301" s="3" t="s">
        <v>2284</v>
      </c>
      <c r="D301" s="3" t="s">
        <v>2285</v>
      </c>
      <c r="E301" s="3">
        <v>820727.0</v>
      </c>
      <c r="F301" s="5">
        <v>2.0</v>
      </c>
      <c r="G301" s="3" t="s">
        <v>2286</v>
      </c>
      <c r="H301" s="3" t="s">
        <v>2287</v>
      </c>
      <c r="I301" s="3">
        <v>800615.0</v>
      </c>
      <c r="J301" s="4" t="str">
        <f t="shared" si="1"/>
        <v>박찬영8428</v>
      </c>
      <c r="K301" s="3" t="str">
        <f t="shared" si="2"/>
        <v>정상</v>
      </c>
      <c r="L301" s="4">
        <v>70000.0</v>
      </c>
      <c r="M301" s="4">
        <v>70000.0</v>
      </c>
      <c r="N301" s="4">
        <v>0.0</v>
      </c>
    </row>
    <row r="302">
      <c r="A302" s="6">
        <v>809.0</v>
      </c>
      <c r="B302" s="4" t="s">
        <v>1232</v>
      </c>
      <c r="C302" s="4" t="s">
        <v>1663</v>
      </c>
      <c r="D302" s="4" t="s">
        <v>2288</v>
      </c>
      <c r="E302" s="4">
        <v>670801.0</v>
      </c>
      <c r="F302" s="6">
        <v>2.0</v>
      </c>
      <c r="G302" s="4" t="s">
        <v>2289</v>
      </c>
      <c r="H302" s="4" t="s">
        <v>2290</v>
      </c>
      <c r="I302" s="4">
        <v>590212.0</v>
      </c>
      <c r="J302" s="4" t="str">
        <f t="shared" si="1"/>
        <v>박수진9876</v>
      </c>
      <c r="K302" s="3" t="str">
        <f t="shared" si="2"/>
        <v>정상</v>
      </c>
      <c r="L302" s="4">
        <v>70000.0</v>
      </c>
      <c r="M302" s="4">
        <v>70000.0</v>
      </c>
      <c r="N302" s="4">
        <v>0.0</v>
      </c>
    </row>
    <row r="303">
      <c r="A303" s="6">
        <v>1121.0</v>
      </c>
      <c r="B303" s="4" t="s">
        <v>1358</v>
      </c>
      <c r="C303" s="4" t="s">
        <v>2291</v>
      </c>
      <c r="D303" s="4" t="s">
        <v>2292</v>
      </c>
      <c r="E303" s="4">
        <v>630415.0</v>
      </c>
      <c r="F303" s="6">
        <v>2.0</v>
      </c>
      <c r="G303" s="4" t="s">
        <v>2293</v>
      </c>
      <c r="H303" s="4" t="s">
        <v>2294</v>
      </c>
      <c r="I303" s="4">
        <v>710220.0</v>
      </c>
      <c r="J303" s="4" t="str">
        <f t="shared" si="1"/>
        <v>박태선8474</v>
      </c>
      <c r="K303" s="3" t="str">
        <f t="shared" si="2"/>
        <v>정상</v>
      </c>
      <c r="L303" s="4">
        <v>70000.0</v>
      </c>
      <c r="M303" s="4">
        <v>70000.0</v>
      </c>
      <c r="N303" s="4">
        <v>0.0</v>
      </c>
    </row>
    <row r="304">
      <c r="A304" s="6">
        <v>1234.0</v>
      </c>
      <c r="B304" s="4" t="s">
        <v>1209</v>
      </c>
      <c r="C304" s="4" t="s">
        <v>2295</v>
      </c>
      <c r="D304" s="4" t="s">
        <v>2296</v>
      </c>
      <c r="E304" s="4">
        <v>580410.0</v>
      </c>
      <c r="F304" s="6">
        <v>2.0</v>
      </c>
      <c r="G304" s="4" t="s">
        <v>2297</v>
      </c>
      <c r="H304" s="4" t="s">
        <v>2298</v>
      </c>
      <c r="I304" s="4">
        <v>580328.0</v>
      </c>
      <c r="J304" s="4" t="str">
        <f t="shared" si="1"/>
        <v>김서호1185</v>
      </c>
      <c r="K304" s="3" t="str">
        <f t="shared" si="2"/>
        <v>정상</v>
      </c>
      <c r="L304" s="4">
        <v>70000.0</v>
      </c>
      <c r="M304" s="4">
        <v>70000.0</v>
      </c>
      <c r="N304" s="4">
        <v>0.0</v>
      </c>
    </row>
    <row r="305">
      <c r="A305" s="6">
        <v>230.0</v>
      </c>
      <c r="B305" s="4" t="s">
        <v>1933</v>
      </c>
      <c r="C305" s="4" t="s">
        <v>2299</v>
      </c>
      <c r="D305" s="4" t="s">
        <v>2300</v>
      </c>
      <c r="E305" s="4">
        <v>771103.0</v>
      </c>
      <c r="F305" s="6">
        <v>2.0</v>
      </c>
      <c r="G305" s="4" t="s">
        <v>2301</v>
      </c>
      <c r="H305" s="4" t="s">
        <v>2302</v>
      </c>
      <c r="I305" s="4">
        <v>50518.0</v>
      </c>
      <c r="J305" s="4" t="str">
        <f t="shared" si="1"/>
        <v>이소희8603</v>
      </c>
      <c r="K305" s="3" t="str">
        <f t="shared" si="2"/>
        <v>정상</v>
      </c>
      <c r="L305" s="4">
        <v>70000.0</v>
      </c>
      <c r="M305" s="4">
        <v>70000.0</v>
      </c>
      <c r="N305" s="4">
        <v>0.0</v>
      </c>
    </row>
    <row r="306">
      <c r="A306" s="5">
        <v>1040.0</v>
      </c>
      <c r="B306" s="3" t="s">
        <v>1062</v>
      </c>
      <c r="C306" s="3" t="s">
        <v>2303</v>
      </c>
      <c r="D306" s="3" t="s">
        <v>2304</v>
      </c>
      <c r="E306" s="3">
        <v>640605.0</v>
      </c>
      <c r="F306" s="5">
        <v>2.0</v>
      </c>
      <c r="G306" s="3" t="s">
        <v>2305</v>
      </c>
      <c r="H306" s="3" t="s">
        <v>2306</v>
      </c>
      <c r="I306" s="3">
        <v>680416.0</v>
      </c>
      <c r="J306" s="4" t="str">
        <f t="shared" si="1"/>
        <v>이선화6780</v>
      </c>
      <c r="K306" s="3" t="str">
        <f t="shared" si="2"/>
        <v>정상</v>
      </c>
      <c r="L306" s="4">
        <v>70000.0</v>
      </c>
      <c r="M306" s="4">
        <v>70000.0</v>
      </c>
      <c r="N306" s="4">
        <v>0.0</v>
      </c>
    </row>
    <row r="307">
      <c r="A307" s="6">
        <v>441.0</v>
      </c>
      <c r="B307" s="4" t="s">
        <v>1381</v>
      </c>
      <c r="C307" s="4" t="s">
        <v>2307</v>
      </c>
      <c r="D307" s="4" t="s">
        <v>2308</v>
      </c>
      <c r="E307" s="4">
        <v>710912.0</v>
      </c>
      <c r="F307" s="6">
        <v>2.0</v>
      </c>
      <c r="G307" s="4" t="s">
        <v>2309</v>
      </c>
      <c r="H307" s="4" t="s">
        <v>2310</v>
      </c>
      <c r="I307" s="4">
        <v>730703.0</v>
      </c>
      <c r="J307" s="4" t="str">
        <f t="shared" si="1"/>
        <v>문정아4901</v>
      </c>
      <c r="K307" s="3" t="str">
        <f t="shared" si="2"/>
        <v>정상</v>
      </c>
      <c r="L307" s="4">
        <v>70000.0</v>
      </c>
      <c r="M307" s="4">
        <v>70000.0</v>
      </c>
      <c r="N307" s="4">
        <v>0.0</v>
      </c>
    </row>
    <row r="308">
      <c r="A308" s="6">
        <v>237.0</v>
      </c>
      <c r="B308" s="4" t="s">
        <v>1933</v>
      </c>
      <c r="C308" s="4" t="s">
        <v>2311</v>
      </c>
      <c r="D308" s="4" t="s">
        <v>2312</v>
      </c>
      <c r="E308" s="4">
        <v>930225.0</v>
      </c>
      <c r="F308" s="6">
        <v>2.0</v>
      </c>
      <c r="G308" s="4" t="s">
        <v>2313</v>
      </c>
      <c r="H308" s="4" t="s">
        <v>2314</v>
      </c>
      <c r="I308" s="4">
        <v>950430.0</v>
      </c>
      <c r="J308" s="4" t="str">
        <f t="shared" si="1"/>
        <v>문대영8427</v>
      </c>
      <c r="K308" s="3" t="str">
        <f t="shared" si="2"/>
        <v>정상</v>
      </c>
      <c r="L308" s="4">
        <v>70000.0</v>
      </c>
      <c r="M308" s="4">
        <v>70000.0</v>
      </c>
      <c r="N308" s="4">
        <v>0.0</v>
      </c>
    </row>
    <row r="309">
      <c r="A309" s="5">
        <v>310.0</v>
      </c>
      <c r="B309" s="3" t="s">
        <v>2123</v>
      </c>
      <c r="C309" s="3" t="s">
        <v>2315</v>
      </c>
      <c r="D309" s="3" t="s">
        <v>2316</v>
      </c>
      <c r="E309" s="3">
        <v>600815.0</v>
      </c>
      <c r="F309" s="5">
        <v>2.0</v>
      </c>
      <c r="G309" s="3" t="s">
        <v>2317</v>
      </c>
      <c r="H309" s="3" t="s">
        <v>2318</v>
      </c>
      <c r="I309" s="3">
        <v>600618.0</v>
      </c>
      <c r="J309" s="4" t="str">
        <f t="shared" si="1"/>
        <v>채경숙4334</v>
      </c>
      <c r="K309" s="3" t="str">
        <f t="shared" si="2"/>
        <v>정상</v>
      </c>
      <c r="L309" s="4">
        <v>70000.0</v>
      </c>
      <c r="M309" s="4">
        <v>70000.0</v>
      </c>
      <c r="N309" s="4">
        <v>0.0</v>
      </c>
    </row>
    <row r="310">
      <c r="A310" s="6">
        <v>1044.0</v>
      </c>
      <c r="B310" s="4" t="s">
        <v>1062</v>
      </c>
      <c r="C310" s="4" t="s">
        <v>2319</v>
      </c>
      <c r="D310" s="4" t="s">
        <v>2320</v>
      </c>
      <c r="E310" s="4">
        <v>660719.0</v>
      </c>
      <c r="F310" s="6">
        <v>2.0</v>
      </c>
      <c r="G310" s="4" t="s">
        <v>2321</v>
      </c>
      <c r="H310" s="4" t="s">
        <v>2322</v>
      </c>
      <c r="I310" s="4">
        <v>660926.0</v>
      </c>
      <c r="J310" s="4" t="str">
        <f t="shared" si="1"/>
        <v>강의정3696</v>
      </c>
      <c r="K310" s="3" t="str">
        <f t="shared" si="2"/>
        <v>정상</v>
      </c>
      <c r="L310" s="4">
        <v>70000.0</v>
      </c>
      <c r="M310" s="4">
        <v>70000.0</v>
      </c>
      <c r="N310" s="4">
        <v>0.0</v>
      </c>
    </row>
    <row r="311">
      <c r="A311" s="6">
        <v>1120.0</v>
      </c>
      <c r="B311" s="4" t="s">
        <v>1358</v>
      </c>
      <c r="C311" s="4" t="s">
        <v>2323</v>
      </c>
      <c r="D311" s="4" t="s">
        <v>2324</v>
      </c>
      <c r="E311" s="4">
        <v>560425.0</v>
      </c>
      <c r="F311" s="6">
        <v>2.0</v>
      </c>
      <c r="G311" s="4" t="s">
        <v>2325</v>
      </c>
      <c r="H311" s="4" t="s">
        <v>2326</v>
      </c>
      <c r="I311" s="4">
        <v>600325.0</v>
      </c>
      <c r="J311" s="4" t="str">
        <f t="shared" si="1"/>
        <v>김갑례6061</v>
      </c>
      <c r="K311" s="3" t="str">
        <f t="shared" si="2"/>
        <v>정상</v>
      </c>
      <c r="L311" s="4">
        <v>70000.0</v>
      </c>
      <c r="M311" s="4">
        <v>70000.0</v>
      </c>
      <c r="N311" s="4">
        <v>0.0</v>
      </c>
    </row>
    <row r="312">
      <c r="A312" s="5">
        <v>682.0</v>
      </c>
      <c r="B312" s="3" t="s">
        <v>1434</v>
      </c>
      <c r="C312" s="3" t="s">
        <v>2327</v>
      </c>
      <c r="D312" s="3" t="s">
        <v>2328</v>
      </c>
      <c r="E312" s="3">
        <v>640122.0</v>
      </c>
      <c r="F312" s="5">
        <v>2.0</v>
      </c>
      <c r="G312" s="3" t="s">
        <v>2329</v>
      </c>
      <c r="H312" s="3" t="s">
        <v>2330</v>
      </c>
      <c r="I312" s="3">
        <v>550731.0</v>
      </c>
      <c r="J312" s="4" t="str">
        <f t="shared" si="1"/>
        <v>배성숙5773</v>
      </c>
      <c r="K312" s="3" t="str">
        <f t="shared" si="2"/>
        <v>정상</v>
      </c>
      <c r="L312" s="4">
        <v>70000.0</v>
      </c>
      <c r="M312" s="4">
        <v>70000.0</v>
      </c>
      <c r="N312" s="4">
        <v>0.0</v>
      </c>
    </row>
    <row r="313">
      <c r="A313" s="6">
        <v>557.0</v>
      </c>
      <c r="B313" s="4" t="s">
        <v>1552</v>
      </c>
      <c r="C313" s="4" t="s">
        <v>2331</v>
      </c>
      <c r="D313" s="4" t="s">
        <v>2332</v>
      </c>
      <c r="E313" s="4">
        <v>620205.0</v>
      </c>
      <c r="F313" s="6">
        <v>2.0</v>
      </c>
      <c r="G313" s="4" t="s">
        <v>2333</v>
      </c>
      <c r="H313" s="4" t="s">
        <v>2334</v>
      </c>
      <c r="I313" s="4">
        <v>660210.0</v>
      </c>
      <c r="J313" s="4" t="str">
        <f t="shared" si="1"/>
        <v>최인성2300</v>
      </c>
      <c r="K313" s="3" t="str">
        <f t="shared" si="2"/>
        <v>정상</v>
      </c>
      <c r="L313" s="4">
        <v>70000.0</v>
      </c>
      <c r="M313" s="4">
        <v>70000.0</v>
      </c>
      <c r="N313" s="4">
        <v>0.0</v>
      </c>
    </row>
    <row r="314">
      <c r="A314" s="6">
        <v>165.0</v>
      </c>
      <c r="B314" s="4" t="s">
        <v>1287</v>
      </c>
      <c r="C314" s="4" t="s">
        <v>2335</v>
      </c>
      <c r="D314" s="4" t="s">
        <v>2336</v>
      </c>
      <c r="E314" s="4">
        <v>781220.0</v>
      </c>
      <c r="F314" s="6">
        <v>2.0</v>
      </c>
      <c r="G314" s="4" t="s">
        <v>2337</v>
      </c>
      <c r="H314" s="4" t="s">
        <v>2338</v>
      </c>
      <c r="I314" s="4">
        <v>781224.0</v>
      </c>
      <c r="J314" s="4" t="str">
        <f t="shared" si="1"/>
        <v>장진영1978</v>
      </c>
      <c r="K314" s="3" t="str">
        <f t="shared" si="2"/>
        <v>정상</v>
      </c>
      <c r="L314" s="4">
        <v>70000.0</v>
      </c>
      <c r="M314" s="4">
        <v>70000.0</v>
      </c>
      <c r="N314" s="4">
        <v>0.0</v>
      </c>
    </row>
    <row r="315">
      <c r="A315" s="6">
        <v>872.0</v>
      </c>
      <c r="B315" s="4" t="s">
        <v>1621</v>
      </c>
      <c r="C315" s="4" t="s">
        <v>2339</v>
      </c>
      <c r="D315" s="4" t="s">
        <v>2340</v>
      </c>
      <c r="E315" s="4">
        <v>680820.0</v>
      </c>
      <c r="F315" s="6">
        <v>2.0</v>
      </c>
      <c r="G315" s="4" t="s">
        <v>2341</v>
      </c>
      <c r="H315" s="4" t="s">
        <v>2342</v>
      </c>
      <c r="I315" s="4">
        <v>600225.0</v>
      </c>
      <c r="J315" s="4" t="str">
        <f t="shared" si="1"/>
        <v>노춘자8460</v>
      </c>
      <c r="K315" s="3" t="str">
        <f t="shared" si="2"/>
        <v>정상</v>
      </c>
      <c r="L315" s="4">
        <v>70000.0</v>
      </c>
      <c r="M315" s="4">
        <v>70000.0</v>
      </c>
      <c r="N315" s="4">
        <v>0.0</v>
      </c>
    </row>
    <row r="316">
      <c r="A316" s="5">
        <v>1209.0</v>
      </c>
      <c r="B316" s="3" t="s">
        <v>1454</v>
      </c>
      <c r="C316" s="3" t="s">
        <v>2343</v>
      </c>
      <c r="D316" s="3" t="s">
        <v>2344</v>
      </c>
      <c r="E316" s="3">
        <v>610304.0</v>
      </c>
      <c r="F316" s="5">
        <v>2.0</v>
      </c>
      <c r="G316" s="3" t="s">
        <v>2345</v>
      </c>
      <c r="H316" s="3" t="s">
        <v>2346</v>
      </c>
      <c r="I316" s="3">
        <v>621230.0</v>
      </c>
      <c r="J316" s="4" t="str">
        <f t="shared" si="1"/>
        <v>이양규3461</v>
      </c>
      <c r="K316" s="3" t="str">
        <f t="shared" si="2"/>
        <v>정상</v>
      </c>
      <c r="L316" s="4">
        <v>70000.0</v>
      </c>
      <c r="M316" s="4">
        <v>70000.0</v>
      </c>
      <c r="N316" s="4">
        <v>0.0</v>
      </c>
    </row>
    <row r="317">
      <c r="A317" s="6">
        <v>195.0</v>
      </c>
      <c r="B317" s="4" t="s">
        <v>1282</v>
      </c>
      <c r="C317" s="4" t="s">
        <v>2347</v>
      </c>
      <c r="D317" s="4" t="s">
        <v>2348</v>
      </c>
      <c r="E317" s="4">
        <v>981113.0</v>
      </c>
      <c r="F317" s="6">
        <v>2.0</v>
      </c>
      <c r="G317" s="4" t="s">
        <v>2349</v>
      </c>
      <c r="H317" s="4" t="s">
        <v>2350</v>
      </c>
      <c r="I317" s="4">
        <v>680207.0</v>
      </c>
      <c r="J317" s="4" t="str">
        <f t="shared" si="1"/>
        <v>심우철0295</v>
      </c>
      <c r="K317" s="3" t="str">
        <f t="shared" si="2"/>
        <v>정상</v>
      </c>
      <c r="L317" s="4">
        <v>70000.0</v>
      </c>
      <c r="M317" s="4">
        <v>70000.0</v>
      </c>
      <c r="N317" s="4">
        <v>0.0</v>
      </c>
    </row>
    <row r="318">
      <c r="A318" s="6">
        <v>1047.0</v>
      </c>
      <c r="B318" s="4" t="s">
        <v>1047</v>
      </c>
      <c r="C318" s="4" t="s">
        <v>1697</v>
      </c>
      <c r="D318" s="4" t="s">
        <v>2351</v>
      </c>
      <c r="E318" s="4">
        <v>691119.0</v>
      </c>
      <c r="F318" s="6">
        <v>2.0</v>
      </c>
      <c r="G318" s="4" t="s">
        <v>2352</v>
      </c>
      <c r="H318" s="4" t="s">
        <v>2353</v>
      </c>
      <c r="I318" s="4">
        <v>620125.0</v>
      </c>
      <c r="J318" s="4" t="str">
        <f t="shared" si="1"/>
        <v>이현숙7067</v>
      </c>
      <c r="K318" s="3" t="str">
        <f t="shared" si="2"/>
        <v>정상</v>
      </c>
      <c r="L318" s="4">
        <v>70000.0</v>
      </c>
      <c r="M318" s="4">
        <v>70000.0</v>
      </c>
      <c r="N318" s="4">
        <v>0.0</v>
      </c>
    </row>
    <row r="319">
      <c r="A319" s="6">
        <v>473.0</v>
      </c>
      <c r="B319" s="4" t="s">
        <v>1808</v>
      </c>
      <c r="C319" s="4" t="s">
        <v>1860</v>
      </c>
      <c r="D319" s="4" t="s">
        <v>2354</v>
      </c>
      <c r="E319" s="4">
        <v>760502.0</v>
      </c>
      <c r="F319" s="6">
        <v>2.0</v>
      </c>
      <c r="G319" s="4" t="s">
        <v>2355</v>
      </c>
      <c r="H319" s="4" t="s">
        <v>2356</v>
      </c>
      <c r="I319" s="4">
        <v>701128.0</v>
      </c>
      <c r="J319" s="4" t="str">
        <f t="shared" si="1"/>
        <v>김미희6092</v>
      </c>
      <c r="K319" s="3" t="str">
        <f t="shared" si="2"/>
        <v>정상</v>
      </c>
      <c r="L319" s="4">
        <v>70000.0</v>
      </c>
      <c r="M319" s="4">
        <v>70000.0</v>
      </c>
      <c r="N319" s="4">
        <v>0.0</v>
      </c>
    </row>
    <row r="320">
      <c r="A320" s="6">
        <v>760.0</v>
      </c>
      <c r="B320" s="4" t="s">
        <v>1292</v>
      </c>
      <c r="C320" s="4" t="s">
        <v>2357</v>
      </c>
      <c r="D320" s="4" t="s">
        <v>2358</v>
      </c>
      <c r="E320" s="4">
        <v>661011.0</v>
      </c>
      <c r="F320" s="6">
        <v>2.0</v>
      </c>
      <c r="G320" s="4" t="s">
        <v>2355</v>
      </c>
      <c r="H320" s="4" t="s">
        <v>2359</v>
      </c>
      <c r="I320" s="4">
        <v>930225.0</v>
      </c>
      <c r="J320" s="4" t="str">
        <f t="shared" si="1"/>
        <v>한은경9703</v>
      </c>
      <c r="K320" s="3" t="str">
        <f t="shared" si="2"/>
        <v>정상</v>
      </c>
      <c r="L320" s="4">
        <v>70000.0</v>
      </c>
      <c r="M320" s="4">
        <v>70000.0</v>
      </c>
      <c r="N320" s="4">
        <v>0.0</v>
      </c>
    </row>
    <row r="321">
      <c r="A321" s="5">
        <v>153.0</v>
      </c>
      <c r="B321" s="3" t="s">
        <v>1287</v>
      </c>
      <c r="C321" s="3" t="s">
        <v>2360</v>
      </c>
      <c r="D321" s="3" t="s">
        <v>2361</v>
      </c>
      <c r="E321" s="3">
        <v>820303.0</v>
      </c>
      <c r="F321" s="5">
        <v>2.0</v>
      </c>
      <c r="G321" s="3" t="s">
        <v>2362</v>
      </c>
      <c r="H321" s="3" t="s">
        <v>2363</v>
      </c>
      <c r="I321" s="3">
        <v>421026.0</v>
      </c>
      <c r="J321" s="4" t="str">
        <f t="shared" si="1"/>
        <v>김성혜5493</v>
      </c>
      <c r="K321" s="3" t="str">
        <f t="shared" si="2"/>
        <v>정상</v>
      </c>
      <c r="L321" s="4">
        <v>70000.0</v>
      </c>
      <c r="M321" s="4">
        <v>70000.0</v>
      </c>
      <c r="N321" s="4">
        <v>0.0</v>
      </c>
    </row>
    <row r="322">
      <c r="A322" s="6">
        <v>179.0</v>
      </c>
      <c r="B322" s="4" t="s">
        <v>1250</v>
      </c>
      <c r="C322" s="4" t="s">
        <v>2364</v>
      </c>
      <c r="D322" s="4" t="s">
        <v>2365</v>
      </c>
      <c r="E322" s="4">
        <v>450822.0</v>
      </c>
      <c r="F322" s="6">
        <v>2.0</v>
      </c>
      <c r="G322" s="4" t="s">
        <v>2366</v>
      </c>
      <c r="H322" s="4" t="s">
        <v>2367</v>
      </c>
      <c r="I322" s="4">
        <v>471208.0</v>
      </c>
      <c r="J322" s="4" t="str">
        <f t="shared" si="1"/>
        <v>박상용2640</v>
      </c>
      <c r="K322" s="3" t="str">
        <f t="shared" si="2"/>
        <v>정상</v>
      </c>
      <c r="L322" s="4">
        <v>70000.0</v>
      </c>
      <c r="M322" s="4">
        <v>70000.0</v>
      </c>
      <c r="N322" s="4">
        <v>0.0</v>
      </c>
    </row>
    <row r="323">
      <c r="A323" s="6">
        <v>334.0</v>
      </c>
      <c r="B323" s="4" t="s">
        <v>1052</v>
      </c>
      <c r="C323" s="4" t="s">
        <v>2368</v>
      </c>
      <c r="D323" s="4" t="s">
        <v>2369</v>
      </c>
      <c r="E323" s="4">
        <v>750724.0</v>
      </c>
      <c r="F323" s="6">
        <v>2.0</v>
      </c>
      <c r="G323" s="4" t="s">
        <v>2370</v>
      </c>
      <c r="H323" s="4" t="s">
        <v>2371</v>
      </c>
      <c r="I323" s="4">
        <v>731203.0</v>
      </c>
      <c r="J323" s="4" t="str">
        <f t="shared" si="1"/>
        <v>장재성2905</v>
      </c>
      <c r="K323" s="3" t="str">
        <f t="shared" si="2"/>
        <v>정상</v>
      </c>
      <c r="L323" s="4">
        <v>70000.0</v>
      </c>
      <c r="M323" s="4">
        <v>70000.0</v>
      </c>
      <c r="N323" s="4">
        <v>0.0</v>
      </c>
    </row>
    <row r="324">
      <c r="A324" s="6">
        <v>258.0</v>
      </c>
      <c r="B324" s="4" t="s">
        <v>1160</v>
      </c>
      <c r="C324" s="4" t="s">
        <v>2372</v>
      </c>
      <c r="D324" s="4" t="s">
        <v>2373</v>
      </c>
      <c r="E324" s="4">
        <v>800419.0</v>
      </c>
      <c r="F324" s="6">
        <v>2.0</v>
      </c>
      <c r="G324" s="4" t="s">
        <v>2374</v>
      </c>
      <c r="H324" s="4" t="s">
        <v>2375</v>
      </c>
      <c r="I324" s="4">
        <v>820513.0</v>
      </c>
      <c r="J324" s="4" t="str">
        <f t="shared" si="1"/>
        <v>신영동2172</v>
      </c>
      <c r="K324" s="3" t="str">
        <f t="shared" si="2"/>
        <v>정상</v>
      </c>
      <c r="L324" s="4">
        <v>70000.0</v>
      </c>
      <c r="M324" s="4">
        <v>70000.0</v>
      </c>
      <c r="N324" s="4">
        <v>0.0</v>
      </c>
    </row>
    <row r="325">
      <c r="A325" s="6">
        <v>151.0</v>
      </c>
      <c r="B325" s="4" t="s">
        <v>1287</v>
      </c>
      <c r="C325" s="4" t="s">
        <v>2376</v>
      </c>
      <c r="D325" s="4" t="s">
        <v>2377</v>
      </c>
      <c r="E325" s="4">
        <v>940426.0</v>
      </c>
      <c r="F325" s="6">
        <v>2.0</v>
      </c>
      <c r="G325" s="4" t="s">
        <v>2378</v>
      </c>
      <c r="H325" s="4" t="s">
        <v>2379</v>
      </c>
      <c r="I325" s="4">
        <v>660226.0</v>
      </c>
      <c r="J325" s="4" t="str">
        <f t="shared" si="1"/>
        <v>고민경6970</v>
      </c>
      <c r="K325" s="3" t="str">
        <f t="shared" si="2"/>
        <v>정상</v>
      </c>
      <c r="L325" s="4">
        <v>70000.0</v>
      </c>
      <c r="M325" s="4">
        <v>70000.0</v>
      </c>
      <c r="N325" s="4">
        <v>0.0</v>
      </c>
    </row>
    <row r="326">
      <c r="A326" s="5">
        <v>429.0</v>
      </c>
      <c r="B326" s="3" t="s">
        <v>1730</v>
      </c>
      <c r="C326" s="3" t="s">
        <v>2380</v>
      </c>
      <c r="D326" s="3" t="s">
        <v>2381</v>
      </c>
      <c r="E326" s="3">
        <v>620315.0</v>
      </c>
      <c r="F326" s="5">
        <v>2.0</v>
      </c>
      <c r="G326" s="3" t="s">
        <v>2382</v>
      </c>
      <c r="H326" s="3" t="s">
        <v>2383</v>
      </c>
      <c r="I326" s="3">
        <v>560918.0</v>
      </c>
      <c r="J326" s="4" t="str">
        <f t="shared" si="1"/>
        <v>배미경4989</v>
      </c>
      <c r="K326" s="3" t="str">
        <f t="shared" si="2"/>
        <v>정상</v>
      </c>
      <c r="L326" s="4">
        <v>70000.0</v>
      </c>
      <c r="M326" s="4">
        <v>70000.0</v>
      </c>
      <c r="N326" s="4">
        <v>0.0</v>
      </c>
    </row>
    <row r="327">
      <c r="A327" s="6">
        <v>867.0</v>
      </c>
      <c r="B327" s="4" t="s">
        <v>1621</v>
      </c>
      <c r="C327" s="4" t="s">
        <v>2384</v>
      </c>
      <c r="D327" s="4" t="s">
        <v>2385</v>
      </c>
      <c r="E327" s="4">
        <v>710815.0</v>
      </c>
      <c r="F327" s="6">
        <v>2.0</v>
      </c>
      <c r="G327" s="4" t="s">
        <v>2386</v>
      </c>
      <c r="H327" s="4" t="s">
        <v>2387</v>
      </c>
      <c r="I327" s="4">
        <v>760118.0</v>
      </c>
      <c r="J327" s="4" t="str">
        <f t="shared" si="1"/>
        <v>김소영6122</v>
      </c>
      <c r="K327" s="3" t="str">
        <f t="shared" si="2"/>
        <v>정상</v>
      </c>
      <c r="L327" s="4">
        <v>70000.0</v>
      </c>
      <c r="M327" s="4">
        <v>70000.0</v>
      </c>
      <c r="N327" s="4">
        <v>0.0</v>
      </c>
    </row>
    <row r="328">
      <c r="A328" s="6">
        <v>286.0</v>
      </c>
      <c r="B328" s="4" t="s">
        <v>2267</v>
      </c>
      <c r="C328" s="4" t="s">
        <v>2388</v>
      </c>
      <c r="D328" s="4" t="s">
        <v>2389</v>
      </c>
      <c r="E328" s="4">
        <v>640722.0</v>
      </c>
      <c r="F328" s="6">
        <v>2.0</v>
      </c>
      <c r="G328" s="4" t="s">
        <v>2386</v>
      </c>
      <c r="H328" s="4" t="s">
        <v>2390</v>
      </c>
      <c r="I328" s="4">
        <v>640301.0</v>
      </c>
      <c r="J328" s="4" t="str">
        <f t="shared" si="1"/>
        <v>정현종0075</v>
      </c>
      <c r="K328" s="3" t="str">
        <f t="shared" si="2"/>
        <v>정상</v>
      </c>
      <c r="L328" s="4">
        <v>70000.0</v>
      </c>
      <c r="M328" s="4">
        <v>70000.0</v>
      </c>
      <c r="N328" s="4">
        <v>0.0</v>
      </c>
    </row>
    <row r="329">
      <c r="A329" s="6">
        <v>1142.0</v>
      </c>
      <c r="B329" s="4" t="s">
        <v>1165</v>
      </c>
      <c r="C329" s="4" t="s">
        <v>2391</v>
      </c>
      <c r="D329" s="4" t="s">
        <v>2392</v>
      </c>
      <c r="E329" s="4">
        <v>650712.0</v>
      </c>
      <c r="F329" s="6">
        <v>2.0</v>
      </c>
      <c r="G329" s="4" t="s">
        <v>2393</v>
      </c>
      <c r="H329" s="4" t="s">
        <v>2394</v>
      </c>
      <c r="I329" s="4">
        <v>691123.0</v>
      </c>
      <c r="J329" s="4" t="str">
        <f t="shared" si="1"/>
        <v>김남희6223</v>
      </c>
      <c r="K329" s="3" t="str">
        <f t="shared" si="2"/>
        <v>정상</v>
      </c>
      <c r="L329" s="4">
        <v>70000.0</v>
      </c>
      <c r="M329" s="4">
        <v>70000.0</v>
      </c>
      <c r="N329" s="4">
        <v>0.0</v>
      </c>
    </row>
    <row r="330">
      <c r="A330" s="5">
        <v>670.0</v>
      </c>
      <c r="B330" s="3" t="s">
        <v>1100</v>
      </c>
      <c r="C330" s="3" t="s">
        <v>2395</v>
      </c>
      <c r="D330" s="3" t="s">
        <v>2396</v>
      </c>
      <c r="E330" s="3">
        <v>700623.0</v>
      </c>
      <c r="F330" s="5">
        <v>2.0</v>
      </c>
      <c r="G330" s="3" t="s">
        <v>2397</v>
      </c>
      <c r="H330" s="3" t="s">
        <v>2398</v>
      </c>
      <c r="I330" s="3">
        <v>750410.0</v>
      </c>
      <c r="J330" s="4" t="str">
        <f t="shared" si="1"/>
        <v>최은혜2348</v>
      </c>
      <c r="K330" s="3" t="str">
        <f t="shared" si="2"/>
        <v>정상</v>
      </c>
      <c r="L330" s="4">
        <v>70000.0</v>
      </c>
      <c r="M330" s="4">
        <v>70000.0</v>
      </c>
      <c r="N330" s="4">
        <v>0.0</v>
      </c>
    </row>
    <row r="331">
      <c r="A331" s="6">
        <v>295.0</v>
      </c>
      <c r="B331" s="4" t="s">
        <v>1304</v>
      </c>
      <c r="C331" s="4" t="s">
        <v>2399</v>
      </c>
      <c r="D331" s="4" t="s">
        <v>2400</v>
      </c>
      <c r="E331" s="4">
        <v>740228.0</v>
      </c>
      <c r="F331" s="6">
        <v>2.0</v>
      </c>
      <c r="G331" s="4" t="s">
        <v>2401</v>
      </c>
      <c r="H331" s="4" t="s">
        <v>2402</v>
      </c>
      <c r="I331" s="4">
        <v>730105.0</v>
      </c>
      <c r="J331" s="4" t="str">
        <f t="shared" si="1"/>
        <v>하문혜1770</v>
      </c>
      <c r="K331" s="3" t="str">
        <f t="shared" si="2"/>
        <v>정상</v>
      </c>
      <c r="L331" s="4">
        <v>70000.0</v>
      </c>
      <c r="M331" s="4">
        <v>70000.0</v>
      </c>
      <c r="N331" s="4">
        <v>0.0</v>
      </c>
    </row>
    <row r="332">
      <c r="A332" s="6">
        <v>157.0</v>
      </c>
      <c r="B332" s="4" t="s">
        <v>1287</v>
      </c>
      <c r="C332" s="4" t="s">
        <v>2403</v>
      </c>
      <c r="D332" s="4" t="s">
        <v>2404</v>
      </c>
      <c r="E332" s="4">
        <v>610911.0</v>
      </c>
      <c r="F332" s="6">
        <v>2.0</v>
      </c>
      <c r="G332" s="4" t="s">
        <v>2405</v>
      </c>
      <c r="H332" s="4" t="s">
        <v>2406</v>
      </c>
      <c r="I332" s="4">
        <v>600610.0</v>
      </c>
      <c r="J332" s="4" t="str">
        <f t="shared" si="1"/>
        <v>황기자1154</v>
      </c>
      <c r="K332" s="3" t="str">
        <f t="shared" si="2"/>
        <v>정상</v>
      </c>
      <c r="L332" s="4">
        <v>70000.0</v>
      </c>
      <c r="M332" s="4">
        <v>70000.0</v>
      </c>
      <c r="N332" s="4">
        <v>0.0</v>
      </c>
    </row>
    <row r="333">
      <c r="A333" s="6">
        <v>359.0</v>
      </c>
      <c r="B333" s="4" t="s">
        <v>1086</v>
      </c>
      <c r="C333" s="4" t="s">
        <v>2407</v>
      </c>
      <c r="D333" s="4" t="s">
        <v>2408</v>
      </c>
      <c r="E333" s="4">
        <v>720307.0</v>
      </c>
      <c r="F333" s="6">
        <v>2.0</v>
      </c>
      <c r="G333" s="4" t="s">
        <v>2409</v>
      </c>
      <c r="H333" s="4" t="s">
        <v>2410</v>
      </c>
      <c r="I333" s="4">
        <v>710327.0</v>
      </c>
      <c r="J333" s="4" t="str">
        <f t="shared" si="1"/>
        <v>임은정8171</v>
      </c>
      <c r="K333" s="3" t="str">
        <f t="shared" si="2"/>
        <v>정상</v>
      </c>
      <c r="L333" s="4">
        <v>70000.0</v>
      </c>
      <c r="M333" s="4">
        <v>70000.0</v>
      </c>
      <c r="N333" s="4">
        <v>0.0</v>
      </c>
    </row>
    <row r="334">
      <c r="A334" s="6">
        <v>816.0</v>
      </c>
      <c r="B334" s="4" t="s">
        <v>1124</v>
      </c>
      <c r="C334" s="4" t="s">
        <v>2411</v>
      </c>
      <c r="D334" s="4" t="s">
        <v>2412</v>
      </c>
      <c r="E334" s="4">
        <v>540929.0</v>
      </c>
      <c r="F334" s="6">
        <v>2.0</v>
      </c>
      <c r="G334" s="4" t="s">
        <v>2409</v>
      </c>
      <c r="H334" s="4" t="s">
        <v>2413</v>
      </c>
      <c r="I334" s="4">
        <v>760805.0</v>
      </c>
      <c r="J334" s="4" t="str">
        <f t="shared" si="1"/>
        <v>최정자1976</v>
      </c>
      <c r="K334" s="3" t="str">
        <f t="shared" si="2"/>
        <v>정상</v>
      </c>
      <c r="L334" s="4">
        <v>70000.0</v>
      </c>
      <c r="M334" s="4">
        <v>70000.0</v>
      </c>
      <c r="N334" s="4">
        <v>0.0</v>
      </c>
    </row>
    <row r="335">
      <c r="A335" s="6">
        <v>502.0</v>
      </c>
      <c r="B335" s="4" t="s">
        <v>1095</v>
      </c>
      <c r="C335" s="4" t="s">
        <v>2414</v>
      </c>
      <c r="D335" s="4" t="s">
        <v>2415</v>
      </c>
      <c r="E335" s="4">
        <v>570828.0</v>
      </c>
      <c r="F335" s="6">
        <v>2.0</v>
      </c>
      <c r="G335" s="4" t="s">
        <v>2416</v>
      </c>
      <c r="H335" s="4" t="s">
        <v>2417</v>
      </c>
      <c r="I335" s="4">
        <v>770404.0</v>
      </c>
      <c r="J335" s="4" t="str">
        <f t="shared" si="1"/>
        <v>최영희3592</v>
      </c>
      <c r="K335" s="3" t="str">
        <f t="shared" si="2"/>
        <v>정상</v>
      </c>
      <c r="L335" s="4">
        <v>70000.0</v>
      </c>
      <c r="M335" s="4">
        <v>70000.0</v>
      </c>
      <c r="N335" s="4">
        <v>0.0</v>
      </c>
    </row>
    <row r="336">
      <c r="A336" s="5">
        <v>820.0</v>
      </c>
      <c r="B336" s="3" t="s">
        <v>1124</v>
      </c>
      <c r="C336" s="3" t="s">
        <v>2418</v>
      </c>
      <c r="D336" s="3" t="s">
        <v>2419</v>
      </c>
      <c r="E336" s="3">
        <v>870808.0</v>
      </c>
      <c r="F336" s="5">
        <v>2.0</v>
      </c>
      <c r="G336" s="3" t="s">
        <v>2420</v>
      </c>
      <c r="H336" s="3" t="s">
        <v>2421</v>
      </c>
      <c r="I336" s="3">
        <v>611216.0</v>
      </c>
      <c r="J336" s="4" t="str">
        <f t="shared" si="1"/>
        <v>장현정7953</v>
      </c>
      <c r="K336" s="3" t="str">
        <f t="shared" si="2"/>
        <v>정상</v>
      </c>
      <c r="L336" s="4">
        <v>70000.0</v>
      </c>
      <c r="M336" s="4">
        <v>70000.0</v>
      </c>
      <c r="N336" s="4">
        <v>0.0</v>
      </c>
    </row>
    <row r="337">
      <c r="A337" s="6">
        <v>492.0</v>
      </c>
      <c r="B337" s="4" t="s">
        <v>1027</v>
      </c>
      <c r="C337" s="4" t="s">
        <v>2422</v>
      </c>
      <c r="D337" s="4" t="s">
        <v>2423</v>
      </c>
      <c r="E337" s="4">
        <v>610315.0</v>
      </c>
      <c r="F337" s="6">
        <v>2.0</v>
      </c>
      <c r="G337" s="4" t="s">
        <v>2424</v>
      </c>
      <c r="H337" s="4" t="s">
        <v>2425</v>
      </c>
      <c r="I337" s="4">
        <v>661225.0</v>
      </c>
      <c r="J337" s="4" t="str">
        <f t="shared" si="1"/>
        <v>김호숙7100</v>
      </c>
      <c r="K337" s="3" t="str">
        <f t="shared" si="2"/>
        <v>정상</v>
      </c>
      <c r="L337" s="4">
        <v>70000.0</v>
      </c>
      <c r="M337" s="4">
        <v>70000.0</v>
      </c>
      <c r="N337" s="4">
        <v>0.0</v>
      </c>
    </row>
    <row r="338">
      <c r="A338" s="6">
        <v>764.0</v>
      </c>
      <c r="B338" s="4" t="s">
        <v>1292</v>
      </c>
      <c r="C338" s="4" t="s">
        <v>2426</v>
      </c>
      <c r="D338" s="4" t="s">
        <v>2427</v>
      </c>
      <c r="E338" s="4">
        <v>570126.0</v>
      </c>
      <c r="F338" s="6">
        <v>2.0</v>
      </c>
      <c r="G338" s="4" t="s">
        <v>2426</v>
      </c>
      <c r="H338" s="4" t="s">
        <v>2428</v>
      </c>
      <c r="I338" s="4">
        <v>611001.0</v>
      </c>
      <c r="J338" s="4" t="str">
        <f t="shared" si="1"/>
        <v>김진자7591</v>
      </c>
      <c r="K338" s="3" t="str">
        <f t="shared" si="2"/>
        <v>정상</v>
      </c>
      <c r="L338" s="4">
        <v>70000.0</v>
      </c>
      <c r="M338" s="4">
        <v>70000.0</v>
      </c>
      <c r="N338" s="4">
        <v>0.0</v>
      </c>
    </row>
    <row r="339">
      <c r="A339" s="6">
        <v>1213.0</v>
      </c>
      <c r="B339" s="4" t="s">
        <v>1454</v>
      </c>
      <c r="C339" s="4" t="s">
        <v>2429</v>
      </c>
      <c r="D339" s="4" t="s">
        <v>2430</v>
      </c>
      <c r="E339" s="4">
        <v>660717.0</v>
      </c>
      <c r="F339" s="6">
        <v>2.0</v>
      </c>
      <c r="G339" s="4" t="s">
        <v>2431</v>
      </c>
      <c r="H339" s="4" t="s">
        <v>2432</v>
      </c>
      <c r="I339" s="4">
        <v>670508.0</v>
      </c>
      <c r="J339" s="4" t="str">
        <f t="shared" si="1"/>
        <v>김은정1753</v>
      </c>
      <c r="K339" s="3" t="str">
        <f t="shared" si="2"/>
        <v>정상</v>
      </c>
      <c r="L339" s="4">
        <v>70000.0</v>
      </c>
      <c r="M339" s="4">
        <v>70000.0</v>
      </c>
      <c r="N339" s="4">
        <v>0.0</v>
      </c>
    </row>
    <row r="340">
      <c r="A340" s="5">
        <v>1130.0</v>
      </c>
      <c r="B340" s="3" t="s">
        <v>2053</v>
      </c>
      <c r="C340" s="3" t="s">
        <v>2433</v>
      </c>
      <c r="D340" s="3" t="s">
        <v>2434</v>
      </c>
      <c r="E340" s="3">
        <v>700607.0</v>
      </c>
      <c r="F340" s="5">
        <v>2.0</v>
      </c>
      <c r="G340" s="3" t="s">
        <v>2435</v>
      </c>
      <c r="H340" s="3" t="s">
        <v>2436</v>
      </c>
      <c r="I340" s="3">
        <v>720114.0</v>
      </c>
      <c r="J340" s="4" t="str">
        <f t="shared" si="1"/>
        <v>이광진7955</v>
      </c>
      <c r="K340" s="3" t="str">
        <f t="shared" si="2"/>
        <v>정상</v>
      </c>
      <c r="L340" s="4">
        <v>70000.0</v>
      </c>
      <c r="M340" s="4">
        <v>70000.0</v>
      </c>
      <c r="N340" s="4">
        <v>0.0</v>
      </c>
    </row>
    <row r="341">
      <c r="A341" s="6">
        <v>621.0</v>
      </c>
      <c r="B341" s="4" t="s">
        <v>1662</v>
      </c>
      <c r="C341" s="4" t="s">
        <v>2437</v>
      </c>
      <c r="D341" s="4" t="s">
        <v>2438</v>
      </c>
      <c r="E341" s="4">
        <v>520212.0</v>
      </c>
      <c r="F341" s="6">
        <v>2.0</v>
      </c>
      <c r="G341" s="4" t="s">
        <v>2439</v>
      </c>
      <c r="H341" s="4" t="s">
        <v>2440</v>
      </c>
      <c r="I341" s="4">
        <v>700305.0</v>
      </c>
      <c r="J341" s="4" t="str">
        <f t="shared" si="1"/>
        <v>한국희2751</v>
      </c>
      <c r="K341" s="3" t="str">
        <f t="shared" si="2"/>
        <v>정상</v>
      </c>
      <c r="L341" s="4">
        <v>70000.0</v>
      </c>
      <c r="M341" s="4">
        <v>70000.0</v>
      </c>
      <c r="N341" s="4">
        <v>0.0</v>
      </c>
    </row>
    <row r="342">
      <c r="A342" s="5">
        <v>1102.0</v>
      </c>
      <c r="B342" s="3" t="s">
        <v>1137</v>
      </c>
      <c r="C342" s="3" t="s">
        <v>2441</v>
      </c>
      <c r="D342" s="3" t="s">
        <v>2442</v>
      </c>
      <c r="E342" s="3">
        <v>670615.0</v>
      </c>
      <c r="F342" s="5">
        <v>2.0</v>
      </c>
      <c r="G342" s="3" t="s">
        <v>2443</v>
      </c>
      <c r="H342" s="3" t="s">
        <v>2444</v>
      </c>
      <c r="I342" s="3">
        <v>660411.0</v>
      </c>
      <c r="J342" s="4" t="str">
        <f t="shared" si="1"/>
        <v>김성윤0615</v>
      </c>
      <c r="K342" s="3" t="str">
        <f t="shared" si="2"/>
        <v>정상</v>
      </c>
      <c r="L342" s="4">
        <v>70000.0</v>
      </c>
      <c r="M342" s="4">
        <v>70000.0</v>
      </c>
      <c r="N342" s="4">
        <v>0.0</v>
      </c>
    </row>
    <row r="343">
      <c r="A343" s="6">
        <v>758.0</v>
      </c>
      <c r="B343" s="4" t="s">
        <v>1292</v>
      </c>
      <c r="C343" s="4" t="s">
        <v>2445</v>
      </c>
      <c r="D343" s="4" t="s">
        <v>2446</v>
      </c>
      <c r="E343" s="4">
        <v>700624.0</v>
      </c>
      <c r="F343" s="6">
        <v>2.0</v>
      </c>
      <c r="G343" s="4" t="s">
        <v>2447</v>
      </c>
      <c r="H343" s="4" t="s">
        <v>2448</v>
      </c>
      <c r="I343" s="4">
        <v>620527.0</v>
      </c>
      <c r="J343" s="4" t="str">
        <f t="shared" si="1"/>
        <v>양정아7899</v>
      </c>
      <c r="K343" s="3" t="str">
        <f t="shared" si="2"/>
        <v>정상</v>
      </c>
      <c r="L343" s="4">
        <v>70000.0</v>
      </c>
      <c r="M343" s="4">
        <v>70000.0</v>
      </c>
      <c r="N343" s="4">
        <v>0.0</v>
      </c>
    </row>
    <row r="344">
      <c r="A344" s="6">
        <v>152.0</v>
      </c>
      <c r="B344" s="4" t="s">
        <v>1287</v>
      </c>
      <c r="C344" s="4" t="s">
        <v>2449</v>
      </c>
      <c r="D344" s="4" t="s">
        <v>2450</v>
      </c>
      <c r="E344" s="4">
        <v>710129.0</v>
      </c>
      <c r="F344" s="6">
        <v>2.0</v>
      </c>
      <c r="G344" s="4" t="s">
        <v>2451</v>
      </c>
      <c r="H344" s="4" t="s">
        <v>2452</v>
      </c>
      <c r="I344" s="4">
        <v>20715.0</v>
      </c>
      <c r="J344" s="4" t="str">
        <f t="shared" si="1"/>
        <v>김내영3036</v>
      </c>
      <c r="K344" s="3" t="str">
        <f t="shared" si="2"/>
        <v>정상</v>
      </c>
      <c r="L344" s="4">
        <v>70000.0</v>
      </c>
      <c r="M344" s="4">
        <v>70000.0</v>
      </c>
      <c r="N344" s="4">
        <v>0.0</v>
      </c>
    </row>
    <row r="345">
      <c r="A345" s="6">
        <v>1147.0</v>
      </c>
      <c r="B345" s="4" t="s">
        <v>1165</v>
      </c>
      <c r="C345" s="4" t="s">
        <v>2453</v>
      </c>
      <c r="D345" s="4" t="s">
        <v>2454</v>
      </c>
      <c r="E345" s="4">
        <v>590115.0</v>
      </c>
      <c r="F345" s="6">
        <v>2.0</v>
      </c>
      <c r="G345" s="4" t="s">
        <v>1430</v>
      </c>
      <c r="H345" s="4" t="s">
        <v>2455</v>
      </c>
      <c r="I345" s="4">
        <v>570615.0</v>
      </c>
      <c r="J345" s="4" t="str">
        <f t="shared" si="1"/>
        <v>이순원0115</v>
      </c>
      <c r="K345" s="3" t="str">
        <f t="shared" si="2"/>
        <v>정상</v>
      </c>
      <c r="L345" s="4">
        <v>70000.0</v>
      </c>
      <c r="M345" s="4">
        <v>70000.0</v>
      </c>
      <c r="N345" s="4">
        <v>0.0</v>
      </c>
    </row>
    <row r="346">
      <c r="A346" s="6">
        <v>378.0</v>
      </c>
      <c r="B346" s="4" t="s">
        <v>1086</v>
      </c>
      <c r="C346" s="4" t="s">
        <v>2456</v>
      </c>
      <c r="D346" s="4" t="s">
        <v>2457</v>
      </c>
      <c r="E346" s="4">
        <v>670505.0</v>
      </c>
      <c r="F346" s="6">
        <v>2.0</v>
      </c>
      <c r="G346" s="4" t="s">
        <v>1430</v>
      </c>
      <c r="H346" s="4" t="s">
        <v>2458</v>
      </c>
      <c r="I346" s="4">
        <v>611223.0</v>
      </c>
      <c r="J346" s="4" t="str">
        <f t="shared" si="1"/>
        <v>정소희6572</v>
      </c>
      <c r="K346" s="3" t="str">
        <f t="shared" si="2"/>
        <v>정상</v>
      </c>
      <c r="L346" s="4">
        <v>70000.0</v>
      </c>
      <c r="M346" s="4">
        <v>70000.0</v>
      </c>
      <c r="N346" s="4">
        <v>0.0</v>
      </c>
    </row>
    <row r="347">
      <c r="A347" s="6">
        <v>762.0</v>
      </c>
      <c r="B347" s="4" t="s">
        <v>1292</v>
      </c>
      <c r="C347" s="4" t="s">
        <v>2459</v>
      </c>
      <c r="D347" s="4" t="s">
        <v>2460</v>
      </c>
      <c r="E347" s="4">
        <v>680903.0</v>
      </c>
      <c r="F347" s="6">
        <v>2.0</v>
      </c>
      <c r="G347" s="4" t="s">
        <v>2461</v>
      </c>
      <c r="H347" s="4" t="s">
        <v>2462</v>
      </c>
      <c r="I347" s="4">
        <v>410923.0</v>
      </c>
      <c r="J347" s="4" t="str">
        <f t="shared" si="1"/>
        <v>이경희3632</v>
      </c>
      <c r="K347" s="3" t="str">
        <f t="shared" si="2"/>
        <v>정상</v>
      </c>
      <c r="L347" s="4">
        <v>70000.0</v>
      </c>
      <c r="M347" s="4">
        <v>70000.0</v>
      </c>
      <c r="N347" s="4">
        <v>0.0</v>
      </c>
    </row>
    <row r="348">
      <c r="A348" s="6">
        <v>981.0</v>
      </c>
      <c r="B348" s="4" t="s">
        <v>1022</v>
      </c>
      <c r="C348" s="4" t="s">
        <v>2463</v>
      </c>
      <c r="D348" s="4" t="s">
        <v>2464</v>
      </c>
      <c r="E348" s="4">
        <v>740310.0</v>
      </c>
      <c r="F348" s="6">
        <v>2.0</v>
      </c>
      <c r="G348" s="4" t="s">
        <v>2465</v>
      </c>
      <c r="H348" s="4" t="s">
        <v>2466</v>
      </c>
      <c r="I348" s="4">
        <v>710221.0</v>
      </c>
      <c r="J348" s="4" t="str">
        <f t="shared" si="1"/>
        <v>이지윤3738</v>
      </c>
      <c r="K348" s="3" t="str">
        <f t="shared" si="2"/>
        <v>정상</v>
      </c>
      <c r="L348" s="4">
        <v>70000.0</v>
      </c>
      <c r="M348" s="4">
        <v>70000.0</v>
      </c>
      <c r="N348" s="4">
        <v>0.0</v>
      </c>
    </row>
    <row r="349">
      <c r="A349" s="5">
        <v>865.0</v>
      </c>
      <c r="B349" s="3" t="s">
        <v>1621</v>
      </c>
      <c r="C349" s="3" t="s">
        <v>2467</v>
      </c>
      <c r="D349" s="3" t="s">
        <v>2468</v>
      </c>
      <c r="E349" s="3">
        <v>601221.0</v>
      </c>
      <c r="F349" s="5">
        <v>2.0</v>
      </c>
      <c r="G349" s="3" t="s">
        <v>2469</v>
      </c>
      <c r="H349" s="3" t="s">
        <v>2470</v>
      </c>
      <c r="I349" s="3">
        <v>610601.0</v>
      </c>
      <c r="J349" s="4" t="str">
        <f t="shared" si="1"/>
        <v>박명희6737</v>
      </c>
      <c r="K349" s="3" t="str">
        <f t="shared" si="2"/>
        <v>정상</v>
      </c>
      <c r="L349" s="4">
        <v>70000.0</v>
      </c>
      <c r="M349" s="4">
        <v>70000.0</v>
      </c>
      <c r="N349" s="4">
        <v>0.0</v>
      </c>
    </row>
    <row r="350">
      <c r="A350" s="6">
        <v>244.0</v>
      </c>
      <c r="B350" s="4" t="s">
        <v>1739</v>
      </c>
      <c r="C350" s="4" t="s">
        <v>2471</v>
      </c>
      <c r="D350" s="4" t="s">
        <v>2472</v>
      </c>
      <c r="E350" s="4">
        <v>540615.0</v>
      </c>
      <c r="F350" s="6">
        <v>2.0</v>
      </c>
      <c r="G350" s="4" t="s">
        <v>2469</v>
      </c>
      <c r="H350" s="4" t="s">
        <v>2473</v>
      </c>
      <c r="I350" s="4">
        <v>561001.0</v>
      </c>
      <c r="J350" s="4" t="str">
        <f t="shared" si="1"/>
        <v>이병열6707</v>
      </c>
      <c r="K350" s="3" t="str">
        <f t="shared" si="2"/>
        <v>정상</v>
      </c>
      <c r="L350" s="4">
        <v>70000.0</v>
      </c>
      <c r="M350" s="4">
        <v>70000.0</v>
      </c>
      <c r="N350" s="4">
        <v>0.0</v>
      </c>
    </row>
    <row r="351">
      <c r="A351" s="6">
        <v>783.0</v>
      </c>
      <c r="B351" s="4" t="s">
        <v>1774</v>
      </c>
      <c r="C351" s="4" t="s">
        <v>2474</v>
      </c>
      <c r="D351" s="4" t="s">
        <v>2475</v>
      </c>
      <c r="E351" s="4">
        <v>830412.0</v>
      </c>
      <c r="F351" s="6">
        <v>2.0</v>
      </c>
      <c r="G351" s="4" t="s">
        <v>1368</v>
      </c>
      <c r="H351" s="4" t="s">
        <v>2476</v>
      </c>
      <c r="I351" s="4">
        <v>580415.0</v>
      </c>
      <c r="J351" s="4" t="str">
        <f t="shared" si="1"/>
        <v>홍효정9412</v>
      </c>
      <c r="K351" s="3" t="str">
        <f t="shared" si="2"/>
        <v>정상</v>
      </c>
      <c r="L351" s="4">
        <v>70000.0</v>
      </c>
      <c r="M351" s="4">
        <v>70000.0</v>
      </c>
      <c r="N351" s="4">
        <v>0.0</v>
      </c>
    </row>
    <row r="352">
      <c r="A352" s="6">
        <v>973.0</v>
      </c>
      <c r="B352" s="4" t="s">
        <v>1488</v>
      </c>
      <c r="C352" s="4" t="s">
        <v>2477</v>
      </c>
      <c r="D352" s="4" t="s">
        <v>2478</v>
      </c>
      <c r="E352" s="4">
        <v>610319.0</v>
      </c>
      <c r="F352" s="6">
        <v>2.0</v>
      </c>
      <c r="G352" s="4" t="s">
        <v>1368</v>
      </c>
      <c r="H352" s="4" t="s">
        <v>2479</v>
      </c>
      <c r="I352" s="4">
        <v>560824.0</v>
      </c>
      <c r="J352" s="4" t="str">
        <f t="shared" si="1"/>
        <v>황기호9859</v>
      </c>
      <c r="K352" s="3" t="str">
        <f t="shared" si="2"/>
        <v>정상</v>
      </c>
      <c r="L352" s="4">
        <v>70000.0</v>
      </c>
      <c r="M352" s="4">
        <v>70000.0</v>
      </c>
      <c r="N352" s="4">
        <v>0.0</v>
      </c>
    </row>
    <row r="353">
      <c r="A353" s="6">
        <v>943.0</v>
      </c>
      <c r="B353" s="4" t="s">
        <v>1631</v>
      </c>
      <c r="C353" s="4" t="s">
        <v>2480</v>
      </c>
      <c r="D353" s="4" t="s">
        <v>2481</v>
      </c>
      <c r="E353" s="4">
        <v>731221.0</v>
      </c>
      <c r="F353" s="6">
        <v>2.0</v>
      </c>
      <c r="G353" s="4" t="s">
        <v>2482</v>
      </c>
      <c r="H353" s="4" t="s">
        <v>2483</v>
      </c>
      <c r="I353" s="4">
        <v>710504.0</v>
      </c>
      <c r="J353" s="4" t="str">
        <f t="shared" si="1"/>
        <v>방연화6211</v>
      </c>
      <c r="K353" s="3" t="str">
        <f t="shared" si="2"/>
        <v>정상</v>
      </c>
      <c r="L353" s="4">
        <v>70000.0</v>
      </c>
      <c r="M353" s="4">
        <v>70000.0</v>
      </c>
      <c r="N353" s="4">
        <v>0.0</v>
      </c>
    </row>
    <row r="354">
      <c r="A354" s="5">
        <v>1123.0</v>
      </c>
      <c r="B354" s="3" t="s">
        <v>1358</v>
      </c>
      <c r="C354" s="3" t="s">
        <v>2484</v>
      </c>
      <c r="D354" s="3" t="s">
        <v>2485</v>
      </c>
      <c r="E354" s="3">
        <v>690228.0</v>
      </c>
      <c r="F354" s="5">
        <v>2.0</v>
      </c>
      <c r="G354" s="3" t="s">
        <v>2486</v>
      </c>
      <c r="H354" s="3" t="s">
        <v>2487</v>
      </c>
      <c r="I354" s="3">
        <v>550620.0</v>
      </c>
      <c r="J354" s="4" t="str">
        <f t="shared" si="1"/>
        <v>윤달미8111</v>
      </c>
      <c r="K354" s="3" t="str">
        <f t="shared" si="2"/>
        <v>정상</v>
      </c>
      <c r="L354" s="4">
        <v>70000.0</v>
      </c>
      <c r="M354" s="4">
        <v>70000.0</v>
      </c>
      <c r="N354" s="4">
        <v>0.0</v>
      </c>
    </row>
    <row r="355">
      <c r="A355" s="6">
        <v>1057.0</v>
      </c>
      <c r="B355" s="4" t="s">
        <v>1047</v>
      </c>
      <c r="C355" s="4" t="s">
        <v>1253</v>
      </c>
      <c r="D355" s="4" t="s">
        <v>2488</v>
      </c>
      <c r="E355" s="4">
        <v>700810.0</v>
      </c>
      <c r="F355" s="6">
        <v>2.0</v>
      </c>
      <c r="G355" s="4" t="s">
        <v>2489</v>
      </c>
      <c r="H355" s="4" t="s">
        <v>2490</v>
      </c>
      <c r="I355" s="4">
        <v>960601.0</v>
      </c>
      <c r="J355" s="4" t="str">
        <f t="shared" si="1"/>
        <v>강정아4860</v>
      </c>
      <c r="K355" s="3" t="str">
        <f t="shared" si="2"/>
        <v>정상</v>
      </c>
      <c r="L355" s="4">
        <v>70000.0</v>
      </c>
      <c r="M355" s="4">
        <v>70000.0</v>
      </c>
      <c r="N355" s="4">
        <v>0.0</v>
      </c>
    </row>
    <row r="356">
      <c r="A356" s="5">
        <v>814.0</v>
      </c>
      <c r="B356" s="3" t="s">
        <v>1232</v>
      </c>
      <c r="C356" s="3" t="s">
        <v>2491</v>
      </c>
      <c r="D356" s="3" t="s">
        <v>2492</v>
      </c>
      <c r="E356" s="3">
        <v>480120.0</v>
      </c>
      <c r="F356" s="5">
        <v>2.0</v>
      </c>
      <c r="G356" s="3" t="s">
        <v>2493</v>
      </c>
      <c r="H356" s="3" t="s">
        <v>2494</v>
      </c>
      <c r="I356" s="3">
        <v>460723.0</v>
      </c>
      <c r="J356" s="4" t="str">
        <f t="shared" si="1"/>
        <v>서춘원2649</v>
      </c>
      <c r="K356" s="3" t="str">
        <f t="shared" si="2"/>
        <v>정상</v>
      </c>
      <c r="L356" s="4">
        <v>70000.0</v>
      </c>
      <c r="M356" s="4">
        <v>70000.0</v>
      </c>
      <c r="N356" s="4">
        <v>0.0</v>
      </c>
    </row>
    <row r="357">
      <c r="A357" s="6">
        <v>720.0</v>
      </c>
      <c r="B357" s="4" t="s">
        <v>2234</v>
      </c>
      <c r="C357" s="4" t="s">
        <v>2495</v>
      </c>
      <c r="D357" s="4" t="s">
        <v>2496</v>
      </c>
      <c r="E357" s="4">
        <v>671002.0</v>
      </c>
      <c r="F357" s="6">
        <v>2.0</v>
      </c>
      <c r="G357" s="4" t="s">
        <v>2497</v>
      </c>
      <c r="H357" s="4" t="s">
        <v>2498</v>
      </c>
      <c r="I357" s="4">
        <v>640211.0</v>
      </c>
      <c r="J357" s="4" t="str">
        <f t="shared" si="1"/>
        <v>김선예4936</v>
      </c>
      <c r="K357" s="3" t="str">
        <f t="shared" si="2"/>
        <v>정상</v>
      </c>
      <c r="L357" s="4">
        <v>70000.0</v>
      </c>
      <c r="M357" s="4">
        <v>70000.0</v>
      </c>
      <c r="N357" s="4">
        <v>0.0</v>
      </c>
    </row>
    <row r="358">
      <c r="A358" s="6">
        <v>1074.0</v>
      </c>
      <c r="B358" s="4" t="s">
        <v>1076</v>
      </c>
      <c r="C358" s="4" t="s">
        <v>2499</v>
      </c>
      <c r="D358" s="4" t="s">
        <v>2500</v>
      </c>
      <c r="E358" s="4">
        <v>790520.0</v>
      </c>
      <c r="F358" s="6">
        <v>2.0</v>
      </c>
      <c r="G358" s="4" t="s">
        <v>2501</v>
      </c>
      <c r="H358" s="4" t="s">
        <v>2502</v>
      </c>
      <c r="I358" s="4">
        <v>790826.0</v>
      </c>
      <c r="J358" s="4" t="str">
        <f t="shared" si="1"/>
        <v>문고업7506</v>
      </c>
      <c r="K358" s="3" t="str">
        <f t="shared" si="2"/>
        <v>정상</v>
      </c>
      <c r="L358" s="4">
        <v>70000.0</v>
      </c>
      <c r="M358" s="4">
        <v>70000.0</v>
      </c>
      <c r="N358" s="4">
        <v>0.0</v>
      </c>
    </row>
    <row r="359">
      <c r="A359" s="5">
        <v>594.0</v>
      </c>
      <c r="B359" s="3" t="s">
        <v>1825</v>
      </c>
      <c r="C359" s="3" t="s">
        <v>2503</v>
      </c>
      <c r="D359" s="3" t="s">
        <v>2504</v>
      </c>
      <c r="E359" s="3">
        <v>500224.0</v>
      </c>
      <c r="F359" s="5">
        <v>2.0</v>
      </c>
      <c r="G359" s="3" t="s">
        <v>2505</v>
      </c>
      <c r="H359" s="3" t="s">
        <v>2506</v>
      </c>
      <c r="I359" s="3">
        <v>510304.0</v>
      </c>
      <c r="J359" s="4" t="str">
        <f t="shared" si="1"/>
        <v>이한숙5133</v>
      </c>
      <c r="K359" s="3" t="str">
        <f t="shared" si="2"/>
        <v>정상</v>
      </c>
      <c r="L359" s="4">
        <v>70000.0</v>
      </c>
      <c r="M359" s="4">
        <v>70000.0</v>
      </c>
      <c r="N359" s="4">
        <v>0.0</v>
      </c>
    </row>
    <row r="360">
      <c r="A360" s="6">
        <v>1041.0</v>
      </c>
      <c r="B360" s="4" t="s">
        <v>1062</v>
      </c>
      <c r="C360" s="4" t="s">
        <v>2507</v>
      </c>
      <c r="D360" s="4" t="s">
        <v>2508</v>
      </c>
      <c r="E360" s="4">
        <v>530104.0</v>
      </c>
      <c r="F360" s="6">
        <v>2.0</v>
      </c>
      <c r="G360" s="4" t="s">
        <v>2509</v>
      </c>
      <c r="H360" s="4" t="s">
        <v>2510</v>
      </c>
      <c r="I360" s="4">
        <v>650108.0</v>
      </c>
      <c r="J360" s="4" t="str">
        <f t="shared" si="1"/>
        <v>이은옥2155</v>
      </c>
      <c r="K360" s="3" t="str">
        <f t="shared" si="2"/>
        <v>정상</v>
      </c>
      <c r="L360" s="4">
        <v>70000.0</v>
      </c>
      <c r="M360" s="4">
        <v>70000.0</v>
      </c>
      <c r="N360" s="4">
        <v>0.0</v>
      </c>
    </row>
    <row r="361">
      <c r="A361" s="5">
        <v>922.0</v>
      </c>
      <c r="B361" s="3" t="s">
        <v>1001</v>
      </c>
      <c r="C361" s="3" t="s">
        <v>2511</v>
      </c>
      <c r="D361" s="3" t="s">
        <v>2512</v>
      </c>
      <c r="E361" s="3">
        <v>811018.0</v>
      </c>
      <c r="F361" s="5">
        <v>2.0</v>
      </c>
      <c r="G361" s="3" t="s">
        <v>2513</v>
      </c>
      <c r="H361" s="3" t="s">
        <v>2514</v>
      </c>
      <c r="I361" s="3">
        <v>531218.0</v>
      </c>
      <c r="J361" s="4" t="str">
        <f t="shared" si="1"/>
        <v>김나영5712</v>
      </c>
      <c r="K361" s="3" t="str">
        <f t="shared" si="2"/>
        <v>정상</v>
      </c>
      <c r="L361" s="4">
        <v>70000.0</v>
      </c>
      <c r="M361" s="4">
        <v>70000.0</v>
      </c>
      <c r="N361" s="4">
        <v>0.0</v>
      </c>
    </row>
    <row r="362">
      <c r="A362" s="6">
        <v>507.0</v>
      </c>
      <c r="B362" s="4" t="s">
        <v>1095</v>
      </c>
      <c r="C362" s="4" t="s">
        <v>2515</v>
      </c>
      <c r="D362" s="4" t="s">
        <v>2516</v>
      </c>
      <c r="E362" s="4">
        <v>490905.0</v>
      </c>
      <c r="F362" s="6">
        <v>2.0</v>
      </c>
      <c r="G362" s="4" t="s">
        <v>2517</v>
      </c>
      <c r="H362" s="4" t="s">
        <v>2518</v>
      </c>
      <c r="I362" s="4">
        <v>440226.0</v>
      </c>
      <c r="J362" s="4" t="str">
        <f t="shared" si="1"/>
        <v>이영례5595</v>
      </c>
      <c r="K362" s="3" t="str">
        <f t="shared" si="2"/>
        <v>정상</v>
      </c>
      <c r="L362" s="4">
        <v>70000.0</v>
      </c>
      <c r="M362" s="4">
        <v>70000.0</v>
      </c>
      <c r="N362" s="4">
        <v>0.0</v>
      </c>
    </row>
    <row r="363">
      <c r="A363" s="6">
        <v>1000.0</v>
      </c>
      <c r="B363" s="4" t="s">
        <v>1022</v>
      </c>
      <c r="C363" s="4" t="s">
        <v>1913</v>
      </c>
      <c r="D363" s="4" t="s">
        <v>2519</v>
      </c>
      <c r="E363" s="4">
        <v>810124.0</v>
      </c>
      <c r="F363" s="6">
        <v>2.0</v>
      </c>
      <c r="G363" s="4" t="s">
        <v>2520</v>
      </c>
      <c r="H363" s="4" t="s">
        <v>2521</v>
      </c>
      <c r="I363" s="4">
        <v>540327.0</v>
      </c>
      <c r="J363" s="4" t="str">
        <f t="shared" si="1"/>
        <v>김민지8124</v>
      </c>
      <c r="K363" s="3" t="str">
        <f t="shared" si="2"/>
        <v>정상</v>
      </c>
      <c r="L363" s="4">
        <v>70000.0</v>
      </c>
      <c r="M363" s="4">
        <v>70000.0</v>
      </c>
      <c r="N363" s="4">
        <v>0.0</v>
      </c>
    </row>
    <row r="364">
      <c r="A364" s="6">
        <v>689.0</v>
      </c>
      <c r="B364" s="4" t="s">
        <v>1245</v>
      </c>
      <c r="C364" s="4" t="s">
        <v>2522</v>
      </c>
      <c r="D364" s="4" t="s">
        <v>2523</v>
      </c>
      <c r="E364" s="4">
        <v>690228.0</v>
      </c>
      <c r="F364" s="6">
        <v>2.0</v>
      </c>
      <c r="G364" s="4" t="s">
        <v>2520</v>
      </c>
      <c r="H364" s="4" t="s">
        <v>2524</v>
      </c>
      <c r="I364" s="4">
        <v>630722.0</v>
      </c>
      <c r="J364" s="4" t="str">
        <f t="shared" si="1"/>
        <v>김헌주7935</v>
      </c>
      <c r="K364" s="3" t="str">
        <f t="shared" si="2"/>
        <v>정상</v>
      </c>
      <c r="L364" s="4">
        <v>70000.0</v>
      </c>
      <c r="M364" s="4">
        <v>70000.0</v>
      </c>
      <c r="N364" s="4">
        <v>0.0</v>
      </c>
    </row>
    <row r="365">
      <c r="A365" s="6">
        <v>547.0</v>
      </c>
      <c r="B365" s="4" t="s">
        <v>1170</v>
      </c>
      <c r="C365" s="4" t="s">
        <v>2525</v>
      </c>
      <c r="D365" s="4" t="s">
        <v>2526</v>
      </c>
      <c r="E365" s="4">
        <v>690616.0</v>
      </c>
      <c r="F365" s="6">
        <v>2.0</v>
      </c>
      <c r="G365" s="4" t="s">
        <v>2527</v>
      </c>
      <c r="H365" s="4" t="s">
        <v>2528</v>
      </c>
      <c r="I365" s="4">
        <v>990531.0</v>
      </c>
      <c r="J365" s="4" t="str">
        <f t="shared" si="1"/>
        <v>이화주2928</v>
      </c>
      <c r="K365" s="3" t="str">
        <f t="shared" si="2"/>
        <v>정상</v>
      </c>
      <c r="L365" s="4">
        <v>70000.0</v>
      </c>
      <c r="M365" s="4">
        <v>70000.0</v>
      </c>
      <c r="N365" s="4">
        <v>0.0</v>
      </c>
    </row>
    <row r="366">
      <c r="A366" s="6">
        <v>1185.0</v>
      </c>
      <c r="B366" s="4" t="s">
        <v>1471</v>
      </c>
      <c r="C366" s="4" t="s">
        <v>2529</v>
      </c>
      <c r="D366" s="4" t="s">
        <v>2530</v>
      </c>
      <c r="E366" s="4">
        <v>810304.0</v>
      </c>
      <c r="F366" s="6">
        <v>2.0</v>
      </c>
      <c r="G366" s="4" t="s">
        <v>2531</v>
      </c>
      <c r="H366" s="4" t="s">
        <v>2532</v>
      </c>
      <c r="I366" s="4">
        <v>701025.0</v>
      </c>
      <c r="J366" s="4" t="str">
        <f t="shared" si="1"/>
        <v>김령지0860</v>
      </c>
      <c r="K366" s="3" t="str">
        <f t="shared" si="2"/>
        <v>정상</v>
      </c>
      <c r="L366" s="4">
        <v>70000.0</v>
      </c>
      <c r="M366" s="4">
        <v>70000.0</v>
      </c>
      <c r="N366" s="4">
        <v>0.0</v>
      </c>
    </row>
    <row r="367">
      <c r="A367" s="6">
        <v>264.0</v>
      </c>
      <c r="B367" s="4" t="s">
        <v>1147</v>
      </c>
      <c r="C367" s="4" t="s">
        <v>2533</v>
      </c>
      <c r="D367" s="4" t="s">
        <v>2534</v>
      </c>
      <c r="E367" s="4">
        <v>970602.0</v>
      </c>
      <c r="F367" s="6">
        <v>2.0</v>
      </c>
      <c r="G367" s="4" t="s">
        <v>2259</v>
      </c>
      <c r="H367" s="4" t="s">
        <v>2535</v>
      </c>
      <c r="I367" s="4">
        <v>660316.0</v>
      </c>
      <c r="J367" s="4" t="str">
        <f t="shared" si="1"/>
        <v>최유정6894</v>
      </c>
      <c r="K367" s="3" t="str">
        <f t="shared" si="2"/>
        <v>정상</v>
      </c>
      <c r="L367" s="4">
        <v>70000.0</v>
      </c>
      <c r="M367" s="4">
        <v>70000.0</v>
      </c>
      <c r="N367" s="4">
        <v>0.0</v>
      </c>
    </row>
    <row r="368">
      <c r="A368" s="5">
        <v>690.0</v>
      </c>
      <c r="B368" s="3" t="s">
        <v>1245</v>
      </c>
      <c r="C368" s="3" t="s">
        <v>2536</v>
      </c>
      <c r="D368" s="3" t="s">
        <v>2537</v>
      </c>
      <c r="E368" s="3">
        <v>631115.0</v>
      </c>
      <c r="F368" s="5">
        <v>2.0</v>
      </c>
      <c r="G368" s="3" t="s">
        <v>2538</v>
      </c>
      <c r="H368" s="3" t="s">
        <v>2539</v>
      </c>
      <c r="I368" s="3">
        <v>600414.0</v>
      </c>
      <c r="J368" s="4" t="str">
        <f t="shared" si="1"/>
        <v>김경순7883</v>
      </c>
      <c r="K368" s="3" t="str">
        <f t="shared" si="2"/>
        <v>정상</v>
      </c>
      <c r="L368" s="4">
        <v>70000.0</v>
      </c>
      <c r="M368" s="4">
        <v>70000.0</v>
      </c>
      <c r="N368" s="4">
        <v>0.0</v>
      </c>
    </row>
    <row r="369">
      <c r="A369" s="5">
        <v>1195.0</v>
      </c>
      <c r="B369" s="3" t="s">
        <v>1530</v>
      </c>
      <c r="C369" s="3" t="s">
        <v>2540</v>
      </c>
      <c r="D369" s="3" t="s">
        <v>2541</v>
      </c>
      <c r="E369" s="3">
        <v>610403.0</v>
      </c>
      <c r="F369" s="5">
        <v>2.0</v>
      </c>
      <c r="G369" s="3" t="s">
        <v>2542</v>
      </c>
      <c r="H369" s="3" t="s">
        <v>2543</v>
      </c>
      <c r="I369" s="3">
        <v>581012.0</v>
      </c>
      <c r="J369" s="4" t="str">
        <f t="shared" si="1"/>
        <v>박영철6331</v>
      </c>
      <c r="K369" s="3" t="str">
        <f t="shared" si="2"/>
        <v>정상</v>
      </c>
      <c r="L369" s="4">
        <v>70000.0</v>
      </c>
      <c r="M369" s="4">
        <v>70000.0</v>
      </c>
      <c r="N369" s="4">
        <v>0.0</v>
      </c>
    </row>
    <row r="370">
      <c r="A370" s="6">
        <v>535.0</v>
      </c>
      <c r="B370" s="4" t="s">
        <v>2544</v>
      </c>
      <c r="C370" s="4" t="s">
        <v>2545</v>
      </c>
      <c r="D370" s="4" t="s">
        <v>2546</v>
      </c>
      <c r="E370" s="4">
        <v>650424.0</v>
      </c>
      <c r="F370" s="6">
        <v>2.0</v>
      </c>
      <c r="G370" s="4" t="s">
        <v>2542</v>
      </c>
      <c r="H370" s="4" t="s">
        <v>2547</v>
      </c>
      <c r="I370" s="4">
        <v>570317.0</v>
      </c>
      <c r="J370" s="4" t="str">
        <f t="shared" si="1"/>
        <v>신한숙2729</v>
      </c>
      <c r="K370" s="3" t="str">
        <f t="shared" si="2"/>
        <v>정상</v>
      </c>
      <c r="L370" s="4">
        <v>70000.0</v>
      </c>
      <c r="M370" s="4">
        <v>70000.0</v>
      </c>
      <c r="N370" s="4">
        <v>0.0</v>
      </c>
    </row>
    <row r="371">
      <c r="A371" s="6">
        <v>544.0</v>
      </c>
      <c r="B371" s="4" t="s">
        <v>1170</v>
      </c>
      <c r="C371" s="4" t="s">
        <v>1241</v>
      </c>
      <c r="D371" s="4" t="s">
        <v>2548</v>
      </c>
      <c r="E371" s="4">
        <v>710918.0</v>
      </c>
      <c r="F371" s="6">
        <v>2.0</v>
      </c>
      <c r="G371" s="4" t="s">
        <v>2549</v>
      </c>
      <c r="H371" s="4" t="s">
        <v>2550</v>
      </c>
      <c r="I371" s="4">
        <v>10307.0</v>
      </c>
      <c r="J371" s="4" t="str">
        <f t="shared" si="1"/>
        <v>최영미3696</v>
      </c>
      <c r="K371" s="3" t="str">
        <f t="shared" si="2"/>
        <v>정상</v>
      </c>
      <c r="L371" s="4">
        <v>70000.0</v>
      </c>
      <c r="M371" s="4">
        <v>70000.0</v>
      </c>
      <c r="N371" s="4">
        <v>0.0</v>
      </c>
    </row>
    <row r="372">
      <c r="A372" s="6">
        <v>257.0</v>
      </c>
      <c r="B372" s="4" t="s">
        <v>1160</v>
      </c>
      <c r="C372" s="4" t="s">
        <v>2551</v>
      </c>
      <c r="D372" s="4" t="s">
        <v>2552</v>
      </c>
      <c r="E372" s="4">
        <v>741026.0</v>
      </c>
      <c r="F372" s="6">
        <v>2.0</v>
      </c>
      <c r="G372" s="4" t="s">
        <v>2553</v>
      </c>
      <c r="H372" s="4" t="s">
        <v>2554</v>
      </c>
      <c r="I372" s="4">
        <v>810526.0</v>
      </c>
      <c r="J372" s="4" t="str">
        <f t="shared" si="1"/>
        <v>김서희1624</v>
      </c>
      <c r="K372" s="3" t="str">
        <f t="shared" si="2"/>
        <v>정상</v>
      </c>
      <c r="L372" s="4">
        <v>70000.0</v>
      </c>
      <c r="M372" s="4">
        <v>70000.0</v>
      </c>
      <c r="N372" s="4">
        <v>0.0</v>
      </c>
    </row>
    <row r="373">
      <c r="A373" s="6">
        <v>135.0</v>
      </c>
      <c r="B373" s="4" t="s">
        <v>1204</v>
      </c>
      <c r="C373" s="4" t="s">
        <v>2555</v>
      </c>
      <c r="D373" s="4" t="s">
        <v>2556</v>
      </c>
      <c r="E373" s="4">
        <v>580603.0</v>
      </c>
      <c r="F373" s="6">
        <v>2.0</v>
      </c>
      <c r="G373" s="4" t="s">
        <v>2557</v>
      </c>
      <c r="H373" s="4" t="s">
        <v>2558</v>
      </c>
      <c r="I373" s="4">
        <v>570802.0</v>
      </c>
      <c r="J373" s="4" t="str">
        <f t="shared" si="1"/>
        <v>이현순4922</v>
      </c>
      <c r="K373" s="3" t="str">
        <f t="shared" si="2"/>
        <v>정상</v>
      </c>
      <c r="L373" s="4">
        <v>70000.0</v>
      </c>
      <c r="M373" s="4">
        <v>70000.0</v>
      </c>
      <c r="N373" s="4">
        <v>0.0</v>
      </c>
    </row>
    <row r="374">
      <c r="A374" s="6">
        <v>428.0</v>
      </c>
      <c r="B374" s="4" t="s">
        <v>1730</v>
      </c>
      <c r="C374" s="4" t="s">
        <v>2559</v>
      </c>
      <c r="D374" s="4" t="s">
        <v>2560</v>
      </c>
      <c r="E374" s="4">
        <v>690907.0</v>
      </c>
      <c r="F374" s="6">
        <v>2.0</v>
      </c>
      <c r="G374" s="4" t="s">
        <v>2561</v>
      </c>
      <c r="H374" s="4" t="s">
        <v>2562</v>
      </c>
      <c r="I374" s="4">
        <v>730618.0</v>
      </c>
      <c r="J374" s="4" t="str">
        <f t="shared" si="1"/>
        <v>이창연6298</v>
      </c>
      <c r="K374" s="3" t="str">
        <f t="shared" si="2"/>
        <v>정상</v>
      </c>
      <c r="L374" s="4">
        <v>70000.0</v>
      </c>
      <c r="M374" s="4">
        <v>70000.0</v>
      </c>
      <c r="N374" s="4">
        <v>0.0</v>
      </c>
    </row>
    <row r="375">
      <c r="A375" s="5">
        <v>910.0</v>
      </c>
      <c r="B375" s="3" t="s">
        <v>1872</v>
      </c>
      <c r="C375" s="3" t="s">
        <v>2563</v>
      </c>
      <c r="D375" s="3" t="s">
        <v>2564</v>
      </c>
      <c r="E375" s="3">
        <v>671030.0</v>
      </c>
      <c r="F375" s="5">
        <v>2.0</v>
      </c>
      <c r="G375" s="3" t="s">
        <v>2565</v>
      </c>
      <c r="H375" s="3" t="s">
        <v>2566</v>
      </c>
      <c r="I375" s="3">
        <v>631013.0</v>
      </c>
      <c r="J375" s="4" t="str">
        <f t="shared" si="1"/>
        <v>안영란7968</v>
      </c>
      <c r="K375" s="3" t="str">
        <f t="shared" si="2"/>
        <v>정상</v>
      </c>
      <c r="L375" s="4">
        <v>70000.0</v>
      </c>
      <c r="M375" s="4">
        <v>70000.0</v>
      </c>
      <c r="N375" s="4">
        <v>0.0</v>
      </c>
    </row>
    <row r="376">
      <c r="A376" s="6">
        <v>353.0</v>
      </c>
      <c r="B376" s="4" t="s">
        <v>1032</v>
      </c>
      <c r="C376" s="4" t="s">
        <v>2567</v>
      </c>
      <c r="D376" s="4" t="s">
        <v>2568</v>
      </c>
      <c r="E376" s="4">
        <v>671017.0</v>
      </c>
      <c r="F376" s="6">
        <v>2.0</v>
      </c>
      <c r="G376" s="4" t="s">
        <v>2569</v>
      </c>
      <c r="H376" s="4" t="s">
        <v>2570</v>
      </c>
      <c r="I376" s="4">
        <v>610715.0</v>
      </c>
      <c r="J376" s="4" t="str">
        <f t="shared" si="1"/>
        <v>고순화5385</v>
      </c>
      <c r="K376" s="3" t="str">
        <f t="shared" si="2"/>
        <v>정상</v>
      </c>
      <c r="L376" s="4">
        <v>70000.0</v>
      </c>
      <c r="M376" s="4">
        <v>70000.0</v>
      </c>
      <c r="N376" s="4">
        <v>0.0</v>
      </c>
    </row>
    <row r="377">
      <c r="A377" s="6">
        <v>1067.0</v>
      </c>
      <c r="B377" s="4" t="s">
        <v>1076</v>
      </c>
      <c r="C377" s="4" t="s">
        <v>2571</v>
      </c>
      <c r="D377" s="4" t="s">
        <v>2572</v>
      </c>
      <c r="E377" s="4">
        <v>750115.0</v>
      </c>
      <c r="F377" s="6">
        <v>2.0</v>
      </c>
      <c r="G377" s="4" t="s">
        <v>2573</v>
      </c>
      <c r="H377" s="4" t="s">
        <v>2574</v>
      </c>
      <c r="I377" s="4">
        <v>710114.0</v>
      </c>
      <c r="J377" s="4" t="str">
        <f t="shared" si="1"/>
        <v>손근현5715</v>
      </c>
      <c r="K377" s="3" t="str">
        <f t="shared" si="2"/>
        <v>정상</v>
      </c>
      <c r="L377" s="4">
        <v>70000.0</v>
      </c>
      <c r="M377" s="4">
        <v>70000.0</v>
      </c>
      <c r="N377" s="4">
        <v>0.0</v>
      </c>
    </row>
    <row r="378">
      <c r="A378" s="6">
        <v>155.0</v>
      </c>
      <c r="B378" s="4" t="s">
        <v>1287</v>
      </c>
      <c r="C378" s="4" t="s">
        <v>2575</v>
      </c>
      <c r="D378" s="4" t="s">
        <v>2576</v>
      </c>
      <c r="E378" s="4">
        <v>610405.0</v>
      </c>
      <c r="F378" s="6">
        <v>2.0</v>
      </c>
      <c r="G378" s="4" t="s">
        <v>2577</v>
      </c>
      <c r="H378" s="4" t="s">
        <v>2578</v>
      </c>
      <c r="I378" s="4">
        <v>531112.0</v>
      </c>
      <c r="J378" s="4" t="str">
        <f t="shared" si="1"/>
        <v>정봉애3970</v>
      </c>
      <c r="K378" s="3" t="str">
        <f t="shared" si="2"/>
        <v>정상</v>
      </c>
      <c r="L378" s="4">
        <v>70000.0</v>
      </c>
      <c r="M378" s="4">
        <v>70000.0</v>
      </c>
      <c r="N378" s="4">
        <v>0.0</v>
      </c>
    </row>
    <row r="379">
      <c r="A379" s="6">
        <v>304.0</v>
      </c>
      <c r="B379" s="4" t="s">
        <v>1950</v>
      </c>
      <c r="C379" s="4" t="s">
        <v>2579</v>
      </c>
      <c r="D379" s="4" t="s">
        <v>2580</v>
      </c>
      <c r="E379" s="4">
        <v>610826.0</v>
      </c>
      <c r="F379" s="6">
        <v>2.0</v>
      </c>
      <c r="G379" s="4" t="s">
        <v>1230</v>
      </c>
      <c r="H379" s="4" t="s">
        <v>2581</v>
      </c>
      <c r="I379" s="4">
        <v>620201.0</v>
      </c>
      <c r="J379" s="4" t="str">
        <f t="shared" si="1"/>
        <v>김미옥0561</v>
      </c>
      <c r="K379" s="3" t="str">
        <f t="shared" si="2"/>
        <v>정상</v>
      </c>
      <c r="L379" s="4">
        <v>70000.0</v>
      </c>
      <c r="M379" s="4">
        <v>70000.0</v>
      </c>
      <c r="N379" s="4">
        <v>0.0</v>
      </c>
    </row>
    <row r="380">
      <c r="A380" s="5">
        <v>938.0</v>
      </c>
      <c r="B380" s="3" t="s">
        <v>1523</v>
      </c>
      <c r="C380" s="3" t="s">
        <v>2582</v>
      </c>
      <c r="D380" s="3" t="s">
        <v>2583</v>
      </c>
      <c r="E380" s="3">
        <v>640515.0</v>
      </c>
      <c r="F380" s="5">
        <v>2.0</v>
      </c>
      <c r="G380" s="3" t="s">
        <v>2584</v>
      </c>
      <c r="H380" s="3" t="s">
        <v>2585</v>
      </c>
      <c r="I380" s="3">
        <v>910422.0</v>
      </c>
      <c r="J380" s="4" t="str">
        <f t="shared" si="1"/>
        <v>임조경3686</v>
      </c>
      <c r="K380" s="3" t="str">
        <f t="shared" si="2"/>
        <v>정상</v>
      </c>
      <c r="L380" s="4">
        <v>70000.0</v>
      </c>
      <c r="M380" s="4">
        <v>70000.0</v>
      </c>
      <c r="N380" s="4">
        <v>0.0</v>
      </c>
    </row>
    <row r="381">
      <c r="A381" s="5">
        <v>863.0</v>
      </c>
      <c r="B381" s="3" t="s">
        <v>1119</v>
      </c>
      <c r="C381" s="3" t="s">
        <v>1658</v>
      </c>
      <c r="D381" s="3" t="s">
        <v>2586</v>
      </c>
      <c r="E381" s="3">
        <v>580114.0</v>
      </c>
      <c r="F381" s="5">
        <v>2.0</v>
      </c>
      <c r="G381" s="3" t="s">
        <v>2587</v>
      </c>
      <c r="H381" s="3" t="s">
        <v>2588</v>
      </c>
      <c r="I381" s="3">
        <v>520814.0</v>
      </c>
      <c r="J381" s="4" t="str">
        <f t="shared" si="1"/>
        <v>김미라8670</v>
      </c>
      <c r="K381" s="3" t="str">
        <f t="shared" si="2"/>
        <v>정상</v>
      </c>
      <c r="L381" s="4">
        <v>70000.0</v>
      </c>
      <c r="M381" s="4">
        <v>70000.0</v>
      </c>
      <c r="N381" s="4">
        <v>0.0</v>
      </c>
    </row>
    <row r="382">
      <c r="A382" s="6">
        <v>663.0</v>
      </c>
      <c r="B382" s="4" t="s">
        <v>1100</v>
      </c>
      <c r="C382" s="4" t="s">
        <v>2589</v>
      </c>
      <c r="D382" s="4" t="s">
        <v>2590</v>
      </c>
      <c r="E382" s="4">
        <v>10202.0</v>
      </c>
      <c r="F382" s="6">
        <v>2.0</v>
      </c>
      <c r="G382" s="4" t="s">
        <v>2591</v>
      </c>
      <c r="H382" s="4" t="s">
        <v>2592</v>
      </c>
      <c r="I382" s="4">
        <v>101.0</v>
      </c>
      <c r="J382" s="4" t="str">
        <f t="shared" si="1"/>
        <v>김문공8775</v>
      </c>
      <c r="K382" s="3" t="str">
        <f t="shared" si="2"/>
        <v>정상</v>
      </c>
      <c r="L382" s="4">
        <v>70000.0</v>
      </c>
      <c r="M382" s="4">
        <v>70000.0</v>
      </c>
      <c r="N382" s="4">
        <v>0.0</v>
      </c>
    </row>
    <row r="383">
      <c r="A383" s="6">
        <v>1100.0</v>
      </c>
      <c r="B383" s="4" t="s">
        <v>1137</v>
      </c>
      <c r="C383" s="4" t="s">
        <v>2593</v>
      </c>
      <c r="D383" s="4" t="s">
        <v>2594</v>
      </c>
      <c r="E383" s="4">
        <v>620322.0</v>
      </c>
      <c r="F383" s="6">
        <v>2.0</v>
      </c>
      <c r="G383" s="4" t="s">
        <v>2595</v>
      </c>
      <c r="H383" s="4" t="s">
        <v>2596</v>
      </c>
      <c r="I383" s="4">
        <v>960824.0</v>
      </c>
      <c r="J383" s="4" t="str">
        <f t="shared" si="1"/>
        <v>김현옥2797</v>
      </c>
      <c r="K383" s="3" t="str">
        <f t="shared" si="2"/>
        <v>정상</v>
      </c>
      <c r="L383" s="4">
        <v>70000.0</v>
      </c>
      <c r="M383" s="4">
        <v>70000.0</v>
      </c>
      <c r="N383" s="4">
        <v>0.0</v>
      </c>
    </row>
    <row r="384">
      <c r="A384" s="6">
        <v>158.0</v>
      </c>
      <c r="B384" s="4" t="s">
        <v>1287</v>
      </c>
      <c r="C384" s="4" t="s">
        <v>2597</v>
      </c>
      <c r="D384" s="4" t="s">
        <v>2598</v>
      </c>
      <c r="E384" s="4">
        <v>610526.0</v>
      </c>
      <c r="F384" s="6">
        <v>2.0</v>
      </c>
      <c r="G384" s="4" t="s">
        <v>2599</v>
      </c>
      <c r="H384" s="4" t="s">
        <v>2600</v>
      </c>
      <c r="I384" s="4">
        <v>870514.0</v>
      </c>
      <c r="J384" s="4" t="str">
        <f t="shared" si="1"/>
        <v>배경희5660</v>
      </c>
      <c r="K384" s="3" t="str">
        <f t="shared" si="2"/>
        <v>정상</v>
      </c>
      <c r="L384" s="4">
        <v>70000.0</v>
      </c>
      <c r="M384" s="4">
        <v>70000.0</v>
      </c>
      <c r="N384" s="4">
        <v>0.0</v>
      </c>
    </row>
    <row r="385">
      <c r="A385" s="6">
        <v>600.0</v>
      </c>
      <c r="B385" s="4" t="s">
        <v>1219</v>
      </c>
      <c r="C385" s="4" t="s">
        <v>1852</v>
      </c>
      <c r="D385" s="4" t="s">
        <v>2601</v>
      </c>
      <c r="E385" s="4">
        <v>610103.0</v>
      </c>
      <c r="F385" s="6">
        <v>2.0</v>
      </c>
      <c r="G385" s="4" t="s">
        <v>2602</v>
      </c>
      <c r="H385" s="4" t="s">
        <v>2603</v>
      </c>
      <c r="I385" s="4">
        <v>640527.0</v>
      </c>
      <c r="J385" s="4" t="str">
        <f t="shared" si="1"/>
        <v>이명희8150</v>
      </c>
      <c r="K385" s="3" t="str">
        <f t="shared" si="2"/>
        <v>정상</v>
      </c>
      <c r="L385" s="4">
        <v>70000.0</v>
      </c>
      <c r="M385" s="4">
        <v>70000.0</v>
      </c>
      <c r="N385" s="4">
        <v>0.0</v>
      </c>
    </row>
    <row r="386">
      <c r="A386" s="6">
        <v>595.0</v>
      </c>
      <c r="B386" s="4" t="s">
        <v>1825</v>
      </c>
      <c r="C386" s="4" t="s">
        <v>1780</v>
      </c>
      <c r="D386" s="4" t="s">
        <v>2604</v>
      </c>
      <c r="E386" s="4">
        <v>640212.0</v>
      </c>
      <c r="F386" s="6">
        <v>2.0</v>
      </c>
      <c r="G386" s="4" t="s">
        <v>2605</v>
      </c>
      <c r="H386" s="4" t="s">
        <v>2606</v>
      </c>
      <c r="I386" s="4">
        <v>910519.0</v>
      </c>
      <c r="J386" s="4" t="str">
        <f t="shared" si="1"/>
        <v>김지원0505</v>
      </c>
      <c r="K386" s="3" t="str">
        <f t="shared" si="2"/>
        <v>정상</v>
      </c>
      <c r="L386" s="4">
        <v>70000.0</v>
      </c>
      <c r="M386" s="4">
        <v>70000.0</v>
      </c>
      <c r="N386" s="4">
        <v>0.0</v>
      </c>
    </row>
    <row r="387">
      <c r="A387" s="6">
        <v>185.0</v>
      </c>
      <c r="B387" s="4" t="s">
        <v>2607</v>
      </c>
      <c r="C387" s="4" t="s">
        <v>2608</v>
      </c>
      <c r="D387" s="4" t="s">
        <v>2609</v>
      </c>
      <c r="E387" s="4">
        <v>660306.0</v>
      </c>
      <c r="F387" s="6">
        <v>2.0</v>
      </c>
      <c r="G387" s="4" t="s">
        <v>2610</v>
      </c>
      <c r="H387" s="4" t="s">
        <v>2611</v>
      </c>
      <c r="I387" s="4">
        <v>641010.0</v>
      </c>
      <c r="J387" s="4" t="str">
        <f t="shared" si="1"/>
        <v>이미자8888</v>
      </c>
      <c r="K387" s="3" t="str">
        <f t="shared" si="2"/>
        <v>정상</v>
      </c>
      <c r="L387" s="4">
        <v>70000.0</v>
      </c>
      <c r="M387" s="4">
        <v>70000.0</v>
      </c>
      <c r="N387" s="4">
        <v>0.0</v>
      </c>
    </row>
    <row r="388">
      <c r="A388" s="6">
        <v>945.0</v>
      </c>
      <c r="B388" s="4" t="s">
        <v>1631</v>
      </c>
      <c r="C388" s="4" t="s">
        <v>2612</v>
      </c>
      <c r="D388" s="4" t="s">
        <v>2613</v>
      </c>
      <c r="E388" s="4">
        <v>731215.0</v>
      </c>
      <c r="F388" s="6">
        <v>2.0</v>
      </c>
      <c r="G388" s="4" t="s">
        <v>2614</v>
      </c>
      <c r="H388" s="4" t="s">
        <v>2615</v>
      </c>
      <c r="I388" s="4">
        <v>490705.0</v>
      </c>
      <c r="J388" s="4" t="str">
        <f t="shared" si="1"/>
        <v>이수미3267</v>
      </c>
      <c r="K388" s="3" t="str">
        <f t="shared" si="2"/>
        <v>정상</v>
      </c>
      <c r="L388" s="4">
        <v>70000.0</v>
      </c>
      <c r="M388" s="4">
        <v>70000.0</v>
      </c>
      <c r="N388" s="4">
        <v>0.0</v>
      </c>
    </row>
    <row r="389">
      <c r="A389" s="6">
        <v>988.0</v>
      </c>
      <c r="B389" s="4" t="s">
        <v>1022</v>
      </c>
      <c r="C389" s="4" t="s">
        <v>2616</v>
      </c>
      <c r="D389" s="4" t="s">
        <v>2617</v>
      </c>
      <c r="E389" s="4">
        <v>660930.0</v>
      </c>
      <c r="F389" s="6">
        <v>2.0</v>
      </c>
      <c r="G389" s="4" t="s">
        <v>2618</v>
      </c>
      <c r="H389" s="4" t="s">
        <v>2619</v>
      </c>
      <c r="I389" s="4">
        <v>621025.0</v>
      </c>
      <c r="J389" s="4" t="str">
        <f t="shared" si="1"/>
        <v>이항식3029</v>
      </c>
      <c r="K389" s="3" t="str">
        <f t="shared" si="2"/>
        <v>정상</v>
      </c>
      <c r="L389" s="4">
        <v>70000.0</v>
      </c>
      <c r="M389" s="4">
        <v>70000.0</v>
      </c>
      <c r="N389" s="4">
        <v>0.0</v>
      </c>
    </row>
    <row r="390">
      <c r="A390" s="6">
        <v>1082.0</v>
      </c>
      <c r="B390" s="4" t="s">
        <v>1076</v>
      </c>
      <c r="C390" s="4" t="s">
        <v>2620</v>
      </c>
      <c r="D390" s="4" t="s">
        <v>2621</v>
      </c>
      <c r="E390" s="4">
        <v>670318.0</v>
      </c>
      <c r="F390" s="6">
        <v>2.0</v>
      </c>
      <c r="G390" s="4" t="s">
        <v>2622</v>
      </c>
      <c r="H390" s="4" t="s">
        <v>2623</v>
      </c>
      <c r="I390" s="4">
        <v>650116.0</v>
      </c>
      <c r="J390" s="4" t="str">
        <f t="shared" si="1"/>
        <v>김금랑0593</v>
      </c>
      <c r="K390" s="3" t="str">
        <f t="shared" si="2"/>
        <v>정상</v>
      </c>
      <c r="L390" s="4">
        <v>70000.0</v>
      </c>
      <c r="M390" s="4">
        <v>70000.0</v>
      </c>
      <c r="N390" s="4">
        <v>0.0</v>
      </c>
    </row>
    <row r="391">
      <c r="A391" s="6">
        <v>156.0</v>
      </c>
      <c r="B391" s="4" t="s">
        <v>1287</v>
      </c>
      <c r="C391" s="4" t="s">
        <v>2624</v>
      </c>
      <c r="D391" s="4" t="s">
        <v>2625</v>
      </c>
      <c r="E391" s="4">
        <v>590121.0</v>
      </c>
      <c r="F391" s="6">
        <v>2.0</v>
      </c>
      <c r="G391" s="4" t="s">
        <v>2626</v>
      </c>
      <c r="H391" s="4" t="s">
        <v>2627</v>
      </c>
      <c r="I391" s="4">
        <v>661130.0</v>
      </c>
      <c r="J391" s="4" t="str">
        <f t="shared" si="1"/>
        <v>김경자5077</v>
      </c>
      <c r="K391" s="3" t="str">
        <f t="shared" si="2"/>
        <v>정상</v>
      </c>
      <c r="L391" s="4">
        <v>70000.0</v>
      </c>
      <c r="M391" s="4">
        <v>70000.0</v>
      </c>
      <c r="N391" s="4">
        <v>0.0</v>
      </c>
    </row>
    <row r="392">
      <c r="A392" s="6">
        <v>130.0</v>
      </c>
      <c r="B392" s="4" t="s">
        <v>2628</v>
      </c>
      <c r="C392" s="4" t="s">
        <v>2037</v>
      </c>
      <c r="D392" s="4" t="s">
        <v>2629</v>
      </c>
      <c r="E392" s="4">
        <v>720209.0</v>
      </c>
      <c r="F392" s="6">
        <v>2.0</v>
      </c>
      <c r="G392" s="4" t="s">
        <v>2630</v>
      </c>
      <c r="H392" s="4" t="s">
        <v>2631</v>
      </c>
      <c r="I392" s="4">
        <v>561227.0</v>
      </c>
      <c r="J392" s="4" t="str">
        <f t="shared" si="1"/>
        <v>송영희5681</v>
      </c>
      <c r="K392" s="3" t="str">
        <f t="shared" si="2"/>
        <v>정상</v>
      </c>
      <c r="L392" s="4">
        <v>70000.0</v>
      </c>
      <c r="M392" s="4">
        <v>70000.0</v>
      </c>
      <c r="N392" s="4">
        <v>0.0</v>
      </c>
    </row>
    <row r="393">
      <c r="A393" s="6">
        <v>229.0</v>
      </c>
      <c r="B393" s="4" t="s">
        <v>1933</v>
      </c>
      <c r="C393" s="4" t="s">
        <v>2632</v>
      </c>
      <c r="D393" s="4" t="s">
        <v>2633</v>
      </c>
      <c r="E393" s="4">
        <v>570707.0</v>
      </c>
      <c r="F393" s="6">
        <v>2.0</v>
      </c>
      <c r="G393" s="4" t="s">
        <v>2624</v>
      </c>
      <c r="H393" s="4" t="s">
        <v>2634</v>
      </c>
      <c r="I393" s="4">
        <v>560515.0</v>
      </c>
      <c r="J393" s="4" t="str">
        <f t="shared" si="1"/>
        <v>박미자6026</v>
      </c>
      <c r="K393" s="3" t="str">
        <f t="shared" si="2"/>
        <v>정상</v>
      </c>
      <c r="L393" s="4">
        <v>70000.0</v>
      </c>
      <c r="M393" s="4">
        <v>70000.0</v>
      </c>
      <c r="N393" s="4">
        <v>0.0</v>
      </c>
    </row>
    <row r="394">
      <c r="A394" s="5">
        <v>705.0</v>
      </c>
      <c r="B394" s="3" t="s">
        <v>2078</v>
      </c>
      <c r="C394" s="3" t="s">
        <v>2635</v>
      </c>
      <c r="D394" s="3" t="s">
        <v>2636</v>
      </c>
      <c r="E394" s="3">
        <v>730509.0</v>
      </c>
      <c r="F394" s="5">
        <v>2.0</v>
      </c>
      <c r="G394" s="3" t="s">
        <v>2637</v>
      </c>
      <c r="H394" s="3" t="s">
        <v>2638</v>
      </c>
      <c r="I394" s="3">
        <v>790716.0</v>
      </c>
      <c r="J394" s="4" t="str">
        <f t="shared" si="1"/>
        <v>강현정2457</v>
      </c>
      <c r="K394" s="3" t="str">
        <f t="shared" si="2"/>
        <v>정상</v>
      </c>
      <c r="L394" s="4">
        <v>70000.0</v>
      </c>
      <c r="M394" s="4">
        <v>70000.0</v>
      </c>
      <c r="N394" s="4">
        <v>0.0</v>
      </c>
    </row>
    <row r="395">
      <c r="A395" s="5">
        <v>708.0</v>
      </c>
      <c r="B395" s="3" t="s">
        <v>2078</v>
      </c>
      <c r="C395" s="3" t="s">
        <v>2639</v>
      </c>
      <c r="D395" s="3" t="s">
        <v>2640</v>
      </c>
      <c r="E395" s="3">
        <v>631127.0</v>
      </c>
      <c r="F395" s="5">
        <v>2.0</v>
      </c>
      <c r="G395" s="3" t="s">
        <v>2641</v>
      </c>
      <c r="H395" s="3" t="s">
        <v>2642</v>
      </c>
      <c r="I395" s="3">
        <v>590408.0</v>
      </c>
      <c r="J395" s="4" t="str">
        <f t="shared" si="1"/>
        <v>이재월2592</v>
      </c>
      <c r="K395" s="3" t="str">
        <f t="shared" si="2"/>
        <v>정상</v>
      </c>
      <c r="L395" s="4">
        <v>70000.0</v>
      </c>
      <c r="M395" s="4">
        <v>70000.0</v>
      </c>
      <c r="N395" s="4">
        <v>0.0</v>
      </c>
    </row>
    <row r="396">
      <c r="A396" s="5">
        <v>386.0</v>
      </c>
      <c r="B396" s="3" t="s">
        <v>1557</v>
      </c>
      <c r="C396" s="3" t="s">
        <v>2643</v>
      </c>
      <c r="D396" s="3" t="s">
        <v>2644</v>
      </c>
      <c r="E396" s="3">
        <v>690310.0</v>
      </c>
      <c r="F396" s="5">
        <v>2.0</v>
      </c>
      <c r="G396" s="3" t="s">
        <v>2645</v>
      </c>
      <c r="H396" s="3" t="s">
        <v>2646</v>
      </c>
      <c r="I396" s="3">
        <v>901028.0</v>
      </c>
      <c r="J396" s="4" t="str">
        <f t="shared" si="1"/>
        <v>조소현3740</v>
      </c>
      <c r="K396" s="3" t="str">
        <f t="shared" si="2"/>
        <v>정상</v>
      </c>
      <c r="L396" s="4">
        <v>70000.0</v>
      </c>
      <c r="M396" s="4">
        <v>70000.0</v>
      </c>
      <c r="N396" s="4">
        <v>0.0</v>
      </c>
    </row>
    <row r="397">
      <c r="A397" s="6">
        <v>391.0</v>
      </c>
      <c r="B397" s="4" t="s">
        <v>1317</v>
      </c>
      <c r="C397" s="4" t="s">
        <v>2647</v>
      </c>
      <c r="D397" s="4" t="s">
        <v>2648</v>
      </c>
      <c r="E397" s="4">
        <v>770328.0</v>
      </c>
      <c r="F397" s="6">
        <v>2.0</v>
      </c>
      <c r="G397" s="4" t="s">
        <v>2649</v>
      </c>
      <c r="H397" s="4" t="s">
        <v>2650</v>
      </c>
      <c r="I397" s="4">
        <v>390724.0</v>
      </c>
      <c r="J397" s="4" t="str">
        <f t="shared" si="1"/>
        <v>정소연1531</v>
      </c>
      <c r="K397" s="3" t="str">
        <f t="shared" si="2"/>
        <v>정상</v>
      </c>
      <c r="L397" s="4">
        <v>70000.0</v>
      </c>
      <c r="M397" s="4">
        <v>70000.0</v>
      </c>
      <c r="N397" s="4">
        <v>0.0</v>
      </c>
    </row>
    <row r="398">
      <c r="A398" s="6">
        <v>1236.0</v>
      </c>
      <c r="B398" s="4" t="s">
        <v>1209</v>
      </c>
      <c r="C398" s="4" t="s">
        <v>1809</v>
      </c>
      <c r="D398" s="4" t="s">
        <v>2651</v>
      </c>
      <c r="E398" s="4">
        <v>760524.0</v>
      </c>
      <c r="F398" s="6">
        <v>2.0</v>
      </c>
      <c r="G398" s="4" t="s">
        <v>2652</v>
      </c>
      <c r="H398" s="4" t="s">
        <v>2653</v>
      </c>
      <c r="I398" s="4">
        <v>730125.0</v>
      </c>
      <c r="J398" s="4" t="str">
        <f t="shared" si="1"/>
        <v>최윤정2558</v>
      </c>
      <c r="K398" s="3" t="str">
        <f t="shared" si="2"/>
        <v>정상</v>
      </c>
      <c r="L398" s="4">
        <v>70000.0</v>
      </c>
      <c r="M398" s="4">
        <v>70000.0</v>
      </c>
      <c r="N398" s="4">
        <v>0.0</v>
      </c>
    </row>
    <row r="399">
      <c r="A399" s="5">
        <v>362.0</v>
      </c>
      <c r="B399" s="3" t="s">
        <v>1086</v>
      </c>
      <c r="C399" s="3" t="s">
        <v>2654</v>
      </c>
      <c r="D399" s="3" t="s">
        <v>2655</v>
      </c>
      <c r="E399" s="3">
        <v>710320.0</v>
      </c>
      <c r="F399" s="5">
        <v>2.0</v>
      </c>
      <c r="G399" s="3" t="s">
        <v>2656</v>
      </c>
      <c r="H399" s="3" t="s">
        <v>2657</v>
      </c>
      <c r="I399" s="3">
        <v>590910.0</v>
      </c>
      <c r="J399" s="4" t="str">
        <f t="shared" si="1"/>
        <v>오영삼5032</v>
      </c>
      <c r="K399" s="3" t="str">
        <f t="shared" si="2"/>
        <v>정상</v>
      </c>
      <c r="L399" s="4">
        <v>70000.0</v>
      </c>
      <c r="M399" s="4">
        <v>70000.0</v>
      </c>
      <c r="N399" s="4">
        <v>0.0</v>
      </c>
    </row>
    <row r="400">
      <c r="A400" s="5">
        <v>821.0</v>
      </c>
      <c r="B400" s="3" t="s">
        <v>1124</v>
      </c>
      <c r="C400" s="3" t="s">
        <v>2658</v>
      </c>
      <c r="D400" s="3" t="s">
        <v>2659</v>
      </c>
      <c r="E400" s="3">
        <v>780403.0</v>
      </c>
      <c r="F400" s="5">
        <v>2.0</v>
      </c>
      <c r="G400" s="3" t="s">
        <v>2660</v>
      </c>
      <c r="H400" s="3" t="s">
        <v>2661</v>
      </c>
      <c r="I400" s="3">
        <v>630501.0</v>
      </c>
      <c r="J400" s="4" t="str">
        <f t="shared" si="1"/>
        <v>강성미3448</v>
      </c>
      <c r="K400" s="3" t="str">
        <f t="shared" si="2"/>
        <v>정상</v>
      </c>
      <c r="L400" s="4">
        <v>70000.0</v>
      </c>
      <c r="M400" s="4">
        <v>70000.0</v>
      </c>
      <c r="N400" s="4">
        <v>0.0</v>
      </c>
    </row>
    <row r="401">
      <c r="A401" s="6">
        <v>954.0</v>
      </c>
      <c r="B401" s="4" t="s">
        <v>1631</v>
      </c>
      <c r="C401" s="4" t="s">
        <v>2662</v>
      </c>
      <c r="D401" s="4" t="s">
        <v>2663</v>
      </c>
      <c r="E401" s="4">
        <v>621122.0</v>
      </c>
      <c r="F401" s="6">
        <v>2.0</v>
      </c>
      <c r="G401" s="4" t="s">
        <v>2664</v>
      </c>
      <c r="H401" s="4" t="s">
        <v>2665</v>
      </c>
      <c r="I401" s="4">
        <v>570211.0</v>
      </c>
      <c r="J401" s="4" t="str">
        <f t="shared" si="1"/>
        <v>윤인숙8262</v>
      </c>
      <c r="K401" s="3" t="str">
        <f t="shared" si="2"/>
        <v>정상</v>
      </c>
      <c r="L401" s="4">
        <v>70000.0</v>
      </c>
      <c r="M401" s="4">
        <v>70000.0</v>
      </c>
      <c r="N401" s="4">
        <v>0.0</v>
      </c>
    </row>
    <row r="402">
      <c r="A402" s="6">
        <v>1217.0</v>
      </c>
      <c r="B402" s="4" t="s">
        <v>1454</v>
      </c>
      <c r="C402" s="4" t="s">
        <v>2666</v>
      </c>
      <c r="D402" s="4" t="s">
        <v>2667</v>
      </c>
      <c r="E402" s="4">
        <v>710608.0</v>
      </c>
      <c r="F402" s="6">
        <v>2.0</v>
      </c>
      <c r="G402" s="4" t="s">
        <v>2668</v>
      </c>
      <c r="H402" s="4" t="s">
        <v>2669</v>
      </c>
      <c r="I402" s="4">
        <v>571213.0</v>
      </c>
      <c r="J402" s="4" t="str">
        <f t="shared" si="1"/>
        <v>박세영0598</v>
      </c>
      <c r="K402" s="3" t="str">
        <f t="shared" si="2"/>
        <v>정상</v>
      </c>
      <c r="L402" s="4">
        <v>70000.0</v>
      </c>
      <c r="M402" s="4">
        <v>70000.0</v>
      </c>
      <c r="N402" s="4">
        <v>0.0</v>
      </c>
    </row>
    <row r="403">
      <c r="A403" s="5">
        <v>1072.0</v>
      </c>
      <c r="B403" s="3" t="s">
        <v>1076</v>
      </c>
      <c r="C403" s="3" t="s">
        <v>2670</v>
      </c>
      <c r="D403" s="3" t="s">
        <v>2671</v>
      </c>
      <c r="E403" s="3">
        <v>600328.0</v>
      </c>
      <c r="F403" s="5">
        <v>2.0</v>
      </c>
      <c r="G403" s="3" t="s">
        <v>2672</v>
      </c>
      <c r="H403" s="3" t="s">
        <v>2673</v>
      </c>
      <c r="I403" s="3">
        <v>530706.0</v>
      </c>
      <c r="J403" s="4" t="str">
        <f t="shared" si="1"/>
        <v>이재숙8764</v>
      </c>
      <c r="K403" s="3" t="str">
        <f t="shared" si="2"/>
        <v>정상</v>
      </c>
      <c r="L403" s="4">
        <v>70000.0</v>
      </c>
      <c r="M403" s="4">
        <v>70000.0</v>
      </c>
      <c r="N403" s="4">
        <v>0.0</v>
      </c>
    </row>
    <row r="404">
      <c r="A404" s="6">
        <v>262.0</v>
      </c>
      <c r="B404" s="4" t="s">
        <v>1147</v>
      </c>
      <c r="C404" s="4" t="s">
        <v>2674</v>
      </c>
      <c r="D404" s="4" t="s">
        <v>2675</v>
      </c>
      <c r="E404" s="4">
        <v>690922.0</v>
      </c>
      <c r="F404" s="6">
        <v>2.0</v>
      </c>
      <c r="G404" s="4" t="s">
        <v>2676</v>
      </c>
      <c r="H404" s="4" t="s">
        <v>2677</v>
      </c>
      <c r="I404" s="4">
        <v>1113.0</v>
      </c>
      <c r="J404" s="4" t="str">
        <f t="shared" si="1"/>
        <v>백지혜7400</v>
      </c>
      <c r="K404" s="3" t="str">
        <f t="shared" si="2"/>
        <v>정상</v>
      </c>
      <c r="L404" s="4">
        <v>70000.0</v>
      </c>
      <c r="M404" s="4">
        <v>70000.0</v>
      </c>
      <c r="N404" s="4">
        <v>0.0</v>
      </c>
    </row>
    <row r="405">
      <c r="A405" s="6">
        <v>142.0</v>
      </c>
      <c r="B405" s="4" t="s">
        <v>996</v>
      </c>
      <c r="C405" s="4" t="s">
        <v>2678</v>
      </c>
      <c r="D405" s="4" t="s">
        <v>2679</v>
      </c>
      <c r="E405" s="4">
        <v>601203.0</v>
      </c>
      <c r="F405" s="6">
        <v>2.0</v>
      </c>
      <c r="G405" s="4" t="s">
        <v>2680</v>
      </c>
      <c r="H405" s="4" t="s">
        <v>2681</v>
      </c>
      <c r="I405" s="4">
        <v>591029.0</v>
      </c>
      <c r="J405" s="4" t="str">
        <f t="shared" si="1"/>
        <v>김옥숙3205</v>
      </c>
      <c r="K405" s="3" t="str">
        <f t="shared" si="2"/>
        <v>정상</v>
      </c>
      <c r="L405" s="4">
        <v>70000.0</v>
      </c>
      <c r="M405" s="4">
        <v>70000.0</v>
      </c>
      <c r="N405" s="4">
        <v>0.0</v>
      </c>
    </row>
    <row r="406">
      <c r="A406" s="5">
        <v>1077.0</v>
      </c>
      <c r="B406" s="3" t="s">
        <v>1076</v>
      </c>
      <c r="C406" s="3" t="s">
        <v>2682</v>
      </c>
      <c r="D406" s="3" t="s">
        <v>2683</v>
      </c>
      <c r="E406" s="3">
        <v>590118.0</v>
      </c>
      <c r="F406" s="5">
        <v>2.0</v>
      </c>
      <c r="G406" s="3" t="s">
        <v>2684</v>
      </c>
      <c r="H406" s="3" t="s">
        <v>2685</v>
      </c>
      <c r="I406" s="3">
        <v>610501.0</v>
      </c>
      <c r="J406" s="4" t="str">
        <f t="shared" si="1"/>
        <v>박상엽2363</v>
      </c>
      <c r="K406" s="3" t="str">
        <f t="shared" si="2"/>
        <v>정상</v>
      </c>
      <c r="L406" s="4">
        <v>70000.0</v>
      </c>
      <c r="M406" s="4">
        <v>70000.0</v>
      </c>
      <c r="N406" s="4">
        <v>0.0</v>
      </c>
    </row>
    <row r="407">
      <c r="A407" s="6">
        <v>987.0</v>
      </c>
      <c r="B407" s="4" t="s">
        <v>1022</v>
      </c>
      <c r="C407" s="4" t="s">
        <v>2686</v>
      </c>
      <c r="D407" s="4" t="s">
        <v>2687</v>
      </c>
      <c r="E407" s="4">
        <v>530215.0</v>
      </c>
      <c r="F407" s="6">
        <v>2.0</v>
      </c>
      <c r="G407" s="4" t="s">
        <v>2688</v>
      </c>
      <c r="H407" s="4" t="s">
        <v>2689</v>
      </c>
      <c r="I407" s="4">
        <v>541214.0</v>
      </c>
      <c r="J407" s="4" t="str">
        <f t="shared" si="1"/>
        <v>박용녀4220</v>
      </c>
      <c r="K407" s="3" t="str">
        <f t="shared" si="2"/>
        <v>정상</v>
      </c>
      <c r="L407" s="4">
        <v>70000.0</v>
      </c>
      <c r="M407" s="4">
        <v>70000.0</v>
      </c>
      <c r="N407" s="4">
        <v>0.0</v>
      </c>
    </row>
    <row r="408">
      <c r="A408" s="6">
        <v>308.0</v>
      </c>
      <c r="B408" s="4" t="s">
        <v>2123</v>
      </c>
      <c r="C408" s="4" t="s">
        <v>2690</v>
      </c>
      <c r="D408" s="4" t="s">
        <v>2691</v>
      </c>
      <c r="E408" s="4">
        <v>740118.0</v>
      </c>
      <c r="F408" s="6">
        <v>2.0</v>
      </c>
      <c r="G408" s="4" t="s">
        <v>2692</v>
      </c>
      <c r="H408" s="4" t="s">
        <v>2693</v>
      </c>
      <c r="I408" s="4">
        <v>731005.0</v>
      </c>
      <c r="J408" s="4" t="str">
        <f t="shared" si="1"/>
        <v>허은영8222</v>
      </c>
      <c r="K408" s="3" t="str">
        <f t="shared" si="2"/>
        <v>정상</v>
      </c>
      <c r="L408" s="4">
        <v>70000.0</v>
      </c>
      <c r="M408" s="4">
        <v>70000.0</v>
      </c>
      <c r="N408" s="4">
        <v>0.0</v>
      </c>
    </row>
    <row r="409">
      <c r="A409" s="5">
        <v>733.0</v>
      </c>
      <c r="B409" s="3" t="s">
        <v>1335</v>
      </c>
      <c r="C409" s="3" t="s">
        <v>2694</v>
      </c>
      <c r="D409" s="3" t="s">
        <v>2695</v>
      </c>
      <c r="E409" s="3">
        <v>540412.0</v>
      </c>
      <c r="F409" s="5">
        <v>2.0</v>
      </c>
      <c r="G409" s="3" t="s">
        <v>2696</v>
      </c>
      <c r="H409" s="3" t="s">
        <v>2697</v>
      </c>
      <c r="I409" s="3">
        <v>541008.0</v>
      </c>
      <c r="J409" s="4" t="str">
        <f t="shared" si="1"/>
        <v>윤순교7843</v>
      </c>
      <c r="K409" s="3" t="str">
        <f t="shared" si="2"/>
        <v>정상</v>
      </c>
      <c r="L409" s="4">
        <v>70000.0</v>
      </c>
      <c r="M409" s="4">
        <v>70000.0</v>
      </c>
      <c r="N409" s="4">
        <v>0.0</v>
      </c>
    </row>
    <row r="410">
      <c r="A410" s="6">
        <v>860.0</v>
      </c>
      <c r="B410" s="4" t="s">
        <v>1119</v>
      </c>
      <c r="C410" s="4" t="s">
        <v>2698</v>
      </c>
      <c r="D410" s="4" t="s">
        <v>2699</v>
      </c>
      <c r="E410" s="4">
        <v>750105.0</v>
      </c>
      <c r="F410" s="6">
        <v>2.0</v>
      </c>
      <c r="G410" s="4" t="s">
        <v>2700</v>
      </c>
      <c r="H410" s="4" t="s">
        <v>2701</v>
      </c>
      <c r="I410" s="4">
        <v>740912.0</v>
      </c>
      <c r="J410" s="4" t="str">
        <f t="shared" si="1"/>
        <v>고미영3605</v>
      </c>
      <c r="K410" s="3" t="str">
        <f t="shared" si="2"/>
        <v>정상</v>
      </c>
      <c r="L410" s="4">
        <v>70000.0</v>
      </c>
      <c r="M410" s="4">
        <v>70000.0</v>
      </c>
      <c r="N410" s="4">
        <v>0.0</v>
      </c>
    </row>
    <row r="411">
      <c r="A411" s="6">
        <v>421.0</v>
      </c>
      <c r="B411" s="4" t="s">
        <v>1037</v>
      </c>
      <c r="C411" s="4" t="s">
        <v>2702</v>
      </c>
      <c r="D411" s="4" t="s">
        <v>2703</v>
      </c>
      <c r="E411" s="4">
        <v>660116.0</v>
      </c>
      <c r="F411" s="6">
        <v>2.0</v>
      </c>
      <c r="G411" s="4" t="s">
        <v>2704</v>
      </c>
      <c r="H411" s="4" t="s">
        <v>2705</v>
      </c>
      <c r="I411" s="4">
        <v>601015.0</v>
      </c>
      <c r="J411" s="4" t="str">
        <f t="shared" si="1"/>
        <v>박형신7622</v>
      </c>
      <c r="K411" s="3" t="str">
        <f t="shared" si="2"/>
        <v>정상</v>
      </c>
      <c r="L411" s="4">
        <v>70000.0</v>
      </c>
      <c r="M411" s="4">
        <v>70000.0</v>
      </c>
      <c r="N411" s="4">
        <v>0.0</v>
      </c>
    </row>
    <row r="412">
      <c r="A412" s="6">
        <v>951.0</v>
      </c>
      <c r="B412" s="4" t="s">
        <v>1631</v>
      </c>
      <c r="C412" s="4" t="s">
        <v>2706</v>
      </c>
      <c r="D412" s="4" t="s">
        <v>2707</v>
      </c>
      <c r="E412" s="4">
        <v>641225.0</v>
      </c>
      <c r="F412" s="6">
        <v>2.0</v>
      </c>
      <c r="G412" s="4" t="s">
        <v>2708</v>
      </c>
      <c r="H412" s="4" t="s">
        <v>2709</v>
      </c>
      <c r="I412" s="4">
        <v>941128.0</v>
      </c>
      <c r="J412" s="4" t="str">
        <f t="shared" si="1"/>
        <v>김외숙8691</v>
      </c>
      <c r="K412" s="3" t="str">
        <f t="shared" si="2"/>
        <v>정상</v>
      </c>
      <c r="L412" s="4">
        <v>70000.0</v>
      </c>
      <c r="M412" s="4">
        <v>70000.0</v>
      </c>
      <c r="N412" s="4">
        <v>0.0</v>
      </c>
    </row>
    <row r="413">
      <c r="A413" s="6">
        <v>467.0</v>
      </c>
      <c r="B413" s="4" t="s">
        <v>1808</v>
      </c>
      <c r="C413" s="4" t="s">
        <v>2710</v>
      </c>
      <c r="D413" s="4" t="s">
        <v>2711</v>
      </c>
      <c r="E413" s="4">
        <v>760511.0</v>
      </c>
      <c r="F413" s="6">
        <v>2.0</v>
      </c>
      <c r="G413" s="4" t="s">
        <v>2712</v>
      </c>
      <c r="H413" s="4" t="s">
        <v>2713</v>
      </c>
      <c r="I413" s="4">
        <v>30312.0</v>
      </c>
      <c r="J413" s="4" t="str">
        <f t="shared" si="1"/>
        <v>김우선3226</v>
      </c>
      <c r="K413" s="3" t="str">
        <f t="shared" si="2"/>
        <v>정상</v>
      </c>
      <c r="L413" s="4">
        <v>70000.0</v>
      </c>
      <c r="M413" s="4">
        <v>70000.0</v>
      </c>
      <c r="N413" s="4">
        <v>0.0</v>
      </c>
    </row>
    <row r="414">
      <c r="A414" s="6">
        <v>1107.0</v>
      </c>
      <c r="B414" s="4" t="s">
        <v>1420</v>
      </c>
      <c r="C414" s="4" t="s">
        <v>2714</v>
      </c>
      <c r="D414" s="4" t="s">
        <v>2715</v>
      </c>
      <c r="E414" s="4">
        <v>710701.0</v>
      </c>
      <c r="F414" s="6">
        <v>2.0</v>
      </c>
      <c r="G414" s="4" t="s">
        <v>2716</v>
      </c>
      <c r="H414" s="4" t="s">
        <v>2717</v>
      </c>
      <c r="I414" s="4">
        <v>40905.0</v>
      </c>
      <c r="J414" s="4" t="str">
        <f t="shared" si="1"/>
        <v>오현주0661</v>
      </c>
      <c r="K414" s="3" t="str">
        <f t="shared" si="2"/>
        <v>정상</v>
      </c>
      <c r="L414" s="4">
        <v>70000.0</v>
      </c>
      <c r="M414" s="4">
        <v>70000.0</v>
      </c>
      <c r="N414" s="4">
        <v>0.0</v>
      </c>
    </row>
    <row r="415">
      <c r="A415" s="6">
        <v>1149.0</v>
      </c>
      <c r="B415" s="4" t="s">
        <v>1165</v>
      </c>
      <c r="C415" s="4" t="s">
        <v>2718</v>
      </c>
      <c r="D415" s="4" t="s">
        <v>2719</v>
      </c>
      <c r="E415" s="4">
        <v>690316.0</v>
      </c>
      <c r="F415" s="6">
        <v>2.0</v>
      </c>
      <c r="G415" s="4" t="s">
        <v>2720</v>
      </c>
      <c r="H415" s="4" t="s">
        <v>2721</v>
      </c>
      <c r="I415" s="4">
        <v>700204.0</v>
      </c>
      <c r="J415" s="4" t="str">
        <f t="shared" si="1"/>
        <v>배용복8288</v>
      </c>
      <c r="K415" s="3" t="str">
        <f t="shared" si="2"/>
        <v>정상</v>
      </c>
      <c r="L415" s="4">
        <v>70000.0</v>
      </c>
      <c r="M415" s="4">
        <v>70000.0</v>
      </c>
      <c r="N415" s="4">
        <v>0.0</v>
      </c>
    </row>
    <row r="416">
      <c r="A416" s="6">
        <v>654.0</v>
      </c>
      <c r="B416" s="4" t="s">
        <v>1415</v>
      </c>
      <c r="C416" s="4" t="s">
        <v>2722</v>
      </c>
      <c r="D416" s="4" t="s">
        <v>2723</v>
      </c>
      <c r="E416" s="4">
        <v>600414.0</v>
      </c>
      <c r="F416" s="6">
        <v>2.0</v>
      </c>
      <c r="G416" s="4" t="s">
        <v>2724</v>
      </c>
      <c r="H416" s="4" t="s">
        <v>2725</v>
      </c>
      <c r="I416" s="4">
        <v>600221.0</v>
      </c>
      <c r="J416" s="4" t="str">
        <f t="shared" si="1"/>
        <v>김영식4798</v>
      </c>
      <c r="K416" s="3" t="str">
        <f t="shared" si="2"/>
        <v>정상</v>
      </c>
      <c r="L416" s="4">
        <v>70000.0</v>
      </c>
      <c r="M416" s="4">
        <v>70000.0</v>
      </c>
      <c r="N416" s="4">
        <v>0.0</v>
      </c>
    </row>
    <row r="417">
      <c r="A417" s="6">
        <v>611.0</v>
      </c>
      <c r="B417" s="4" t="s">
        <v>1779</v>
      </c>
      <c r="C417" s="4" t="s">
        <v>2726</v>
      </c>
      <c r="D417" s="4" t="s">
        <v>2727</v>
      </c>
      <c r="E417" s="4">
        <v>590916.0</v>
      </c>
      <c r="F417" s="6">
        <v>2.0</v>
      </c>
      <c r="G417" s="4" t="s">
        <v>2728</v>
      </c>
      <c r="H417" s="4" t="s">
        <v>2729</v>
      </c>
      <c r="I417" s="4">
        <v>170429.0</v>
      </c>
      <c r="J417" s="4" t="str">
        <f t="shared" si="1"/>
        <v>하서빈4292</v>
      </c>
      <c r="K417" s="3" t="str">
        <f t="shared" si="2"/>
        <v>정상</v>
      </c>
      <c r="L417" s="4">
        <v>70000.0</v>
      </c>
      <c r="M417" s="4">
        <v>70000.0</v>
      </c>
      <c r="N417" s="4">
        <v>0.0</v>
      </c>
    </row>
    <row r="418">
      <c r="A418" s="6">
        <v>371.0</v>
      </c>
      <c r="B418" s="4" t="s">
        <v>1086</v>
      </c>
      <c r="C418" s="4" t="s">
        <v>2188</v>
      </c>
      <c r="D418" s="4" t="s">
        <v>2730</v>
      </c>
      <c r="E418" s="4">
        <v>591014.0</v>
      </c>
      <c r="F418" s="6">
        <v>2.0</v>
      </c>
      <c r="G418" s="4" t="s">
        <v>2731</v>
      </c>
      <c r="H418" s="4" t="s">
        <v>2732</v>
      </c>
      <c r="I418" s="4">
        <v>850607.0</v>
      </c>
      <c r="J418" s="4" t="str">
        <f t="shared" si="1"/>
        <v>이영애8424</v>
      </c>
      <c r="K418" s="3" t="str">
        <f t="shared" si="2"/>
        <v>정상</v>
      </c>
      <c r="L418" s="4">
        <v>70000.0</v>
      </c>
      <c r="M418" s="4">
        <v>70000.0</v>
      </c>
      <c r="N418" s="4">
        <v>0.0</v>
      </c>
    </row>
    <row r="419">
      <c r="A419" s="6">
        <v>524.0</v>
      </c>
      <c r="B419" s="4" t="s">
        <v>1789</v>
      </c>
      <c r="C419" s="4" t="s">
        <v>2733</v>
      </c>
      <c r="D419" s="4" t="s">
        <v>2734</v>
      </c>
      <c r="E419" s="4">
        <v>801104.0</v>
      </c>
      <c r="F419" s="6">
        <v>2.0</v>
      </c>
      <c r="G419" s="4" t="s">
        <v>2735</v>
      </c>
      <c r="H419" s="4" t="s">
        <v>2736</v>
      </c>
      <c r="I419" s="4">
        <v>740104.0</v>
      </c>
      <c r="J419" s="4" t="str">
        <f t="shared" si="1"/>
        <v>조찬영2959</v>
      </c>
      <c r="K419" s="3" t="str">
        <f t="shared" si="2"/>
        <v>정상</v>
      </c>
      <c r="L419" s="4">
        <v>70000.0</v>
      </c>
      <c r="M419" s="4">
        <v>70000.0</v>
      </c>
      <c r="N419" s="4">
        <v>0.0</v>
      </c>
    </row>
    <row r="420">
      <c r="A420" s="6">
        <v>844.0</v>
      </c>
      <c r="B420" s="4" t="s">
        <v>1588</v>
      </c>
      <c r="C420" s="4" t="s">
        <v>2737</v>
      </c>
      <c r="D420" s="4" t="s">
        <v>2738</v>
      </c>
      <c r="E420" s="4">
        <v>730712.0</v>
      </c>
      <c r="F420" s="6">
        <v>2.0</v>
      </c>
      <c r="G420" s="4" t="s">
        <v>1021</v>
      </c>
      <c r="H420" s="4" t="s">
        <v>1021</v>
      </c>
      <c r="I420" s="4" t="s">
        <v>1021</v>
      </c>
      <c r="J420" s="4" t="str">
        <f t="shared" si="1"/>
        <v>나현기0612</v>
      </c>
      <c r="K420" s="3" t="str">
        <f t="shared" si="2"/>
        <v>정상</v>
      </c>
      <c r="L420" s="4">
        <v>70000.0</v>
      </c>
      <c r="M420" s="4">
        <v>70000.0</v>
      </c>
      <c r="N420" s="4">
        <v>0.0</v>
      </c>
    </row>
    <row r="421">
      <c r="A421" s="5">
        <v>1156.0</v>
      </c>
      <c r="B421" s="3" t="s">
        <v>1165</v>
      </c>
      <c r="C421" s="3" t="s">
        <v>2739</v>
      </c>
      <c r="D421" s="3" t="s">
        <v>2740</v>
      </c>
      <c r="E421" s="3">
        <v>630716.0</v>
      </c>
      <c r="F421" s="5">
        <v>2.0</v>
      </c>
      <c r="G421" s="3" t="s">
        <v>1021</v>
      </c>
      <c r="H421" s="3" t="s">
        <v>1021</v>
      </c>
      <c r="I421" s="3" t="s">
        <v>1021</v>
      </c>
      <c r="J421" s="4" t="str">
        <f t="shared" si="1"/>
        <v>박정남7595</v>
      </c>
      <c r="K421" s="3" t="str">
        <f t="shared" si="2"/>
        <v>정상</v>
      </c>
      <c r="L421" s="4">
        <v>70000.0</v>
      </c>
      <c r="M421" s="4">
        <v>70000.0</v>
      </c>
      <c r="N421" s="4">
        <v>0.0</v>
      </c>
    </row>
    <row r="422">
      <c r="A422" s="5">
        <v>1058.0</v>
      </c>
      <c r="B422" s="3" t="s">
        <v>1047</v>
      </c>
      <c r="C422" s="3" t="s">
        <v>2741</v>
      </c>
      <c r="D422" s="3" t="s">
        <v>2742</v>
      </c>
      <c r="E422" s="3">
        <v>660419.0</v>
      </c>
      <c r="F422" s="5">
        <v>2.0</v>
      </c>
      <c r="G422" s="3" t="s">
        <v>1021</v>
      </c>
      <c r="H422" s="3" t="s">
        <v>1021</v>
      </c>
      <c r="I422" s="3" t="s">
        <v>1021</v>
      </c>
      <c r="J422" s="4" t="str">
        <f t="shared" si="1"/>
        <v>유미숙0143</v>
      </c>
      <c r="K422" s="3" t="str">
        <f t="shared" si="2"/>
        <v>정상</v>
      </c>
      <c r="L422" s="4">
        <v>70000.0</v>
      </c>
      <c r="M422" s="4">
        <v>70000.0</v>
      </c>
      <c r="N422" s="4">
        <v>0.0</v>
      </c>
    </row>
    <row r="423">
      <c r="A423" s="6">
        <v>249.0</v>
      </c>
      <c r="B423" s="4" t="s">
        <v>2743</v>
      </c>
      <c r="C423" s="4" t="s">
        <v>2744</v>
      </c>
      <c r="D423" s="4" t="s">
        <v>2745</v>
      </c>
      <c r="E423" s="4">
        <v>711021.0</v>
      </c>
      <c r="F423" s="6">
        <v>2.0</v>
      </c>
      <c r="G423" s="4" t="s">
        <v>1021</v>
      </c>
      <c r="H423" s="4" t="s">
        <v>1021</v>
      </c>
      <c r="I423" s="4" t="s">
        <v>1021</v>
      </c>
      <c r="J423" s="4" t="str">
        <f t="shared" si="1"/>
        <v>이혜경6721</v>
      </c>
      <c r="K423" s="3" t="str">
        <f t="shared" si="2"/>
        <v>정상</v>
      </c>
      <c r="L423" s="4">
        <v>70000.0</v>
      </c>
      <c r="M423" s="4">
        <v>70000.0</v>
      </c>
      <c r="N423" s="4">
        <v>0.0</v>
      </c>
    </row>
    <row r="424">
      <c r="A424" s="5">
        <v>1244.0</v>
      </c>
      <c r="B424" s="3" t="s">
        <v>2746</v>
      </c>
      <c r="C424" s="3" t="s">
        <v>2747</v>
      </c>
      <c r="D424" s="3" t="s">
        <v>2748</v>
      </c>
      <c r="E424" s="3">
        <v>810415.0</v>
      </c>
      <c r="F424" s="5">
        <v>2.0</v>
      </c>
      <c r="G424" s="3" t="s">
        <v>1021</v>
      </c>
      <c r="H424" s="3" t="s">
        <v>1021</v>
      </c>
      <c r="I424" s="3" t="s">
        <v>1021</v>
      </c>
      <c r="J424" s="4" t="str">
        <f t="shared" si="1"/>
        <v>이혜은1016</v>
      </c>
      <c r="K424" s="3" t="str">
        <f t="shared" si="2"/>
        <v>정상</v>
      </c>
      <c r="L424" s="4">
        <v>70000.0</v>
      </c>
      <c r="M424" s="4">
        <v>70000.0</v>
      </c>
      <c r="N424" s="4">
        <v>0.0</v>
      </c>
    </row>
    <row r="425">
      <c r="A425" s="6">
        <v>217.0</v>
      </c>
      <c r="B425" s="4" t="s">
        <v>2749</v>
      </c>
      <c r="C425" s="3" t="s">
        <v>2750</v>
      </c>
      <c r="D425" s="4" t="s">
        <v>2751</v>
      </c>
      <c r="E425" s="4">
        <v>570705.0</v>
      </c>
      <c r="F425" s="6">
        <v>1.0</v>
      </c>
      <c r="G425" s="4" t="s">
        <v>1021</v>
      </c>
      <c r="H425" s="4" t="s">
        <v>1021</v>
      </c>
      <c r="I425" s="4" t="s">
        <v>1021</v>
      </c>
      <c r="J425" s="4" t="str">
        <f t="shared" si="1"/>
        <v>윤점례0794</v>
      </c>
      <c r="K425" s="3" t="str">
        <f t="shared" si="2"/>
        <v>정상</v>
      </c>
      <c r="L425" s="4">
        <v>35000.0</v>
      </c>
      <c r="M425" s="4">
        <v>35000.0</v>
      </c>
      <c r="N425" s="4">
        <v>0.0</v>
      </c>
    </row>
    <row r="426">
      <c r="A426" s="5">
        <v>991.0</v>
      </c>
      <c r="B426" s="3" t="s">
        <v>1022</v>
      </c>
      <c r="C426" s="3" t="s">
        <v>2752</v>
      </c>
      <c r="D426" s="3" t="s">
        <v>2753</v>
      </c>
      <c r="E426" s="3">
        <v>641215.0</v>
      </c>
      <c r="F426" s="5">
        <v>1.0</v>
      </c>
      <c r="G426" s="3"/>
      <c r="H426" s="3"/>
      <c r="I426" s="3"/>
      <c r="J426" s="4" t="str">
        <f t="shared" si="1"/>
        <v>신연희0982</v>
      </c>
      <c r="K426" s="3" t="str">
        <f t="shared" si="2"/>
        <v>중복</v>
      </c>
      <c r="L426" s="4">
        <v>35000.0</v>
      </c>
      <c r="M426" s="4">
        <v>70000.0</v>
      </c>
      <c r="N426" s="4">
        <v>35000.0</v>
      </c>
    </row>
    <row r="427">
      <c r="A427" s="5">
        <v>1184.0</v>
      </c>
      <c r="B427" s="3" t="s">
        <v>1471</v>
      </c>
      <c r="C427" s="3" t="s">
        <v>2754</v>
      </c>
      <c r="D427" s="3" t="s">
        <v>2755</v>
      </c>
      <c r="E427" s="3">
        <v>591006.0</v>
      </c>
      <c r="F427" s="5">
        <v>1.0</v>
      </c>
      <c r="G427" s="3" t="s">
        <v>1021</v>
      </c>
      <c r="H427" s="3" t="s">
        <v>1021</v>
      </c>
      <c r="I427" s="3" t="s">
        <v>1021</v>
      </c>
      <c r="J427" s="4" t="str">
        <f t="shared" si="1"/>
        <v>주청주8084</v>
      </c>
      <c r="K427" s="3" t="str">
        <f t="shared" si="2"/>
        <v>중복</v>
      </c>
      <c r="L427" s="4">
        <v>35000.0</v>
      </c>
      <c r="M427" s="4">
        <v>210000.0</v>
      </c>
      <c r="N427" s="4">
        <v>175000.0</v>
      </c>
    </row>
    <row r="428">
      <c r="A428" s="5">
        <v>1016.0</v>
      </c>
      <c r="B428" s="3" t="s">
        <v>1269</v>
      </c>
      <c r="C428" s="3" t="s">
        <v>2756</v>
      </c>
      <c r="D428" s="3" t="s">
        <v>2757</v>
      </c>
      <c r="E428" s="3">
        <v>630521.0</v>
      </c>
      <c r="F428" s="5">
        <v>2.0</v>
      </c>
      <c r="G428" s="3" t="s">
        <v>2758</v>
      </c>
      <c r="H428" s="3" t="s">
        <v>2759</v>
      </c>
      <c r="I428" s="3">
        <v>641216.0</v>
      </c>
      <c r="J428" s="4" t="str">
        <f t="shared" si="1"/>
        <v>남유정5239</v>
      </c>
      <c r="K428" s="3" t="str">
        <f t="shared" si="2"/>
        <v>중복</v>
      </c>
      <c r="L428" s="4">
        <v>70000.0</v>
      </c>
      <c r="M428" s="4">
        <v>140000.0</v>
      </c>
      <c r="N428" s="4">
        <v>70000.0</v>
      </c>
    </row>
    <row r="429">
      <c r="A429" s="5">
        <v>1038.0</v>
      </c>
      <c r="B429" s="3" t="s">
        <v>1062</v>
      </c>
      <c r="C429" s="3" t="s">
        <v>2760</v>
      </c>
      <c r="D429" s="3" t="s">
        <v>2761</v>
      </c>
      <c r="E429" s="3">
        <v>770114.0</v>
      </c>
      <c r="F429" s="5">
        <v>1.0</v>
      </c>
      <c r="G429" s="3" t="s">
        <v>1021</v>
      </c>
      <c r="H429" s="3" t="s">
        <v>1021</v>
      </c>
      <c r="I429" s="3" t="s">
        <v>1021</v>
      </c>
      <c r="J429" s="4" t="str">
        <f t="shared" si="1"/>
        <v>이인경9828</v>
      </c>
      <c r="K429" s="3" t="str">
        <f t="shared" si="2"/>
        <v>중복</v>
      </c>
      <c r="L429" s="4">
        <v>35000.0</v>
      </c>
      <c r="M429" s="4">
        <v>140000.0</v>
      </c>
      <c r="N429" s="4">
        <v>105000.0</v>
      </c>
    </row>
    <row r="430">
      <c r="A430" s="6">
        <v>1248.0</v>
      </c>
      <c r="B430" s="4" t="s">
        <v>2762</v>
      </c>
      <c r="C430" s="4" t="s">
        <v>2763</v>
      </c>
      <c r="D430" s="4" t="s">
        <v>2764</v>
      </c>
      <c r="E430" s="4">
        <v>690830.0</v>
      </c>
      <c r="F430" s="6">
        <v>1.0</v>
      </c>
      <c r="G430" s="4" t="s">
        <v>1021</v>
      </c>
      <c r="H430" s="4" t="s">
        <v>1021</v>
      </c>
      <c r="I430" s="4" t="s">
        <v>1021</v>
      </c>
      <c r="J430" s="4" t="str">
        <f t="shared" si="1"/>
        <v>지은아3799</v>
      </c>
      <c r="K430" s="3" t="str">
        <f t="shared" si="2"/>
        <v>중복</v>
      </c>
      <c r="L430" s="4">
        <v>35000.0</v>
      </c>
      <c r="M430" s="4">
        <v>130000.0</v>
      </c>
      <c r="N430" s="4">
        <v>95000.0</v>
      </c>
    </row>
    <row r="431">
      <c r="A431" s="6">
        <v>850.0</v>
      </c>
      <c r="B431" s="4" t="s">
        <v>1967</v>
      </c>
      <c r="C431" s="4" t="s">
        <v>2765</v>
      </c>
      <c r="D431" s="4" t="s">
        <v>2766</v>
      </c>
      <c r="E431" s="4">
        <v>700225.0</v>
      </c>
      <c r="F431" s="6">
        <v>1.0</v>
      </c>
      <c r="G431" s="4" t="s">
        <v>1021</v>
      </c>
      <c r="H431" s="4" t="s">
        <v>1021</v>
      </c>
      <c r="I431" s="4" t="s">
        <v>1021</v>
      </c>
      <c r="J431" s="4" t="str">
        <f t="shared" si="1"/>
        <v>길선영6203</v>
      </c>
      <c r="K431" s="3" t="str">
        <f t="shared" si="2"/>
        <v>중복</v>
      </c>
      <c r="L431" s="4">
        <v>35000.0</v>
      </c>
      <c r="M431" s="4">
        <v>105000.0</v>
      </c>
      <c r="N431" s="4">
        <v>70000.0</v>
      </c>
    </row>
    <row r="432">
      <c r="A432" s="6">
        <v>1211.0</v>
      </c>
      <c r="B432" s="4" t="s">
        <v>1454</v>
      </c>
      <c r="C432" s="4" t="s">
        <v>2767</v>
      </c>
      <c r="D432" s="4" t="s">
        <v>2768</v>
      </c>
      <c r="E432" s="4">
        <v>680105.0</v>
      </c>
      <c r="F432" s="6">
        <v>1.0</v>
      </c>
      <c r="G432" s="4" t="s">
        <v>1021</v>
      </c>
      <c r="H432" s="4" t="s">
        <v>1021</v>
      </c>
      <c r="I432" s="4" t="s">
        <v>1021</v>
      </c>
      <c r="J432" s="4" t="str">
        <f t="shared" si="1"/>
        <v>김미영3217</v>
      </c>
      <c r="K432" s="3" t="str">
        <f t="shared" si="2"/>
        <v>중복</v>
      </c>
      <c r="L432" s="4">
        <v>35000.0</v>
      </c>
      <c r="M432" s="4">
        <v>105000.0</v>
      </c>
      <c r="N432" s="4">
        <v>70000.0</v>
      </c>
    </row>
    <row r="433">
      <c r="A433" s="6">
        <v>1093.0</v>
      </c>
      <c r="B433" s="4" t="s">
        <v>1137</v>
      </c>
      <c r="C433" s="4" t="s">
        <v>2769</v>
      </c>
      <c r="D433" s="4" t="s">
        <v>2770</v>
      </c>
      <c r="E433" s="4">
        <v>671013.0</v>
      </c>
      <c r="F433" s="6">
        <v>1.0</v>
      </c>
      <c r="G433" s="4" t="s">
        <v>1021</v>
      </c>
      <c r="H433" s="4" t="s">
        <v>1021</v>
      </c>
      <c r="I433" s="4" t="s">
        <v>1021</v>
      </c>
      <c r="J433" s="4" t="str">
        <f t="shared" si="1"/>
        <v>김미현9441</v>
      </c>
      <c r="K433" s="3" t="str">
        <f t="shared" si="2"/>
        <v>중복</v>
      </c>
      <c r="L433" s="4">
        <v>35000.0</v>
      </c>
      <c r="M433" s="4">
        <v>105000.0</v>
      </c>
      <c r="N433" s="4">
        <v>70000.0</v>
      </c>
    </row>
    <row r="434">
      <c r="A434" s="6">
        <v>270.0</v>
      </c>
      <c r="B434" s="4" t="s">
        <v>1429</v>
      </c>
      <c r="C434" s="4" t="s">
        <v>2771</v>
      </c>
      <c r="D434" s="4" t="s">
        <v>2772</v>
      </c>
      <c r="E434" s="4">
        <v>641101.0</v>
      </c>
      <c r="F434" s="6">
        <v>1.0</v>
      </c>
      <c r="G434" s="4" t="s">
        <v>1021</v>
      </c>
      <c r="H434" s="4" t="s">
        <v>1021</v>
      </c>
      <c r="I434" s="4" t="s">
        <v>1021</v>
      </c>
      <c r="J434" s="4" t="str">
        <f t="shared" si="1"/>
        <v>김은선1156</v>
      </c>
      <c r="K434" s="3" t="str">
        <f t="shared" si="2"/>
        <v>중복</v>
      </c>
      <c r="L434" s="4">
        <v>35000.0</v>
      </c>
      <c r="M434" s="4">
        <v>105000.0</v>
      </c>
      <c r="N434" s="4">
        <v>70000.0</v>
      </c>
    </row>
    <row r="435">
      <c r="A435" s="6">
        <v>316.0</v>
      </c>
      <c r="B435" s="4" t="s">
        <v>2773</v>
      </c>
      <c r="C435" s="4" t="s">
        <v>2774</v>
      </c>
      <c r="D435" s="4" t="s">
        <v>2775</v>
      </c>
      <c r="E435" s="4">
        <v>571010.0</v>
      </c>
      <c r="F435" s="6">
        <v>1.0</v>
      </c>
      <c r="G435" s="4" t="s">
        <v>1021</v>
      </c>
      <c r="H435" s="4" t="s">
        <v>1021</v>
      </c>
      <c r="I435" s="4" t="s">
        <v>1021</v>
      </c>
      <c r="J435" s="4" t="str">
        <f t="shared" si="1"/>
        <v>김정임1446</v>
      </c>
      <c r="K435" s="3" t="str">
        <f t="shared" si="2"/>
        <v>중복</v>
      </c>
      <c r="L435" s="4">
        <v>35000.0</v>
      </c>
      <c r="M435" s="4">
        <v>105000.0</v>
      </c>
      <c r="N435" s="4">
        <v>70000.0</v>
      </c>
    </row>
    <row r="436">
      <c r="A436" s="6">
        <v>563.0</v>
      </c>
      <c r="B436" s="4" t="s">
        <v>1255</v>
      </c>
      <c r="C436" s="4" t="s">
        <v>2776</v>
      </c>
      <c r="D436" s="4" t="s">
        <v>2777</v>
      </c>
      <c r="E436" s="4">
        <v>610726.0</v>
      </c>
      <c r="F436" s="6">
        <v>1.0</v>
      </c>
      <c r="G436" s="4" t="s">
        <v>1021</v>
      </c>
      <c r="H436" s="4" t="s">
        <v>1021</v>
      </c>
      <c r="I436" s="4" t="s">
        <v>1021</v>
      </c>
      <c r="J436" s="4" t="str">
        <f t="shared" si="1"/>
        <v>서정숙9863</v>
      </c>
      <c r="K436" s="3" t="str">
        <f t="shared" si="2"/>
        <v>중복</v>
      </c>
      <c r="L436" s="4">
        <v>35000.0</v>
      </c>
      <c r="M436" s="4">
        <v>105000.0</v>
      </c>
      <c r="N436" s="4">
        <v>70000.0</v>
      </c>
    </row>
    <row r="437">
      <c r="A437" s="6">
        <v>886.0</v>
      </c>
      <c r="B437" s="4" t="s">
        <v>1114</v>
      </c>
      <c r="C437" s="4" t="s">
        <v>2778</v>
      </c>
      <c r="D437" s="4" t="s">
        <v>2779</v>
      </c>
      <c r="E437" s="4">
        <v>640509.0</v>
      </c>
      <c r="F437" s="6">
        <v>1.0</v>
      </c>
      <c r="G437" s="4" t="s">
        <v>1021</v>
      </c>
      <c r="H437" s="4" t="s">
        <v>1021</v>
      </c>
      <c r="I437" s="4" t="s">
        <v>1021</v>
      </c>
      <c r="J437" s="4" t="str">
        <f t="shared" si="1"/>
        <v>유서현8801</v>
      </c>
      <c r="K437" s="3" t="str">
        <f t="shared" si="2"/>
        <v>중복</v>
      </c>
      <c r="L437" s="4">
        <v>35000.0</v>
      </c>
      <c r="M437" s="4">
        <v>105000.0</v>
      </c>
      <c r="N437" s="4">
        <v>70000.0</v>
      </c>
    </row>
    <row r="438">
      <c r="A438" s="6">
        <v>141.0</v>
      </c>
      <c r="B438" s="4" t="s">
        <v>1204</v>
      </c>
      <c r="C438" s="4" t="s">
        <v>2780</v>
      </c>
      <c r="D438" s="4" t="s">
        <v>2781</v>
      </c>
      <c r="E438" s="4">
        <v>770820.0</v>
      </c>
      <c r="F438" s="6">
        <v>1.0</v>
      </c>
      <c r="G438" s="4" t="s">
        <v>1021</v>
      </c>
      <c r="H438" s="4" t="s">
        <v>1021</v>
      </c>
      <c r="I438" s="4" t="s">
        <v>1021</v>
      </c>
      <c r="J438" s="4" t="str">
        <f t="shared" si="1"/>
        <v>윤민아2010</v>
      </c>
      <c r="K438" s="3" t="str">
        <f t="shared" si="2"/>
        <v>중복</v>
      </c>
      <c r="L438" s="4">
        <v>35000.0</v>
      </c>
      <c r="M438" s="4">
        <v>105000.0</v>
      </c>
      <c r="N438" s="4">
        <v>70000.0</v>
      </c>
    </row>
    <row r="439">
      <c r="A439" s="6">
        <v>896.0</v>
      </c>
      <c r="B439" s="4" t="s">
        <v>1872</v>
      </c>
      <c r="C439" s="4" t="s">
        <v>2782</v>
      </c>
      <c r="D439" s="4" t="s">
        <v>2783</v>
      </c>
      <c r="E439" s="4">
        <v>561125.0</v>
      </c>
      <c r="F439" s="6">
        <v>1.0</v>
      </c>
      <c r="G439" s="4" t="s">
        <v>1021</v>
      </c>
      <c r="H439" s="4" t="s">
        <v>1021</v>
      </c>
      <c r="I439" s="4" t="s">
        <v>1021</v>
      </c>
      <c r="J439" s="4" t="str">
        <f t="shared" si="1"/>
        <v>윤성애5812</v>
      </c>
      <c r="K439" s="3" t="str">
        <f t="shared" si="2"/>
        <v>중복</v>
      </c>
      <c r="L439" s="4">
        <v>35000.0</v>
      </c>
      <c r="M439" s="4">
        <v>105000.0</v>
      </c>
      <c r="N439" s="4">
        <v>70000.0</v>
      </c>
    </row>
    <row r="440">
      <c r="A440" s="6">
        <v>335.0</v>
      </c>
      <c r="B440" s="4" t="s">
        <v>1052</v>
      </c>
      <c r="C440" s="4" t="s">
        <v>2784</v>
      </c>
      <c r="D440" s="4" t="s">
        <v>2785</v>
      </c>
      <c r="E440" s="4">
        <v>690320.0</v>
      </c>
      <c r="F440" s="6">
        <v>1.0</v>
      </c>
      <c r="G440" s="4" t="s">
        <v>1021</v>
      </c>
      <c r="H440" s="4" t="s">
        <v>1021</v>
      </c>
      <c r="I440" s="4" t="s">
        <v>1021</v>
      </c>
      <c r="J440" s="4" t="str">
        <f t="shared" si="1"/>
        <v>이미희9889</v>
      </c>
      <c r="K440" s="3" t="str">
        <f t="shared" si="2"/>
        <v>중복</v>
      </c>
      <c r="L440" s="4">
        <v>35000.0</v>
      </c>
      <c r="M440" s="4">
        <v>105000.0</v>
      </c>
      <c r="N440" s="4">
        <v>70000.0</v>
      </c>
    </row>
    <row r="441">
      <c r="A441" s="6">
        <v>888.0</v>
      </c>
      <c r="B441" s="4" t="s">
        <v>1114</v>
      </c>
      <c r="C441" s="4" t="s">
        <v>2786</v>
      </c>
      <c r="D441" s="4" t="s">
        <v>2787</v>
      </c>
      <c r="E441" s="4">
        <v>490411.0</v>
      </c>
      <c r="F441" s="6">
        <v>1.0</v>
      </c>
      <c r="G441" s="4" t="s">
        <v>1021</v>
      </c>
      <c r="H441" s="4" t="s">
        <v>1021</v>
      </c>
      <c r="I441" s="4" t="s">
        <v>1021</v>
      </c>
      <c r="J441" s="4" t="str">
        <f t="shared" si="1"/>
        <v>장현옥4565</v>
      </c>
      <c r="K441" s="3" t="str">
        <f t="shared" si="2"/>
        <v>중복</v>
      </c>
      <c r="L441" s="4">
        <v>35000.0</v>
      </c>
      <c r="M441" s="4">
        <v>105000.0</v>
      </c>
      <c r="N441" s="4">
        <v>70000.0</v>
      </c>
    </row>
    <row r="442">
      <c r="A442" s="6">
        <v>464.0</v>
      </c>
      <c r="B442" s="4" t="s">
        <v>1626</v>
      </c>
      <c r="C442" s="4" t="s">
        <v>2788</v>
      </c>
      <c r="D442" s="4" t="s">
        <v>2789</v>
      </c>
      <c r="E442" s="4">
        <v>730107.0</v>
      </c>
      <c r="F442" s="6">
        <v>1.0</v>
      </c>
      <c r="G442" s="4" t="s">
        <v>1021</v>
      </c>
      <c r="H442" s="4" t="s">
        <v>1021</v>
      </c>
      <c r="I442" s="4" t="s">
        <v>1021</v>
      </c>
      <c r="J442" s="4" t="str">
        <f t="shared" si="1"/>
        <v>조재희5066</v>
      </c>
      <c r="K442" s="3" t="str">
        <f t="shared" si="2"/>
        <v>중복</v>
      </c>
      <c r="L442" s="4">
        <v>35000.0</v>
      </c>
      <c r="M442" s="4">
        <v>105000.0</v>
      </c>
      <c r="N442" s="4">
        <v>70000.0</v>
      </c>
    </row>
    <row r="443">
      <c r="A443" s="6">
        <v>292.0</v>
      </c>
      <c r="B443" s="4" t="s">
        <v>1636</v>
      </c>
      <c r="C443" s="4" t="s">
        <v>2790</v>
      </c>
      <c r="D443" s="4" t="s">
        <v>2791</v>
      </c>
      <c r="E443" s="4">
        <v>570203.0</v>
      </c>
      <c r="F443" s="5">
        <v>1.0</v>
      </c>
      <c r="G443" s="4"/>
      <c r="H443" s="4"/>
      <c r="I443" s="4"/>
      <c r="J443" s="4" t="str">
        <f t="shared" si="1"/>
        <v>정해숙6169</v>
      </c>
      <c r="K443" s="3" t="str">
        <f t="shared" si="2"/>
        <v>중복</v>
      </c>
      <c r="L443" s="4">
        <v>35000.0</v>
      </c>
      <c r="M443" s="4">
        <v>70000.0</v>
      </c>
      <c r="N443" s="4">
        <v>35000.0</v>
      </c>
    </row>
    <row r="444">
      <c r="A444" s="5">
        <v>392.0</v>
      </c>
      <c r="B444" s="3" t="s">
        <v>1317</v>
      </c>
      <c r="C444" s="3" t="s">
        <v>2792</v>
      </c>
      <c r="D444" s="3" t="s">
        <v>2793</v>
      </c>
      <c r="E444" s="3">
        <v>740419.0</v>
      </c>
      <c r="F444" s="5">
        <v>1.0</v>
      </c>
      <c r="G444" s="3"/>
      <c r="H444" s="3"/>
      <c r="I444" s="3"/>
      <c r="J444" s="4" t="str">
        <f t="shared" si="1"/>
        <v>박순정6766</v>
      </c>
      <c r="K444" s="3" t="str">
        <f t="shared" si="2"/>
        <v>중복</v>
      </c>
      <c r="L444" s="4">
        <v>35000.0</v>
      </c>
      <c r="M444" s="4">
        <v>70000.0</v>
      </c>
      <c r="N444" s="4">
        <v>35000.0</v>
      </c>
    </row>
    <row r="445">
      <c r="A445" s="6">
        <v>161.0</v>
      </c>
      <c r="B445" s="4" t="s">
        <v>1287</v>
      </c>
      <c r="C445" s="4" t="s">
        <v>2794</v>
      </c>
      <c r="D445" s="4" t="s">
        <v>2795</v>
      </c>
      <c r="E445" s="4">
        <v>611009.0</v>
      </c>
      <c r="F445" s="6">
        <v>1.0</v>
      </c>
      <c r="G445" s="4" t="s">
        <v>1021</v>
      </c>
      <c r="H445" s="4" t="s">
        <v>1021</v>
      </c>
      <c r="I445" s="4" t="s">
        <v>1021</v>
      </c>
      <c r="J445" s="4" t="str">
        <f t="shared" si="1"/>
        <v>강계순5423</v>
      </c>
      <c r="K445" s="3" t="str">
        <f t="shared" si="2"/>
        <v>중복</v>
      </c>
      <c r="L445" s="4">
        <v>35000.0</v>
      </c>
      <c r="M445" s="4">
        <v>70000.0</v>
      </c>
      <c r="N445" s="4">
        <v>35000.0</v>
      </c>
    </row>
    <row r="446">
      <c r="A446" s="5">
        <v>1169.0</v>
      </c>
      <c r="B446" s="3" t="s">
        <v>1501</v>
      </c>
      <c r="C446" s="3" t="s">
        <v>2796</v>
      </c>
      <c r="D446" s="3" t="s">
        <v>2797</v>
      </c>
      <c r="E446" s="3">
        <v>630904.0</v>
      </c>
      <c r="F446" s="5">
        <v>1.0</v>
      </c>
      <c r="G446" s="3" t="s">
        <v>1021</v>
      </c>
      <c r="H446" s="3" t="s">
        <v>1021</v>
      </c>
      <c r="I446" s="3" t="s">
        <v>1021</v>
      </c>
      <c r="J446" s="4" t="str">
        <f t="shared" si="1"/>
        <v>권명순2453</v>
      </c>
      <c r="K446" s="3" t="str">
        <f t="shared" si="2"/>
        <v>중복</v>
      </c>
      <c r="L446" s="4">
        <v>35000.0</v>
      </c>
      <c r="M446" s="4">
        <v>70000.0</v>
      </c>
      <c r="N446" s="4">
        <v>35000.0</v>
      </c>
    </row>
    <row r="447">
      <c r="A447" s="5">
        <v>1083.0</v>
      </c>
      <c r="B447" s="3" t="s">
        <v>1076</v>
      </c>
      <c r="C447" s="3" t="s">
        <v>2798</v>
      </c>
      <c r="D447" s="3" t="s">
        <v>2799</v>
      </c>
      <c r="E447" s="3">
        <v>760811.0</v>
      </c>
      <c r="F447" s="5">
        <v>1.0</v>
      </c>
      <c r="G447" s="3" t="s">
        <v>1021</v>
      </c>
      <c r="H447" s="3" t="s">
        <v>1021</v>
      </c>
      <c r="I447" s="3" t="s">
        <v>1021</v>
      </c>
      <c r="J447" s="4" t="str">
        <f t="shared" si="1"/>
        <v>권민주2689</v>
      </c>
      <c r="K447" s="3" t="str">
        <f t="shared" si="2"/>
        <v>중복</v>
      </c>
      <c r="L447" s="4">
        <v>35000.0</v>
      </c>
      <c r="M447" s="4">
        <v>70000.0</v>
      </c>
      <c r="N447" s="4">
        <v>35000.0</v>
      </c>
    </row>
    <row r="448">
      <c r="A448" s="6">
        <v>1126.0</v>
      </c>
      <c r="B448" s="4" t="s">
        <v>1358</v>
      </c>
      <c r="C448" s="4" t="s">
        <v>2800</v>
      </c>
      <c r="D448" s="4" t="s">
        <v>2801</v>
      </c>
      <c r="E448" s="4">
        <v>781113.0</v>
      </c>
      <c r="F448" s="6">
        <v>1.0</v>
      </c>
      <c r="G448" s="4" t="s">
        <v>1021</v>
      </c>
      <c r="H448" s="4" t="s">
        <v>1021</v>
      </c>
      <c r="I448" s="4" t="s">
        <v>1021</v>
      </c>
      <c r="J448" s="4" t="str">
        <f t="shared" si="1"/>
        <v>권영진9389</v>
      </c>
      <c r="K448" s="3" t="str">
        <f t="shared" si="2"/>
        <v>중복</v>
      </c>
      <c r="L448" s="4">
        <v>35000.0</v>
      </c>
      <c r="M448" s="4">
        <v>70000.0</v>
      </c>
      <c r="N448" s="4">
        <v>35000.0</v>
      </c>
    </row>
    <row r="449">
      <c r="A449" s="6">
        <v>958.0</v>
      </c>
      <c r="B449" s="4" t="s">
        <v>1547</v>
      </c>
      <c r="C449" s="4" t="s">
        <v>2802</v>
      </c>
      <c r="D449" s="4" t="s">
        <v>2803</v>
      </c>
      <c r="E449" s="4">
        <v>651215.0</v>
      </c>
      <c r="F449" s="6">
        <v>1.0</v>
      </c>
      <c r="G449" s="4" t="s">
        <v>1021</v>
      </c>
      <c r="H449" s="4" t="s">
        <v>1021</v>
      </c>
      <c r="I449" s="4" t="s">
        <v>1021</v>
      </c>
      <c r="J449" s="4" t="str">
        <f t="shared" si="1"/>
        <v>금동남4343</v>
      </c>
      <c r="K449" s="3" t="str">
        <f t="shared" si="2"/>
        <v>중복</v>
      </c>
      <c r="L449" s="4">
        <v>35000.0</v>
      </c>
      <c r="M449" s="4">
        <v>70000.0</v>
      </c>
      <c r="N449" s="4">
        <v>35000.0</v>
      </c>
    </row>
    <row r="450">
      <c r="A450" s="6">
        <v>1018.0</v>
      </c>
      <c r="B450" s="4" t="s">
        <v>1062</v>
      </c>
      <c r="C450" s="4" t="s">
        <v>2630</v>
      </c>
      <c r="D450" s="4" t="s">
        <v>2804</v>
      </c>
      <c r="E450" s="4">
        <v>611026.0</v>
      </c>
      <c r="F450" s="6">
        <v>1.0</v>
      </c>
      <c r="G450" s="4" t="s">
        <v>1021</v>
      </c>
      <c r="H450" s="4" t="s">
        <v>1021</v>
      </c>
      <c r="I450" s="4" t="s">
        <v>1021</v>
      </c>
      <c r="J450" s="4" t="str">
        <f t="shared" si="1"/>
        <v>김경희1026</v>
      </c>
      <c r="K450" s="3" t="str">
        <f t="shared" si="2"/>
        <v>중복</v>
      </c>
      <c r="L450" s="4">
        <v>35000.0</v>
      </c>
      <c r="M450" s="4">
        <v>70000.0</v>
      </c>
      <c r="N450" s="4">
        <v>35000.0</v>
      </c>
    </row>
    <row r="451">
      <c r="A451" s="6">
        <v>305.0</v>
      </c>
      <c r="B451" s="4" t="s">
        <v>1950</v>
      </c>
      <c r="C451" s="4" t="s">
        <v>2805</v>
      </c>
      <c r="D451" s="4" t="s">
        <v>2806</v>
      </c>
      <c r="E451" s="4">
        <v>550315.0</v>
      </c>
      <c r="F451" s="6">
        <v>1.0</v>
      </c>
      <c r="G451" s="4" t="s">
        <v>1021</v>
      </c>
      <c r="H451" s="4" t="s">
        <v>1021</v>
      </c>
      <c r="I451" s="4" t="s">
        <v>1021</v>
      </c>
      <c r="J451" s="4" t="str">
        <f t="shared" si="1"/>
        <v>김두리9190</v>
      </c>
      <c r="K451" s="3" t="str">
        <f t="shared" si="2"/>
        <v>중복</v>
      </c>
      <c r="L451" s="4">
        <v>35000.0</v>
      </c>
      <c r="M451" s="4">
        <v>70000.0</v>
      </c>
      <c r="N451" s="4">
        <v>35000.0</v>
      </c>
    </row>
    <row r="452">
      <c r="A452" s="6">
        <v>163.0</v>
      </c>
      <c r="B452" s="4" t="s">
        <v>1287</v>
      </c>
      <c r="C452" s="4" t="s">
        <v>2807</v>
      </c>
      <c r="D452" s="4" t="s">
        <v>2808</v>
      </c>
      <c r="E452" s="4">
        <v>560508.0</v>
      </c>
      <c r="F452" s="6">
        <v>1.0</v>
      </c>
      <c r="G452" s="4" t="s">
        <v>1021</v>
      </c>
      <c r="H452" s="4" t="s">
        <v>1021</v>
      </c>
      <c r="I452" s="4" t="s">
        <v>1021</v>
      </c>
      <c r="J452" s="4" t="str">
        <f t="shared" si="1"/>
        <v>김명자8644</v>
      </c>
      <c r="K452" s="3" t="str">
        <f t="shared" si="2"/>
        <v>중복</v>
      </c>
      <c r="L452" s="4">
        <v>35000.0</v>
      </c>
      <c r="M452" s="4">
        <v>70000.0</v>
      </c>
      <c r="N452" s="4">
        <v>35000.0</v>
      </c>
    </row>
    <row r="453">
      <c r="A453" s="6">
        <v>811.0</v>
      </c>
      <c r="B453" s="4" t="s">
        <v>1232</v>
      </c>
      <c r="C453" s="4" t="s">
        <v>2809</v>
      </c>
      <c r="D453" s="4" t="s">
        <v>2810</v>
      </c>
      <c r="E453" s="4">
        <v>760912.0</v>
      </c>
      <c r="F453" s="6">
        <v>1.0</v>
      </c>
      <c r="G453" s="4" t="s">
        <v>1021</v>
      </c>
      <c r="H453" s="4" t="s">
        <v>1021</v>
      </c>
      <c r="I453" s="4" t="s">
        <v>1021</v>
      </c>
      <c r="J453" s="4" t="str">
        <f t="shared" si="1"/>
        <v>김문례3287</v>
      </c>
      <c r="K453" s="3" t="str">
        <f t="shared" si="2"/>
        <v>중복</v>
      </c>
      <c r="L453" s="4">
        <v>35000.0</v>
      </c>
      <c r="M453" s="4">
        <v>70000.0</v>
      </c>
      <c r="N453" s="4">
        <v>35000.0</v>
      </c>
    </row>
    <row r="454">
      <c r="A454" s="6">
        <v>803.0</v>
      </c>
      <c r="B454" s="4" t="s">
        <v>1232</v>
      </c>
      <c r="C454" s="4" t="s">
        <v>2811</v>
      </c>
      <c r="D454" s="4" t="s">
        <v>2812</v>
      </c>
      <c r="E454" s="4">
        <v>710210.0</v>
      </c>
      <c r="F454" s="6">
        <v>1.0</v>
      </c>
      <c r="G454" s="4" t="s">
        <v>1021</v>
      </c>
      <c r="H454" s="4" t="s">
        <v>1021</v>
      </c>
      <c r="I454" s="4" t="s">
        <v>1021</v>
      </c>
      <c r="J454" s="4" t="str">
        <f t="shared" si="1"/>
        <v>김미교2676</v>
      </c>
      <c r="K454" s="3" t="str">
        <f t="shared" si="2"/>
        <v>중복</v>
      </c>
      <c r="L454" s="4">
        <v>35000.0</v>
      </c>
      <c r="M454" s="4">
        <v>70000.0</v>
      </c>
      <c r="N454" s="4">
        <v>35000.0</v>
      </c>
    </row>
    <row r="455">
      <c r="A455" s="6">
        <v>288.0</v>
      </c>
      <c r="B455" s="4" t="s">
        <v>1636</v>
      </c>
      <c r="C455" s="4" t="s">
        <v>2813</v>
      </c>
      <c r="D455" s="4" t="s">
        <v>2814</v>
      </c>
      <c r="E455" s="4">
        <v>700128.0</v>
      </c>
      <c r="F455" s="6">
        <v>1.0</v>
      </c>
      <c r="G455" s="4" t="s">
        <v>1021</v>
      </c>
      <c r="H455" s="4" t="s">
        <v>1021</v>
      </c>
      <c r="I455" s="4" t="s">
        <v>1021</v>
      </c>
      <c r="J455" s="4" t="str">
        <f t="shared" si="1"/>
        <v>김미숙9582</v>
      </c>
      <c r="K455" s="3" t="str">
        <f t="shared" si="2"/>
        <v>중복</v>
      </c>
      <c r="L455" s="4">
        <v>35000.0</v>
      </c>
      <c r="M455" s="4">
        <v>70000.0</v>
      </c>
      <c r="N455" s="4">
        <v>35000.0</v>
      </c>
    </row>
    <row r="456">
      <c r="A456" s="6">
        <v>515.0</v>
      </c>
      <c r="B456" s="4" t="s">
        <v>1349</v>
      </c>
      <c r="C456" s="4" t="s">
        <v>2815</v>
      </c>
      <c r="D456" s="4" t="s">
        <v>2816</v>
      </c>
      <c r="E456" s="4">
        <v>790819.0</v>
      </c>
      <c r="F456" s="6">
        <v>1.0</v>
      </c>
      <c r="G456" s="4" t="s">
        <v>1021</v>
      </c>
      <c r="H456" s="4" t="s">
        <v>1021</v>
      </c>
      <c r="I456" s="4" t="s">
        <v>1021</v>
      </c>
      <c r="J456" s="4" t="str">
        <f t="shared" si="1"/>
        <v>김미주8262</v>
      </c>
      <c r="K456" s="3" t="str">
        <f t="shared" si="2"/>
        <v>중복</v>
      </c>
      <c r="L456" s="4">
        <v>35000.0</v>
      </c>
      <c r="M456" s="4">
        <v>70000.0</v>
      </c>
      <c r="N456" s="4">
        <v>35000.0</v>
      </c>
    </row>
    <row r="457">
      <c r="A457" s="6">
        <v>710.0</v>
      </c>
      <c r="B457" s="4" t="s">
        <v>2078</v>
      </c>
      <c r="C457" s="4" t="s">
        <v>2817</v>
      </c>
      <c r="D457" s="4" t="s">
        <v>2818</v>
      </c>
      <c r="E457" s="4">
        <v>700106.0</v>
      </c>
      <c r="F457" s="6">
        <v>1.0</v>
      </c>
      <c r="G457" s="4" t="s">
        <v>1021</v>
      </c>
      <c r="H457" s="4" t="s">
        <v>1021</v>
      </c>
      <c r="I457" s="4" t="s">
        <v>1021</v>
      </c>
      <c r="J457" s="4" t="str">
        <f t="shared" si="1"/>
        <v>김선미1544</v>
      </c>
      <c r="K457" s="3" t="str">
        <f t="shared" si="2"/>
        <v>중복</v>
      </c>
      <c r="L457" s="4">
        <v>35000.0</v>
      </c>
      <c r="M457" s="4">
        <v>70000.0</v>
      </c>
      <c r="N457" s="4">
        <v>35000.0</v>
      </c>
    </row>
    <row r="458">
      <c r="A458" s="6">
        <v>1157.0</v>
      </c>
      <c r="B458" s="4" t="s">
        <v>1165</v>
      </c>
      <c r="C458" s="4" t="s">
        <v>2819</v>
      </c>
      <c r="D458" s="4" t="s">
        <v>2820</v>
      </c>
      <c r="E458" s="4">
        <v>640616.0</v>
      </c>
      <c r="F458" s="6">
        <v>1.0</v>
      </c>
      <c r="G458" s="4" t="s">
        <v>1021</v>
      </c>
      <c r="H458" s="4" t="s">
        <v>1021</v>
      </c>
      <c r="I458" s="4" t="s">
        <v>1021</v>
      </c>
      <c r="J458" s="4" t="str">
        <f t="shared" si="1"/>
        <v>김순의8015</v>
      </c>
      <c r="K458" s="3" t="str">
        <f t="shared" si="2"/>
        <v>중복</v>
      </c>
      <c r="L458" s="4">
        <v>35000.0</v>
      </c>
      <c r="M458" s="4">
        <v>70000.0</v>
      </c>
      <c r="N458" s="4">
        <v>35000.0</v>
      </c>
    </row>
    <row r="459">
      <c r="A459" s="6">
        <v>609.0</v>
      </c>
      <c r="B459" s="4" t="s">
        <v>1219</v>
      </c>
      <c r="C459" s="4" t="s">
        <v>1406</v>
      </c>
      <c r="D459" s="4" t="s">
        <v>2821</v>
      </c>
      <c r="E459" s="4">
        <v>530622.0</v>
      </c>
      <c r="F459" s="6">
        <v>1.0</v>
      </c>
      <c r="G459" s="4" t="s">
        <v>1021</v>
      </c>
      <c r="H459" s="4" t="s">
        <v>1021</v>
      </c>
      <c r="I459" s="4" t="s">
        <v>1021</v>
      </c>
      <c r="J459" s="4" t="str">
        <f t="shared" si="1"/>
        <v>김영희3429</v>
      </c>
      <c r="K459" s="3" t="str">
        <f t="shared" si="2"/>
        <v>중복</v>
      </c>
      <c r="L459" s="4">
        <v>35000.0</v>
      </c>
      <c r="M459" s="4">
        <v>70000.0</v>
      </c>
      <c r="N459" s="4">
        <v>35000.0</v>
      </c>
    </row>
    <row r="460">
      <c r="A460" s="6">
        <v>747.0</v>
      </c>
      <c r="B460" s="4" t="s">
        <v>1704</v>
      </c>
      <c r="C460" s="4" t="s">
        <v>2822</v>
      </c>
      <c r="D460" s="4" t="s">
        <v>2823</v>
      </c>
      <c r="E460" s="4">
        <v>710921.0</v>
      </c>
      <c r="F460" s="6">
        <v>1.0</v>
      </c>
      <c r="G460" s="4" t="s">
        <v>1021</v>
      </c>
      <c r="H460" s="4" t="s">
        <v>1021</v>
      </c>
      <c r="I460" s="4" t="s">
        <v>1021</v>
      </c>
      <c r="J460" s="4" t="str">
        <f t="shared" si="1"/>
        <v>김유정7290</v>
      </c>
      <c r="K460" s="3" t="str">
        <f t="shared" si="2"/>
        <v>중복</v>
      </c>
      <c r="L460" s="4">
        <v>35000.0</v>
      </c>
      <c r="M460" s="4">
        <v>70000.0</v>
      </c>
      <c r="N460" s="4">
        <v>35000.0</v>
      </c>
    </row>
    <row r="461">
      <c r="A461" s="6">
        <v>832.0</v>
      </c>
      <c r="B461" s="4" t="s">
        <v>1367</v>
      </c>
      <c r="C461" s="4" t="s">
        <v>2824</v>
      </c>
      <c r="D461" s="4" t="s">
        <v>2825</v>
      </c>
      <c r="E461" s="4">
        <v>690202.0</v>
      </c>
      <c r="F461" s="6">
        <v>1.0</v>
      </c>
      <c r="G461" s="4" t="s">
        <v>1021</v>
      </c>
      <c r="H461" s="4" t="s">
        <v>1021</v>
      </c>
      <c r="I461" s="4" t="s">
        <v>1021</v>
      </c>
      <c r="J461" s="4" t="str">
        <f t="shared" si="1"/>
        <v>김윤아0369</v>
      </c>
      <c r="K461" s="3" t="str">
        <f t="shared" si="2"/>
        <v>중복</v>
      </c>
      <c r="L461" s="4">
        <v>35000.0</v>
      </c>
      <c r="M461" s="4">
        <v>70000.0</v>
      </c>
      <c r="N461" s="4">
        <v>35000.0</v>
      </c>
    </row>
    <row r="462">
      <c r="A462" s="6">
        <v>1050.0</v>
      </c>
      <c r="B462" s="4" t="s">
        <v>1047</v>
      </c>
      <c r="C462" s="4" t="s">
        <v>2826</v>
      </c>
      <c r="D462" s="4" t="s">
        <v>2827</v>
      </c>
      <c r="E462" s="4">
        <v>700914.0</v>
      </c>
      <c r="F462" s="6">
        <v>1.0</v>
      </c>
      <c r="G462" s="4" t="s">
        <v>1021</v>
      </c>
      <c r="H462" s="4" t="s">
        <v>1021</v>
      </c>
      <c r="I462" s="4" t="s">
        <v>1021</v>
      </c>
      <c r="J462" s="4" t="str">
        <f t="shared" si="1"/>
        <v>김윤정7615</v>
      </c>
      <c r="K462" s="3" t="str">
        <f t="shared" si="2"/>
        <v>중복</v>
      </c>
      <c r="L462" s="4">
        <v>35000.0</v>
      </c>
      <c r="M462" s="4">
        <v>70000.0</v>
      </c>
      <c r="N462" s="4">
        <v>35000.0</v>
      </c>
    </row>
    <row r="463">
      <c r="A463" s="6">
        <v>979.0</v>
      </c>
      <c r="B463" s="4" t="s">
        <v>1488</v>
      </c>
      <c r="C463" s="4" t="s">
        <v>2828</v>
      </c>
      <c r="D463" s="4" t="s">
        <v>2829</v>
      </c>
      <c r="E463" s="4">
        <v>580222.0</v>
      </c>
      <c r="F463" s="6">
        <v>1.0</v>
      </c>
      <c r="G463" s="4" t="s">
        <v>1021</v>
      </c>
      <c r="H463" s="4" t="s">
        <v>1021</v>
      </c>
      <c r="I463" s="4" t="s">
        <v>1021</v>
      </c>
      <c r="J463" s="4" t="str">
        <f t="shared" si="1"/>
        <v>김은혜5867</v>
      </c>
      <c r="K463" s="3" t="str">
        <f t="shared" si="2"/>
        <v>중복</v>
      </c>
      <c r="L463" s="4">
        <v>35000.0</v>
      </c>
      <c r="M463" s="4">
        <v>70000.0</v>
      </c>
      <c r="N463" s="4">
        <v>35000.0</v>
      </c>
    </row>
    <row r="464">
      <c r="A464" s="6">
        <v>1006.0</v>
      </c>
      <c r="B464" s="4" t="s">
        <v>1022</v>
      </c>
      <c r="C464" s="4" t="s">
        <v>2830</v>
      </c>
      <c r="D464" s="4" t="s">
        <v>2831</v>
      </c>
      <c r="E464" s="4">
        <v>750315.0</v>
      </c>
      <c r="F464" s="6">
        <v>1.0</v>
      </c>
      <c r="G464" s="4" t="s">
        <v>1021</v>
      </c>
      <c r="H464" s="4" t="s">
        <v>1021</v>
      </c>
      <c r="I464" s="4" t="s">
        <v>1021</v>
      </c>
      <c r="J464" s="4" t="str">
        <f t="shared" si="1"/>
        <v>김지은1842</v>
      </c>
      <c r="K464" s="3" t="str">
        <f t="shared" si="2"/>
        <v>중복</v>
      </c>
      <c r="L464" s="4">
        <v>35000.0</v>
      </c>
      <c r="M464" s="4">
        <v>70000.0</v>
      </c>
      <c r="N464" s="4">
        <v>35000.0</v>
      </c>
    </row>
    <row r="465">
      <c r="A465" s="6">
        <v>370.0</v>
      </c>
      <c r="B465" s="4" t="s">
        <v>1086</v>
      </c>
      <c r="C465" s="4" t="s">
        <v>2832</v>
      </c>
      <c r="D465" s="4" t="s">
        <v>2833</v>
      </c>
      <c r="E465" s="4">
        <v>560614.0</v>
      </c>
      <c r="F465" s="6">
        <v>1.0</v>
      </c>
      <c r="G465" s="4" t="s">
        <v>1021</v>
      </c>
      <c r="H465" s="4" t="s">
        <v>1021</v>
      </c>
      <c r="I465" s="4" t="s">
        <v>1021</v>
      </c>
      <c r="J465" s="4" t="str">
        <f t="shared" si="1"/>
        <v>김춘희3166</v>
      </c>
      <c r="K465" s="3" t="str">
        <f t="shared" si="2"/>
        <v>중복</v>
      </c>
      <c r="L465" s="4">
        <v>35000.0</v>
      </c>
      <c r="M465" s="4">
        <v>70000.0</v>
      </c>
      <c r="N465" s="4">
        <v>35000.0</v>
      </c>
    </row>
    <row r="466">
      <c r="A466" s="6">
        <v>196.0</v>
      </c>
      <c r="B466" s="4" t="s">
        <v>1282</v>
      </c>
      <c r="C466" s="4" t="s">
        <v>2834</v>
      </c>
      <c r="D466" s="4" t="s">
        <v>2835</v>
      </c>
      <c r="E466" s="4">
        <v>890227.0</v>
      </c>
      <c r="F466" s="6">
        <v>1.0</v>
      </c>
      <c r="G466" s="4" t="s">
        <v>1021</v>
      </c>
      <c r="H466" s="4" t="s">
        <v>1021</v>
      </c>
      <c r="I466" s="4" t="s">
        <v>1021</v>
      </c>
      <c r="J466" s="4" t="str">
        <f t="shared" si="1"/>
        <v>김현기7200</v>
      </c>
      <c r="K466" s="3" t="str">
        <f t="shared" si="2"/>
        <v>중복</v>
      </c>
      <c r="L466" s="4">
        <v>35000.0</v>
      </c>
      <c r="M466" s="4">
        <v>70000.0</v>
      </c>
      <c r="N466" s="4">
        <v>35000.0</v>
      </c>
    </row>
    <row r="467">
      <c r="A467" s="5">
        <v>485.0</v>
      </c>
      <c r="B467" s="3" t="s">
        <v>1027</v>
      </c>
      <c r="C467" s="3" t="s">
        <v>2378</v>
      </c>
      <c r="D467" s="3" t="s">
        <v>2836</v>
      </c>
      <c r="E467" s="3">
        <v>731225.0</v>
      </c>
      <c r="F467" s="5">
        <v>1.0</v>
      </c>
      <c r="G467" s="3" t="s">
        <v>1021</v>
      </c>
      <c r="H467" s="3" t="s">
        <v>1021</v>
      </c>
      <c r="I467" s="3" t="s">
        <v>1021</v>
      </c>
      <c r="J467" s="4" t="str">
        <f t="shared" si="1"/>
        <v>김혜란2033</v>
      </c>
      <c r="K467" s="3" t="str">
        <f t="shared" si="2"/>
        <v>중복</v>
      </c>
      <c r="L467" s="4">
        <v>35000.0</v>
      </c>
      <c r="M467" s="4">
        <v>70000.0</v>
      </c>
      <c r="N467" s="4">
        <v>35000.0</v>
      </c>
    </row>
    <row r="468">
      <c r="A468" s="6">
        <v>326.0</v>
      </c>
      <c r="B468" s="4" t="s">
        <v>1322</v>
      </c>
      <c r="C468" s="4" t="s">
        <v>2837</v>
      </c>
      <c r="D468" s="4" t="s">
        <v>2838</v>
      </c>
      <c r="E468" s="4">
        <v>600523.0</v>
      </c>
      <c r="F468" s="6">
        <v>1.0</v>
      </c>
      <c r="G468" s="4" t="s">
        <v>1021</v>
      </c>
      <c r="H468" s="4" t="s">
        <v>1021</v>
      </c>
      <c r="I468" s="4" t="s">
        <v>1021</v>
      </c>
      <c r="J468" s="4" t="str">
        <f t="shared" si="1"/>
        <v>김혜성0988</v>
      </c>
      <c r="K468" s="3" t="str">
        <f t="shared" si="2"/>
        <v>중복</v>
      </c>
      <c r="L468" s="4">
        <v>35000.0</v>
      </c>
      <c r="M468" s="4">
        <v>70000.0</v>
      </c>
      <c r="N468" s="4">
        <v>35000.0</v>
      </c>
    </row>
    <row r="469">
      <c r="A469" s="6">
        <v>182.0</v>
      </c>
      <c r="B469" s="4" t="s">
        <v>2607</v>
      </c>
      <c r="C469" s="4" t="s">
        <v>1804</v>
      </c>
      <c r="D469" s="4" t="s">
        <v>2839</v>
      </c>
      <c r="E469" s="4">
        <v>541021.0</v>
      </c>
      <c r="F469" s="6">
        <v>1.0</v>
      </c>
      <c r="G469" s="4" t="s">
        <v>1021</v>
      </c>
      <c r="H469" s="4" t="s">
        <v>1021</v>
      </c>
      <c r="I469" s="4" t="s">
        <v>1021</v>
      </c>
      <c r="J469" s="4" t="str">
        <f t="shared" si="1"/>
        <v>김혜영5442</v>
      </c>
      <c r="K469" s="3" t="str">
        <f t="shared" si="2"/>
        <v>중복</v>
      </c>
      <c r="L469" s="4">
        <v>35000.0</v>
      </c>
      <c r="M469" s="4">
        <v>70000.0</v>
      </c>
      <c r="N469" s="4">
        <v>35000.0</v>
      </c>
    </row>
    <row r="470">
      <c r="A470" s="5">
        <v>667.0</v>
      </c>
      <c r="B470" s="3" t="s">
        <v>1100</v>
      </c>
      <c r="C470" s="3" t="s">
        <v>2366</v>
      </c>
      <c r="D470" s="3" t="s">
        <v>2840</v>
      </c>
      <c r="E470" s="3">
        <v>650522.0</v>
      </c>
      <c r="F470" s="5">
        <v>1.0</v>
      </c>
      <c r="G470" s="3" t="s">
        <v>1021</v>
      </c>
      <c r="H470" s="3" t="s">
        <v>1021</v>
      </c>
      <c r="I470" s="3" t="s">
        <v>1021</v>
      </c>
      <c r="J470" s="4" t="str">
        <f t="shared" si="1"/>
        <v>김희경5597</v>
      </c>
      <c r="K470" s="3" t="str">
        <f t="shared" si="2"/>
        <v>중복</v>
      </c>
      <c r="L470" s="4">
        <v>35000.0</v>
      </c>
      <c r="M470" s="4">
        <v>70000.0</v>
      </c>
      <c r="N470" s="4">
        <v>35000.0</v>
      </c>
    </row>
    <row r="471">
      <c r="A471" s="6">
        <v>728.0</v>
      </c>
      <c r="B471" s="4" t="s">
        <v>1335</v>
      </c>
      <c r="C471" s="4" t="s">
        <v>2355</v>
      </c>
      <c r="D471" s="4" t="s">
        <v>2841</v>
      </c>
      <c r="E471" s="4">
        <v>630110.0</v>
      </c>
      <c r="F471" s="6">
        <v>1.0</v>
      </c>
      <c r="G471" s="4" t="s">
        <v>1021</v>
      </c>
      <c r="H471" s="4" t="s">
        <v>1021</v>
      </c>
      <c r="I471" s="4" t="s">
        <v>1021</v>
      </c>
      <c r="J471" s="4" t="str">
        <f t="shared" si="1"/>
        <v>김희정3084</v>
      </c>
      <c r="K471" s="3" t="str">
        <f t="shared" si="2"/>
        <v>중복</v>
      </c>
      <c r="L471" s="4">
        <v>35000.0</v>
      </c>
      <c r="M471" s="4">
        <v>70000.0</v>
      </c>
      <c r="N471" s="4">
        <v>35000.0</v>
      </c>
    </row>
    <row r="472">
      <c r="A472" s="6">
        <v>674.0</v>
      </c>
      <c r="B472" s="4" t="s">
        <v>1214</v>
      </c>
      <c r="C472" s="4" t="s">
        <v>2842</v>
      </c>
      <c r="D472" s="4" t="s">
        <v>2843</v>
      </c>
      <c r="E472" s="4">
        <v>651016.0</v>
      </c>
      <c r="F472" s="6">
        <v>1.0</v>
      </c>
      <c r="G472" s="4" t="s">
        <v>1021</v>
      </c>
      <c r="H472" s="4" t="s">
        <v>1021</v>
      </c>
      <c r="I472" s="4" t="s">
        <v>1021</v>
      </c>
      <c r="J472" s="4" t="str">
        <f t="shared" si="1"/>
        <v>남미정0375</v>
      </c>
      <c r="K472" s="3" t="str">
        <f t="shared" si="2"/>
        <v>중복</v>
      </c>
      <c r="L472" s="4">
        <v>35000.0</v>
      </c>
      <c r="M472" s="4">
        <v>70000.0</v>
      </c>
      <c r="N472" s="4">
        <v>35000.0</v>
      </c>
    </row>
    <row r="473">
      <c r="A473" s="6">
        <v>962.0</v>
      </c>
      <c r="B473" s="4" t="s">
        <v>1547</v>
      </c>
      <c r="C473" s="4" t="s">
        <v>2333</v>
      </c>
      <c r="D473" s="4" t="s">
        <v>2844</v>
      </c>
      <c r="E473" s="4">
        <v>740411.0</v>
      </c>
      <c r="F473" s="6">
        <v>1.0</v>
      </c>
      <c r="G473" s="4" t="s">
        <v>1021</v>
      </c>
      <c r="H473" s="4" t="s">
        <v>1021</v>
      </c>
      <c r="I473" s="4" t="s">
        <v>1021</v>
      </c>
      <c r="J473" s="4" t="str">
        <f t="shared" si="1"/>
        <v>노애경5674</v>
      </c>
      <c r="K473" s="3" t="str">
        <f t="shared" si="2"/>
        <v>중복</v>
      </c>
      <c r="L473" s="4">
        <v>35000.0</v>
      </c>
      <c r="M473" s="4">
        <v>70000.0</v>
      </c>
      <c r="N473" s="4">
        <v>35000.0</v>
      </c>
    </row>
    <row r="474">
      <c r="A474" s="6">
        <v>868.0</v>
      </c>
      <c r="B474" s="4" t="s">
        <v>1621</v>
      </c>
      <c r="C474" s="4" t="s">
        <v>2845</v>
      </c>
      <c r="D474" s="4" t="s">
        <v>2846</v>
      </c>
      <c r="E474" s="4">
        <v>590405.0</v>
      </c>
      <c r="F474" s="6">
        <v>1.0</v>
      </c>
      <c r="G474" s="4" t="s">
        <v>1021</v>
      </c>
      <c r="H474" s="4" t="s">
        <v>1021</v>
      </c>
      <c r="I474" s="4" t="s">
        <v>1021</v>
      </c>
      <c r="J474" s="4" t="str">
        <f t="shared" si="1"/>
        <v>노춘화3729</v>
      </c>
      <c r="K474" s="3" t="str">
        <f t="shared" si="2"/>
        <v>중복</v>
      </c>
      <c r="L474" s="4">
        <v>35000.0</v>
      </c>
      <c r="M474" s="4">
        <v>70000.0</v>
      </c>
      <c r="N474" s="4">
        <v>35000.0</v>
      </c>
    </row>
    <row r="475">
      <c r="A475" s="6">
        <v>188.0</v>
      </c>
      <c r="B475" s="4" t="s">
        <v>1282</v>
      </c>
      <c r="C475" s="4" t="s">
        <v>2847</v>
      </c>
      <c r="D475" s="4" t="s">
        <v>2848</v>
      </c>
      <c r="E475" s="4">
        <v>690105.0</v>
      </c>
      <c r="F475" s="6">
        <v>1.0</v>
      </c>
      <c r="G475" s="4" t="s">
        <v>1021</v>
      </c>
      <c r="H475" s="4" t="s">
        <v>1021</v>
      </c>
      <c r="I475" s="4" t="s">
        <v>1021</v>
      </c>
      <c r="J475" s="4" t="str">
        <f t="shared" si="1"/>
        <v>박선영3233</v>
      </c>
      <c r="K475" s="3" t="str">
        <f t="shared" si="2"/>
        <v>중복</v>
      </c>
      <c r="L475" s="4">
        <v>35000.0</v>
      </c>
      <c r="M475" s="4">
        <v>70000.0</v>
      </c>
      <c r="N475" s="4">
        <v>35000.0</v>
      </c>
    </row>
    <row r="476">
      <c r="A476" s="5">
        <v>339.0</v>
      </c>
      <c r="B476" s="3" t="s">
        <v>1052</v>
      </c>
      <c r="C476" s="3" t="s">
        <v>2849</v>
      </c>
      <c r="D476" s="3" t="s">
        <v>2850</v>
      </c>
      <c r="E476" s="3">
        <v>631023.0</v>
      </c>
      <c r="F476" s="5">
        <v>1.0</v>
      </c>
      <c r="G476" s="3" t="s">
        <v>1021</v>
      </c>
      <c r="H476" s="3" t="s">
        <v>1021</v>
      </c>
      <c r="I476" s="3" t="s">
        <v>1021</v>
      </c>
      <c r="J476" s="4" t="str">
        <f t="shared" si="1"/>
        <v>배은숙3965</v>
      </c>
      <c r="K476" s="3" t="str">
        <f t="shared" si="2"/>
        <v>중복</v>
      </c>
      <c r="L476" s="4">
        <v>35000.0</v>
      </c>
      <c r="M476" s="4">
        <v>70000.0</v>
      </c>
      <c r="N476" s="4">
        <v>35000.0</v>
      </c>
    </row>
    <row r="477">
      <c r="A477" s="6">
        <v>658.0</v>
      </c>
      <c r="B477" s="4" t="s">
        <v>1100</v>
      </c>
      <c r="C477" s="4" t="s">
        <v>2101</v>
      </c>
      <c r="D477" s="4" t="s">
        <v>2851</v>
      </c>
      <c r="E477" s="4">
        <v>640228.0</v>
      </c>
      <c r="F477" s="6">
        <v>1.0</v>
      </c>
      <c r="G477" s="4" t="s">
        <v>1021</v>
      </c>
      <c r="H477" s="4" t="s">
        <v>1021</v>
      </c>
      <c r="I477" s="4" t="s">
        <v>1021</v>
      </c>
      <c r="J477" s="4" t="str">
        <f t="shared" si="1"/>
        <v>백종숙5760</v>
      </c>
      <c r="K477" s="3" t="str">
        <f t="shared" si="2"/>
        <v>중복</v>
      </c>
      <c r="L477" s="4">
        <v>35000.0</v>
      </c>
      <c r="M477" s="4">
        <v>70000.0</v>
      </c>
      <c r="N477" s="4">
        <v>35000.0</v>
      </c>
    </row>
    <row r="478">
      <c r="A478" s="5">
        <v>1062.0</v>
      </c>
      <c r="B478" s="3" t="s">
        <v>1047</v>
      </c>
      <c r="C478" s="3" t="s">
        <v>2852</v>
      </c>
      <c r="D478" s="3" t="s">
        <v>2853</v>
      </c>
      <c r="E478" s="3">
        <v>621210.0</v>
      </c>
      <c r="F478" s="5">
        <v>1.0</v>
      </c>
      <c r="G478" s="3" t="s">
        <v>1021</v>
      </c>
      <c r="H478" s="3" t="s">
        <v>1021</v>
      </c>
      <c r="I478" s="3" t="s">
        <v>1021</v>
      </c>
      <c r="J478" s="4" t="str">
        <f t="shared" si="1"/>
        <v>서동미6212</v>
      </c>
      <c r="K478" s="3" t="str">
        <f t="shared" si="2"/>
        <v>중복</v>
      </c>
      <c r="L478" s="4">
        <v>35000.0</v>
      </c>
      <c r="M478" s="4">
        <v>70000.0</v>
      </c>
      <c r="N478" s="4">
        <v>35000.0</v>
      </c>
    </row>
    <row r="479">
      <c r="A479" s="6">
        <v>274.0</v>
      </c>
      <c r="B479" s="4" t="s">
        <v>1081</v>
      </c>
      <c r="C479" s="4" t="s">
        <v>2854</v>
      </c>
      <c r="D479" s="4" t="s">
        <v>2855</v>
      </c>
      <c r="E479" s="4">
        <v>700305.0</v>
      </c>
      <c r="F479" s="6">
        <v>1.0</v>
      </c>
      <c r="G479" s="4" t="s">
        <v>1021</v>
      </c>
      <c r="H479" s="4" t="s">
        <v>1021</v>
      </c>
      <c r="I479" s="4" t="s">
        <v>1021</v>
      </c>
      <c r="J479" s="4" t="str">
        <f t="shared" si="1"/>
        <v>서순정0603</v>
      </c>
      <c r="K479" s="3" t="str">
        <f t="shared" si="2"/>
        <v>중복</v>
      </c>
      <c r="L479" s="4">
        <v>35000.0</v>
      </c>
      <c r="M479" s="4">
        <v>70000.0</v>
      </c>
      <c r="N479" s="4">
        <v>35000.0</v>
      </c>
    </row>
    <row r="480">
      <c r="A480" s="6">
        <v>498.0</v>
      </c>
      <c r="B480" s="4" t="s">
        <v>1095</v>
      </c>
      <c r="C480" s="4" t="s">
        <v>2856</v>
      </c>
      <c r="D480" s="4" t="s">
        <v>2857</v>
      </c>
      <c r="E480" s="4">
        <v>690608.0</v>
      </c>
      <c r="F480" s="6">
        <v>1.0</v>
      </c>
      <c r="G480" s="4" t="s">
        <v>1021</v>
      </c>
      <c r="H480" s="4" t="s">
        <v>1021</v>
      </c>
      <c r="I480" s="4" t="s">
        <v>1021</v>
      </c>
      <c r="J480" s="4" t="str">
        <f t="shared" si="1"/>
        <v>서희완5213</v>
      </c>
      <c r="K480" s="3" t="str">
        <f t="shared" si="2"/>
        <v>중복</v>
      </c>
      <c r="L480" s="4">
        <v>35000.0</v>
      </c>
      <c r="M480" s="4">
        <v>70000.0</v>
      </c>
      <c r="N480" s="4">
        <v>35000.0</v>
      </c>
    </row>
    <row r="481">
      <c r="A481" s="6">
        <v>1116.0</v>
      </c>
      <c r="B481" s="4" t="s">
        <v>1358</v>
      </c>
      <c r="C481" s="4" t="s">
        <v>2858</v>
      </c>
      <c r="D481" s="4" t="s">
        <v>2859</v>
      </c>
      <c r="E481" s="4">
        <v>640830.0</v>
      </c>
      <c r="F481" s="6">
        <v>1.0</v>
      </c>
      <c r="G481" s="4" t="s">
        <v>1021</v>
      </c>
      <c r="H481" s="4" t="s">
        <v>1021</v>
      </c>
      <c r="I481" s="4" t="s">
        <v>1021</v>
      </c>
      <c r="J481" s="4" t="str">
        <f t="shared" si="1"/>
        <v>손전수1647</v>
      </c>
      <c r="K481" s="3" t="str">
        <f t="shared" si="2"/>
        <v>중복</v>
      </c>
      <c r="L481" s="4">
        <v>35000.0</v>
      </c>
      <c r="M481" s="4">
        <v>70000.0</v>
      </c>
      <c r="N481" s="4">
        <v>35000.0</v>
      </c>
    </row>
    <row r="482">
      <c r="A482" s="5">
        <v>1200.0</v>
      </c>
      <c r="B482" s="3" t="s">
        <v>1530</v>
      </c>
      <c r="C482" s="3" t="s">
        <v>2860</v>
      </c>
      <c r="D482" s="3" t="s">
        <v>2861</v>
      </c>
      <c r="E482" s="3">
        <v>641226.0</v>
      </c>
      <c r="F482" s="5">
        <v>1.0</v>
      </c>
      <c r="G482" s="3" t="s">
        <v>1021</v>
      </c>
      <c r="H482" s="3" t="s">
        <v>1021</v>
      </c>
      <c r="I482" s="3" t="s">
        <v>1021</v>
      </c>
      <c r="J482" s="4" t="str">
        <f t="shared" si="1"/>
        <v>송미경7319</v>
      </c>
      <c r="K482" s="3" t="str">
        <f t="shared" si="2"/>
        <v>중복</v>
      </c>
      <c r="L482" s="4">
        <v>35000.0</v>
      </c>
      <c r="M482" s="4">
        <v>70000.0</v>
      </c>
      <c r="N482" s="4">
        <v>35000.0</v>
      </c>
    </row>
    <row r="483">
      <c r="A483" s="6">
        <v>522.0</v>
      </c>
      <c r="B483" s="4" t="s">
        <v>2862</v>
      </c>
      <c r="C483" s="4" t="s">
        <v>2039</v>
      </c>
      <c r="D483" s="4" t="s">
        <v>2863</v>
      </c>
      <c r="E483" s="4">
        <v>710714.0</v>
      </c>
      <c r="F483" s="6">
        <v>1.0</v>
      </c>
      <c r="G483" s="4" t="s">
        <v>1021</v>
      </c>
      <c r="H483" s="4" t="s">
        <v>1021</v>
      </c>
      <c r="I483" s="4" t="s">
        <v>1021</v>
      </c>
      <c r="J483" s="4" t="str">
        <f t="shared" si="1"/>
        <v>송영미1378</v>
      </c>
      <c r="K483" s="3" t="str">
        <f t="shared" si="2"/>
        <v>중복</v>
      </c>
      <c r="L483" s="4">
        <v>35000.0</v>
      </c>
      <c r="M483" s="4">
        <v>70000.0</v>
      </c>
      <c r="N483" s="4">
        <v>35000.0</v>
      </c>
    </row>
    <row r="484">
      <c r="A484" s="6">
        <v>521.0</v>
      </c>
      <c r="B484" s="4" t="s">
        <v>2862</v>
      </c>
      <c r="C484" s="4" t="s">
        <v>2037</v>
      </c>
      <c r="D484" s="4" t="s">
        <v>2864</v>
      </c>
      <c r="E484" s="4">
        <v>550920.0</v>
      </c>
      <c r="F484" s="6">
        <v>1.0</v>
      </c>
      <c r="G484" s="4" t="s">
        <v>1021</v>
      </c>
      <c r="H484" s="4" t="s">
        <v>1021</v>
      </c>
      <c r="I484" s="4" t="s">
        <v>1021</v>
      </c>
      <c r="J484" s="4" t="str">
        <f t="shared" si="1"/>
        <v>송영희2672</v>
      </c>
      <c r="K484" s="3" t="str">
        <f t="shared" si="2"/>
        <v>중복</v>
      </c>
      <c r="L484" s="4">
        <v>35000.0</v>
      </c>
      <c r="M484" s="4">
        <v>70000.0</v>
      </c>
      <c r="N484" s="4">
        <v>35000.0</v>
      </c>
    </row>
    <row r="485">
      <c r="A485" s="6">
        <v>200.0</v>
      </c>
      <c r="B485" s="4" t="s">
        <v>1109</v>
      </c>
      <c r="C485" s="4" t="s">
        <v>2865</v>
      </c>
      <c r="D485" s="4" t="s">
        <v>2866</v>
      </c>
      <c r="E485" s="4">
        <v>720217.0</v>
      </c>
      <c r="F485" s="6">
        <v>1.0</v>
      </c>
      <c r="G485" s="4" t="s">
        <v>1021</v>
      </c>
      <c r="H485" s="4" t="s">
        <v>1021</v>
      </c>
      <c r="I485" s="4" t="s">
        <v>1021</v>
      </c>
      <c r="J485" s="4" t="str">
        <f t="shared" si="1"/>
        <v>신영혜1214</v>
      </c>
      <c r="K485" s="3" t="str">
        <f t="shared" si="2"/>
        <v>중복</v>
      </c>
      <c r="L485" s="4">
        <v>35000.0</v>
      </c>
      <c r="M485" s="4">
        <v>70000.0</v>
      </c>
      <c r="N485" s="4">
        <v>35000.0</v>
      </c>
    </row>
    <row r="486">
      <c r="A486" s="6">
        <v>1105.0</v>
      </c>
      <c r="B486" s="4" t="s">
        <v>1420</v>
      </c>
      <c r="C486" s="4" t="s">
        <v>2867</v>
      </c>
      <c r="D486" s="4" t="s">
        <v>2868</v>
      </c>
      <c r="E486" s="4">
        <v>580805.0</v>
      </c>
      <c r="F486" s="6">
        <v>1.0</v>
      </c>
      <c r="G486" s="4" t="s">
        <v>1021</v>
      </c>
      <c r="H486" s="4" t="s">
        <v>1021</v>
      </c>
      <c r="I486" s="4" t="s">
        <v>1021</v>
      </c>
      <c r="J486" s="4" t="str">
        <f t="shared" si="1"/>
        <v>신혜연5510</v>
      </c>
      <c r="K486" s="3" t="str">
        <f t="shared" si="2"/>
        <v>중복</v>
      </c>
      <c r="L486" s="4">
        <v>35000.0</v>
      </c>
      <c r="M486" s="4">
        <v>70000.0</v>
      </c>
      <c r="N486" s="4">
        <v>35000.0</v>
      </c>
    </row>
    <row r="487">
      <c r="A487" s="6">
        <v>1138.0</v>
      </c>
      <c r="B487" s="4" t="s">
        <v>2053</v>
      </c>
      <c r="C487" s="4" t="s">
        <v>2869</v>
      </c>
      <c r="D487" s="4" t="s">
        <v>2870</v>
      </c>
      <c r="E487" s="4">
        <v>720207.0</v>
      </c>
      <c r="F487" s="6">
        <v>1.0</v>
      </c>
      <c r="G487" s="4" t="s">
        <v>1021</v>
      </c>
      <c r="H487" s="4" t="s">
        <v>1021</v>
      </c>
      <c r="I487" s="4" t="s">
        <v>1021</v>
      </c>
      <c r="J487" s="4" t="str">
        <f t="shared" si="1"/>
        <v>안영규4166</v>
      </c>
      <c r="K487" s="3" t="str">
        <f t="shared" si="2"/>
        <v>중복</v>
      </c>
      <c r="L487" s="4">
        <v>35000.0</v>
      </c>
      <c r="M487" s="4">
        <v>70000.0</v>
      </c>
      <c r="N487" s="4">
        <v>35000.0</v>
      </c>
    </row>
    <row r="488">
      <c r="A488" s="5">
        <v>210.0</v>
      </c>
      <c r="B488" s="3" t="s">
        <v>1566</v>
      </c>
      <c r="C488" s="3" t="s">
        <v>2871</v>
      </c>
      <c r="D488" s="3" t="s">
        <v>2872</v>
      </c>
      <c r="E488" s="3">
        <v>740220.0</v>
      </c>
      <c r="F488" s="5">
        <v>1.0</v>
      </c>
      <c r="G488" s="3" t="s">
        <v>1021</v>
      </c>
      <c r="H488" s="3" t="s">
        <v>1021</v>
      </c>
      <c r="I488" s="3" t="s">
        <v>1021</v>
      </c>
      <c r="J488" s="4" t="str">
        <f t="shared" si="1"/>
        <v>안지혜1843</v>
      </c>
      <c r="K488" s="3" t="str">
        <f t="shared" si="2"/>
        <v>중복</v>
      </c>
      <c r="L488" s="4">
        <v>35000.0</v>
      </c>
      <c r="M488" s="4">
        <v>70000.0</v>
      </c>
      <c r="N488" s="4">
        <v>35000.0</v>
      </c>
    </row>
    <row r="489">
      <c r="A489" s="6">
        <v>181.0</v>
      </c>
      <c r="B489" s="4" t="s">
        <v>2607</v>
      </c>
      <c r="C489" s="4" t="s">
        <v>2873</v>
      </c>
      <c r="D489" s="4" t="s">
        <v>2874</v>
      </c>
      <c r="E489" s="4">
        <v>841116.0</v>
      </c>
      <c r="F489" s="6">
        <v>1.0</v>
      </c>
      <c r="G489" s="4" t="s">
        <v>1021</v>
      </c>
      <c r="H489" s="4" t="s">
        <v>1021</v>
      </c>
      <c r="I489" s="4" t="s">
        <v>1021</v>
      </c>
      <c r="J489" s="4" t="str">
        <f t="shared" si="1"/>
        <v>양세린6733</v>
      </c>
      <c r="K489" s="3" t="str">
        <f t="shared" si="2"/>
        <v>중복</v>
      </c>
      <c r="L489" s="4">
        <v>35000.0</v>
      </c>
      <c r="M489" s="4">
        <v>70000.0</v>
      </c>
      <c r="N489" s="4">
        <v>35000.0</v>
      </c>
    </row>
    <row r="490">
      <c r="A490" s="6">
        <v>952.0</v>
      </c>
      <c r="B490" s="4" t="s">
        <v>1631</v>
      </c>
      <c r="C490" s="4" t="s">
        <v>2875</v>
      </c>
      <c r="D490" s="4" t="s">
        <v>2876</v>
      </c>
      <c r="E490" s="4">
        <v>740810.0</v>
      </c>
      <c r="F490" s="6">
        <v>1.0</v>
      </c>
      <c r="G490" s="4" t="s">
        <v>1021</v>
      </c>
      <c r="H490" s="4" t="s">
        <v>1021</v>
      </c>
      <c r="I490" s="4" t="s">
        <v>1021</v>
      </c>
      <c r="J490" s="4" t="str">
        <f t="shared" si="1"/>
        <v>우진희6680</v>
      </c>
      <c r="K490" s="3" t="str">
        <f t="shared" si="2"/>
        <v>중복</v>
      </c>
      <c r="L490" s="4">
        <v>35000.0</v>
      </c>
      <c r="M490" s="4">
        <v>70000.0</v>
      </c>
      <c r="N490" s="4">
        <v>35000.0</v>
      </c>
    </row>
    <row r="491">
      <c r="A491" s="6">
        <v>1179.0</v>
      </c>
      <c r="B491" s="4" t="s">
        <v>1471</v>
      </c>
      <c r="C491" s="4" t="s">
        <v>2877</v>
      </c>
      <c r="D491" s="4" t="s">
        <v>2878</v>
      </c>
      <c r="E491" s="4">
        <v>630628.0</v>
      </c>
      <c r="F491" s="6">
        <v>1.0</v>
      </c>
      <c r="G491" s="4" t="s">
        <v>1021</v>
      </c>
      <c r="H491" s="4" t="s">
        <v>1021</v>
      </c>
      <c r="I491" s="4" t="s">
        <v>1021</v>
      </c>
      <c r="J491" s="4" t="str">
        <f t="shared" si="1"/>
        <v>유정화5270</v>
      </c>
      <c r="K491" s="3" t="str">
        <f t="shared" si="2"/>
        <v>중복</v>
      </c>
      <c r="L491" s="4">
        <v>35000.0</v>
      </c>
      <c r="M491" s="4">
        <v>70000.0</v>
      </c>
      <c r="N491" s="4">
        <v>35000.0</v>
      </c>
    </row>
    <row r="492">
      <c r="A492" s="6">
        <v>893.0</v>
      </c>
      <c r="B492" s="4" t="s">
        <v>1114</v>
      </c>
      <c r="C492" s="4" t="s">
        <v>2879</v>
      </c>
      <c r="D492" s="4" t="s">
        <v>2880</v>
      </c>
      <c r="E492" s="4">
        <v>620609.0</v>
      </c>
      <c r="F492" s="6">
        <v>1.0</v>
      </c>
      <c r="G492" s="4" t="s">
        <v>1021</v>
      </c>
      <c r="H492" s="4" t="s">
        <v>1021</v>
      </c>
      <c r="I492" s="4" t="s">
        <v>1021</v>
      </c>
      <c r="J492" s="4" t="str">
        <f t="shared" si="1"/>
        <v>윤세현3911</v>
      </c>
      <c r="K492" s="3" t="str">
        <f t="shared" si="2"/>
        <v>중복</v>
      </c>
      <c r="L492" s="4">
        <v>35000.0</v>
      </c>
      <c r="M492" s="4">
        <v>70000.0</v>
      </c>
      <c r="N492" s="4">
        <v>35000.0</v>
      </c>
    </row>
    <row r="493">
      <c r="A493" s="6">
        <v>698.0</v>
      </c>
      <c r="B493" s="4" t="s">
        <v>1245</v>
      </c>
      <c r="C493" s="4" t="s">
        <v>2881</v>
      </c>
      <c r="D493" s="4" t="s">
        <v>2882</v>
      </c>
      <c r="E493" s="4">
        <v>600217.0</v>
      </c>
      <c r="F493" s="6">
        <v>1.0</v>
      </c>
      <c r="G493" s="4" t="s">
        <v>1021</v>
      </c>
      <c r="H493" s="4" t="s">
        <v>1021</v>
      </c>
      <c r="I493" s="4" t="s">
        <v>1021</v>
      </c>
      <c r="J493" s="4" t="str">
        <f t="shared" si="1"/>
        <v>윤영미7286</v>
      </c>
      <c r="K493" s="3" t="str">
        <f t="shared" si="2"/>
        <v>중복</v>
      </c>
      <c r="L493" s="4">
        <v>35000.0</v>
      </c>
      <c r="M493" s="4">
        <v>70000.0</v>
      </c>
      <c r="N493" s="4">
        <v>35000.0</v>
      </c>
    </row>
    <row r="494">
      <c r="A494" s="6">
        <v>616.0</v>
      </c>
      <c r="B494" s="4" t="s">
        <v>1662</v>
      </c>
      <c r="C494" s="4" t="s">
        <v>2883</v>
      </c>
      <c r="D494" s="4" t="s">
        <v>2884</v>
      </c>
      <c r="E494" s="4">
        <v>690721.0</v>
      </c>
      <c r="F494" s="6">
        <v>1.0</v>
      </c>
      <c r="G494" s="4" t="s">
        <v>1021</v>
      </c>
      <c r="H494" s="4" t="s">
        <v>1021</v>
      </c>
      <c r="I494" s="4" t="s">
        <v>1021</v>
      </c>
      <c r="J494" s="4" t="str">
        <f t="shared" si="1"/>
        <v>윤영이9831</v>
      </c>
      <c r="K494" s="3" t="str">
        <f t="shared" si="2"/>
        <v>중복</v>
      </c>
      <c r="L494" s="4">
        <v>35000.0</v>
      </c>
      <c r="M494" s="4">
        <v>70000.0</v>
      </c>
      <c r="N494" s="4">
        <v>35000.0</v>
      </c>
    </row>
    <row r="495">
      <c r="A495" s="5">
        <v>470.0</v>
      </c>
      <c r="B495" s="3" t="s">
        <v>1808</v>
      </c>
      <c r="C495" s="3" t="s">
        <v>2885</v>
      </c>
      <c r="D495" s="3" t="s">
        <v>2886</v>
      </c>
      <c r="E495" s="3">
        <v>900615.0</v>
      </c>
      <c r="F495" s="5">
        <v>1.0</v>
      </c>
      <c r="G495" s="3" t="s">
        <v>1021</v>
      </c>
      <c r="H495" s="3" t="s">
        <v>1021</v>
      </c>
      <c r="I495" s="3" t="s">
        <v>1021</v>
      </c>
      <c r="J495" s="4" t="str">
        <f t="shared" si="1"/>
        <v>이다희6608</v>
      </c>
      <c r="K495" s="3" t="str">
        <f t="shared" si="2"/>
        <v>중복</v>
      </c>
      <c r="L495" s="4">
        <v>35000.0</v>
      </c>
      <c r="M495" s="4">
        <v>70000.0</v>
      </c>
      <c r="N495" s="4">
        <v>35000.0</v>
      </c>
    </row>
    <row r="496">
      <c r="A496" s="6">
        <v>873.0</v>
      </c>
      <c r="B496" s="4" t="s">
        <v>1621</v>
      </c>
      <c r="C496" s="4" t="s">
        <v>2887</v>
      </c>
      <c r="D496" s="4" t="s">
        <v>2888</v>
      </c>
      <c r="E496" s="4">
        <v>761101.0</v>
      </c>
      <c r="F496" s="6">
        <v>1.0</v>
      </c>
      <c r="G496" s="4" t="s">
        <v>1021</v>
      </c>
      <c r="H496" s="4" t="s">
        <v>1021</v>
      </c>
      <c r="I496" s="4" t="s">
        <v>1021</v>
      </c>
      <c r="J496" s="4" t="str">
        <f t="shared" si="1"/>
        <v>이세현2377</v>
      </c>
      <c r="K496" s="3" t="str">
        <f t="shared" si="2"/>
        <v>중복</v>
      </c>
      <c r="L496" s="4">
        <v>35000.0</v>
      </c>
      <c r="M496" s="4">
        <v>70000.0</v>
      </c>
      <c r="N496" s="4">
        <v>35000.0</v>
      </c>
    </row>
    <row r="497">
      <c r="A497" s="6">
        <v>666.0</v>
      </c>
      <c r="B497" s="4" t="s">
        <v>1100</v>
      </c>
      <c r="C497" s="4" t="s">
        <v>2889</v>
      </c>
      <c r="D497" s="4" t="s">
        <v>2890</v>
      </c>
      <c r="E497" s="4">
        <v>630527.0</v>
      </c>
      <c r="F497" s="6">
        <v>1.0</v>
      </c>
      <c r="G497" s="4" t="s">
        <v>1021</v>
      </c>
      <c r="H497" s="4" t="s">
        <v>1021</v>
      </c>
      <c r="I497" s="4" t="s">
        <v>1021</v>
      </c>
      <c r="J497" s="4" t="str">
        <f t="shared" si="1"/>
        <v>이윤희7849</v>
      </c>
      <c r="K497" s="3" t="str">
        <f t="shared" si="2"/>
        <v>중복</v>
      </c>
      <c r="L497" s="4">
        <v>35000.0</v>
      </c>
      <c r="M497" s="4">
        <v>70000.0</v>
      </c>
      <c r="N497" s="4">
        <v>35000.0</v>
      </c>
    </row>
    <row r="498">
      <c r="A498" s="5">
        <v>845.0</v>
      </c>
      <c r="B498" s="3" t="s">
        <v>1588</v>
      </c>
      <c r="C498" s="3" t="s">
        <v>2891</v>
      </c>
      <c r="D498" s="3" t="s">
        <v>2892</v>
      </c>
      <c r="E498" s="3">
        <v>640310.0</v>
      </c>
      <c r="F498" s="5">
        <v>1.0</v>
      </c>
      <c r="G498" s="3" t="s">
        <v>1021</v>
      </c>
      <c r="H498" s="3" t="s">
        <v>1021</v>
      </c>
      <c r="I498" s="3" t="s">
        <v>1021</v>
      </c>
      <c r="J498" s="4" t="str">
        <f t="shared" si="1"/>
        <v>이은령7595</v>
      </c>
      <c r="K498" s="3" t="str">
        <f t="shared" si="2"/>
        <v>중복</v>
      </c>
      <c r="L498" s="4">
        <v>35000.0</v>
      </c>
      <c r="M498" s="4">
        <v>70000.0</v>
      </c>
      <c r="N498" s="4">
        <v>35000.0</v>
      </c>
    </row>
    <row r="499">
      <c r="A499" s="6">
        <v>651.0</v>
      </c>
      <c r="B499" s="4" t="s">
        <v>1415</v>
      </c>
      <c r="C499" s="4" t="s">
        <v>2893</v>
      </c>
      <c r="D499" s="4" t="s">
        <v>2894</v>
      </c>
      <c r="E499" s="4">
        <v>690723.0</v>
      </c>
      <c r="F499" s="6">
        <v>1.0</v>
      </c>
      <c r="G499" s="4" t="s">
        <v>1021</v>
      </c>
      <c r="H499" s="4" t="s">
        <v>1021</v>
      </c>
      <c r="I499" s="4" t="s">
        <v>1021</v>
      </c>
      <c r="J499" s="4" t="str">
        <f t="shared" si="1"/>
        <v>이자은5331</v>
      </c>
      <c r="K499" s="3" t="str">
        <f t="shared" si="2"/>
        <v>중복</v>
      </c>
      <c r="L499" s="4">
        <v>35000.0</v>
      </c>
      <c r="M499" s="4">
        <v>70000.0</v>
      </c>
      <c r="N499" s="4">
        <v>35000.0</v>
      </c>
    </row>
    <row r="500">
      <c r="A500" s="6">
        <v>430.0</v>
      </c>
      <c r="B500" s="4" t="s">
        <v>1730</v>
      </c>
      <c r="C500" s="4" t="s">
        <v>2895</v>
      </c>
      <c r="D500" s="4" t="s">
        <v>2896</v>
      </c>
      <c r="E500" s="4">
        <v>630409.0</v>
      </c>
      <c r="F500" s="6">
        <v>1.0</v>
      </c>
      <c r="G500" s="4" t="s">
        <v>1021</v>
      </c>
      <c r="H500" s="4" t="s">
        <v>1021</v>
      </c>
      <c r="I500" s="4" t="s">
        <v>1021</v>
      </c>
      <c r="J500" s="4" t="str">
        <f t="shared" si="1"/>
        <v>이정숙4461</v>
      </c>
      <c r="K500" s="3" t="str">
        <f t="shared" si="2"/>
        <v>중복</v>
      </c>
      <c r="L500" s="4">
        <v>35000.0</v>
      </c>
      <c r="M500" s="4">
        <v>70000.0</v>
      </c>
      <c r="N500" s="4">
        <v>35000.0</v>
      </c>
    </row>
    <row r="501">
      <c r="A501" s="6">
        <v>672.0</v>
      </c>
      <c r="B501" s="4" t="s">
        <v>1100</v>
      </c>
      <c r="C501" s="4" t="s">
        <v>2897</v>
      </c>
      <c r="D501" s="4" t="s">
        <v>2898</v>
      </c>
      <c r="E501" s="4">
        <v>570306.0</v>
      </c>
      <c r="F501" s="6">
        <v>1.0</v>
      </c>
      <c r="G501" s="4" t="s">
        <v>1021</v>
      </c>
      <c r="H501" s="4" t="s">
        <v>1021</v>
      </c>
      <c r="I501" s="4" t="s">
        <v>1021</v>
      </c>
      <c r="J501" s="4" t="str">
        <f t="shared" si="1"/>
        <v>이현자4522</v>
      </c>
      <c r="K501" s="3" t="str">
        <f t="shared" si="2"/>
        <v>중복</v>
      </c>
      <c r="L501" s="4">
        <v>35000.0</v>
      </c>
      <c r="M501" s="4">
        <v>70000.0</v>
      </c>
      <c r="N501" s="4">
        <v>35000.0</v>
      </c>
    </row>
    <row r="502">
      <c r="A502" s="6">
        <v>478.0</v>
      </c>
      <c r="B502" s="4" t="s">
        <v>1042</v>
      </c>
      <c r="C502" s="4" t="s">
        <v>2899</v>
      </c>
      <c r="D502" s="4" t="s">
        <v>2900</v>
      </c>
      <c r="E502" s="4">
        <v>701005.0</v>
      </c>
      <c r="F502" s="6">
        <v>1.0</v>
      </c>
      <c r="G502" s="4" t="s">
        <v>1021</v>
      </c>
      <c r="H502" s="4" t="s">
        <v>1021</v>
      </c>
      <c r="I502" s="4" t="s">
        <v>1021</v>
      </c>
      <c r="J502" s="4" t="str">
        <f t="shared" si="1"/>
        <v>임애리2848</v>
      </c>
      <c r="K502" s="3" t="str">
        <f t="shared" si="2"/>
        <v>중복</v>
      </c>
      <c r="L502" s="4">
        <v>35000.0</v>
      </c>
      <c r="M502" s="4">
        <v>70000.0</v>
      </c>
      <c r="N502" s="4">
        <v>35000.0</v>
      </c>
    </row>
    <row r="503">
      <c r="A503" s="6">
        <v>645.0</v>
      </c>
      <c r="B503" s="4" t="s">
        <v>1007</v>
      </c>
      <c r="C503" s="4" t="s">
        <v>2901</v>
      </c>
      <c r="D503" s="4" t="s">
        <v>2902</v>
      </c>
      <c r="E503" s="4">
        <v>590801.0</v>
      </c>
      <c r="F503" s="6">
        <v>1.0</v>
      </c>
      <c r="G503" s="4" t="s">
        <v>1021</v>
      </c>
      <c r="H503" s="4" t="s">
        <v>1021</v>
      </c>
      <c r="I503" s="4" t="s">
        <v>1021</v>
      </c>
      <c r="J503" s="4" t="str">
        <f t="shared" si="1"/>
        <v>임주연2630</v>
      </c>
      <c r="K503" s="3" t="str">
        <f t="shared" si="2"/>
        <v>중복</v>
      </c>
      <c r="L503" s="4">
        <v>35000.0</v>
      </c>
      <c r="M503" s="4">
        <v>70000.0</v>
      </c>
      <c r="N503" s="4">
        <v>35000.0</v>
      </c>
    </row>
    <row r="504">
      <c r="A504" s="6">
        <v>328.0</v>
      </c>
      <c r="B504" s="4" t="s">
        <v>1322</v>
      </c>
      <c r="C504" s="4" t="s">
        <v>2903</v>
      </c>
      <c r="D504" s="4" t="s">
        <v>2904</v>
      </c>
      <c r="E504" s="4">
        <v>750503.0</v>
      </c>
      <c r="F504" s="6">
        <v>1.0</v>
      </c>
      <c r="G504" s="4" t="s">
        <v>1021</v>
      </c>
      <c r="H504" s="4" t="s">
        <v>1021</v>
      </c>
      <c r="I504" s="4" t="s">
        <v>1021</v>
      </c>
      <c r="J504" s="4" t="str">
        <f t="shared" si="1"/>
        <v>장예나7770</v>
      </c>
      <c r="K504" s="3" t="str">
        <f t="shared" si="2"/>
        <v>중복</v>
      </c>
      <c r="L504" s="4">
        <v>35000.0</v>
      </c>
      <c r="M504" s="4">
        <v>70000.0</v>
      </c>
      <c r="N504" s="4">
        <v>35000.0</v>
      </c>
    </row>
    <row r="505">
      <c r="A505" s="6">
        <v>338.0</v>
      </c>
      <c r="B505" s="4" t="s">
        <v>1052</v>
      </c>
      <c r="C505" s="4" t="s">
        <v>2905</v>
      </c>
      <c r="D505" s="4" t="s">
        <v>2906</v>
      </c>
      <c r="E505" s="4">
        <v>650705.0</v>
      </c>
      <c r="F505" s="6">
        <v>1.0</v>
      </c>
      <c r="G505" s="4" t="s">
        <v>1021</v>
      </c>
      <c r="H505" s="4" t="s">
        <v>1021</v>
      </c>
      <c r="I505" s="4" t="s">
        <v>1021</v>
      </c>
      <c r="J505" s="4" t="str">
        <f t="shared" si="1"/>
        <v>장유나9407</v>
      </c>
      <c r="K505" s="3" t="str">
        <f t="shared" si="2"/>
        <v>중복</v>
      </c>
      <c r="L505" s="4">
        <v>35000.0</v>
      </c>
      <c r="M505" s="4">
        <v>70000.0</v>
      </c>
      <c r="N505" s="4">
        <v>35000.0</v>
      </c>
    </row>
    <row r="506">
      <c r="A506" s="5">
        <v>340.0</v>
      </c>
      <c r="B506" s="3" t="s">
        <v>1052</v>
      </c>
      <c r="C506" s="3" t="s">
        <v>2907</v>
      </c>
      <c r="D506" s="3" t="s">
        <v>2908</v>
      </c>
      <c r="E506" s="3">
        <v>721118.0</v>
      </c>
      <c r="F506" s="5">
        <v>1.0</v>
      </c>
      <c r="G506" s="3" t="s">
        <v>1021</v>
      </c>
      <c r="H506" s="3" t="s">
        <v>1021</v>
      </c>
      <c r="I506" s="3" t="s">
        <v>1021</v>
      </c>
      <c r="J506" s="4" t="str">
        <f t="shared" si="1"/>
        <v>정명진1115</v>
      </c>
      <c r="K506" s="3" t="str">
        <f t="shared" si="2"/>
        <v>중복</v>
      </c>
      <c r="L506" s="4">
        <v>35000.0</v>
      </c>
      <c r="M506" s="4">
        <v>70000.0</v>
      </c>
      <c r="N506" s="4">
        <v>35000.0</v>
      </c>
    </row>
    <row r="507">
      <c r="A507" s="6">
        <v>1022.0</v>
      </c>
      <c r="B507" s="4" t="s">
        <v>1062</v>
      </c>
      <c r="C507" s="4" t="s">
        <v>2909</v>
      </c>
      <c r="D507" s="4" t="s">
        <v>2910</v>
      </c>
      <c r="E507" s="4">
        <v>590922.0</v>
      </c>
      <c r="F507" s="6">
        <v>1.0</v>
      </c>
      <c r="G507" s="4" t="s">
        <v>1021</v>
      </c>
      <c r="H507" s="4" t="s">
        <v>1021</v>
      </c>
      <c r="I507" s="4" t="s">
        <v>1021</v>
      </c>
      <c r="J507" s="4" t="str">
        <f t="shared" si="1"/>
        <v>정영림7246</v>
      </c>
      <c r="K507" s="3" t="str">
        <f t="shared" si="2"/>
        <v>중복</v>
      </c>
      <c r="L507" s="4">
        <v>35000.0</v>
      </c>
      <c r="M507" s="4">
        <v>70000.0</v>
      </c>
      <c r="N507" s="4">
        <v>35000.0</v>
      </c>
    </row>
    <row r="508">
      <c r="A508" s="6">
        <v>704.0</v>
      </c>
      <c r="B508" s="4" t="s">
        <v>2078</v>
      </c>
      <c r="C508" s="4" t="s">
        <v>2911</v>
      </c>
      <c r="D508" s="4" t="s">
        <v>2912</v>
      </c>
      <c r="E508" s="4">
        <v>540404.0</v>
      </c>
      <c r="F508" s="6">
        <v>1.0</v>
      </c>
      <c r="G508" s="4" t="s">
        <v>1021</v>
      </c>
      <c r="H508" s="4" t="s">
        <v>1021</v>
      </c>
      <c r="I508" s="4" t="s">
        <v>1021</v>
      </c>
      <c r="J508" s="4" t="str">
        <f t="shared" si="1"/>
        <v>조경자5101</v>
      </c>
      <c r="K508" s="3" t="str">
        <f t="shared" si="2"/>
        <v>중복</v>
      </c>
      <c r="L508" s="4">
        <v>35000.0</v>
      </c>
      <c r="M508" s="4">
        <v>70000.0</v>
      </c>
      <c r="N508" s="4">
        <v>35000.0</v>
      </c>
    </row>
    <row r="509">
      <c r="A509" s="6">
        <v>1119.0</v>
      </c>
      <c r="B509" s="4" t="s">
        <v>1358</v>
      </c>
      <c r="C509" s="4" t="s">
        <v>2913</v>
      </c>
      <c r="D509" s="4" t="s">
        <v>2914</v>
      </c>
      <c r="E509" s="4">
        <v>720303.0</v>
      </c>
      <c r="F509" s="6">
        <v>1.0</v>
      </c>
      <c r="G509" s="4" t="s">
        <v>1021</v>
      </c>
      <c r="H509" s="4" t="s">
        <v>1021</v>
      </c>
      <c r="I509" s="4" t="s">
        <v>1021</v>
      </c>
      <c r="J509" s="4" t="str">
        <f t="shared" si="1"/>
        <v>조유진7299</v>
      </c>
      <c r="K509" s="3" t="str">
        <f t="shared" si="2"/>
        <v>중복</v>
      </c>
      <c r="L509" s="4">
        <v>35000.0</v>
      </c>
      <c r="M509" s="4">
        <v>70000.0</v>
      </c>
      <c r="N509" s="4">
        <v>35000.0</v>
      </c>
    </row>
    <row r="510">
      <c r="A510" s="5">
        <v>433.0</v>
      </c>
      <c r="B510" s="3" t="s">
        <v>1976</v>
      </c>
      <c r="C510" s="3" t="s">
        <v>2915</v>
      </c>
      <c r="D510" s="3" t="s">
        <v>2916</v>
      </c>
      <c r="E510" s="3">
        <v>760215.0</v>
      </c>
      <c r="F510" s="5">
        <v>1.0</v>
      </c>
      <c r="G510" s="3" t="s">
        <v>1021</v>
      </c>
      <c r="H510" s="3" t="s">
        <v>1021</v>
      </c>
      <c r="I510" s="3" t="s">
        <v>1021</v>
      </c>
      <c r="J510" s="4" t="str">
        <f t="shared" si="1"/>
        <v>조희숙2118</v>
      </c>
      <c r="K510" s="3" t="str">
        <f t="shared" si="2"/>
        <v>중복</v>
      </c>
      <c r="L510" s="4">
        <v>35000.0</v>
      </c>
      <c r="M510" s="4">
        <v>70000.0</v>
      </c>
      <c r="N510" s="4">
        <v>35000.0</v>
      </c>
    </row>
    <row r="511">
      <c r="A511" s="6">
        <v>614.0</v>
      </c>
      <c r="B511" s="4" t="s">
        <v>1662</v>
      </c>
      <c r="C511" s="4" t="s">
        <v>2917</v>
      </c>
      <c r="D511" s="4" t="s">
        <v>2918</v>
      </c>
      <c r="E511" s="4">
        <v>611009.0</v>
      </c>
      <c r="F511" s="6">
        <v>1.0</v>
      </c>
      <c r="G511" s="4" t="s">
        <v>1021</v>
      </c>
      <c r="H511" s="4" t="s">
        <v>1021</v>
      </c>
      <c r="I511" s="4" t="s">
        <v>1021</v>
      </c>
      <c r="J511" s="4" t="str">
        <f t="shared" si="1"/>
        <v>최문희5117</v>
      </c>
      <c r="K511" s="3" t="str">
        <f t="shared" si="2"/>
        <v>중복</v>
      </c>
      <c r="L511" s="4">
        <v>35000.0</v>
      </c>
      <c r="M511" s="4">
        <v>70000.0</v>
      </c>
      <c r="N511" s="4">
        <v>35000.0</v>
      </c>
    </row>
    <row r="512">
      <c r="A512" s="6">
        <v>407.0</v>
      </c>
      <c r="B512" s="4" t="s">
        <v>1195</v>
      </c>
      <c r="C512" s="4" t="s">
        <v>2919</v>
      </c>
      <c r="D512" s="4" t="s">
        <v>2920</v>
      </c>
      <c r="E512" s="4">
        <v>580320.0</v>
      </c>
      <c r="F512" s="6">
        <v>1.0</v>
      </c>
      <c r="G512" s="4" t="s">
        <v>1021</v>
      </c>
      <c r="H512" s="4" t="s">
        <v>1021</v>
      </c>
      <c r="I512" s="4" t="s">
        <v>1021</v>
      </c>
      <c r="J512" s="4" t="str">
        <f t="shared" si="1"/>
        <v>최유숙5214</v>
      </c>
      <c r="K512" s="3" t="str">
        <f t="shared" si="2"/>
        <v>중복</v>
      </c>
      <c r="L512" s="4">
        <v>35000.0</v>
      </c>
      <c r="M512" s="4">
        <v>70000.0</v>
      </c>
      <c r="N512" s="4">
        <v>35000.0</v>
      </c>
    </row>
    <row r="513">
      <c r="A513" s="5">
        <v>221.0</v>
      </c>
      <c r="B513" s="3" t="s">
        <v>1575</v>
      </c>
      <c r="C513" s="3" t="s">
        <v>2921</v>
      </c>
      <c r="D513" s="3" t="s">
        <v>2922</v>
      </c>
      <c r="E513" s="3">
        <v>840710.0</v>
      </c>
      <c r="F513" s="5">
        <v>1.0</v>
      </c>
      <c r="G513" s="3" t="s">
        <v>1021</v>
      </c>
      <c r="H513" s="3" t="s">
        <v>1021</v>
      </c>
      <c r="I513" s="3" t="s">
        <v>1021</v>
      </c>
      <c r="J513" s="4" t="str">
        <f t="shared" si="1"/>
        <v>최은영5082</v>
      </c>
      <c r="K513" s="3" t="str">
        <f t="shared" si="2"/>
        <v>중복</v>
      </c>
      <c r="L513" s="4">
        <v>35000.0</v>
      </c>
      <c r="M513" s="4">
        <v>70000.0</v>
      </c>
      <c r="N513" s="4">
        <v>35000.0</v>
      </c>
    </row>
    <row r="514">
      <c r="A514" s="6">
        <v>139.0</v>
      </c>
      <c r="B514" s="4" t="s">
        <v>1204</v>
      </c>
      <c r="C514" s="4" t="s">
        <v>2923</v>
      </c>
      <c r="D514" s="4" t="s">
        <v>2924</v>
      </c>
      <c r="E514" s="4">
        <v>920819.0</v>
      </c>
      <c r="F514" s="6">
        <v>1.0</v>
      </c>
      <c r="G514" s="4" t="s">
        <v>1021</v>
      </c>
      <c r="H514" s="4" t="s">
        <v>1021</v>
      </c>
      <c r="I514" s="4" t="s">
        <v>1021</v>
      </c>
      <c r="J514" s="4" t="str">
        <f t="shared" si="1"/>
        <v>추민지8663</v>
      </c>
      <c r="K514" s="3" t="str">
        <f t="shared" si="2"/>
        <v>중복</v>
      </c>
      <c r="L514" s="4">
        <v>35000.0</v>
      </c>
      <c r="M514" s="4">
        <v>70000.0</v>
      </c>
      <c r="N514" s="4">
        <v>35000.0</v>
      </c>
    </row>
    <row r="515">
      <c r="A515" s="6">
        <v>885.0</v>
      </c>
      <c r="B515" s="4" t="s">
        <v>1114</v>
      </c>
      <c r="C515" s="4" t="s">
        <v>2925</v>
      </c>
      <c r="D515" s="4" t="s">
        <v>2926</v>
      </c>
      <c r="E515" s="4">
        <v>520928.0</v>
      </c>
      <c r="F515" s="6">
        <v>1.0</v>
      </c>
      <c r="G515" s="4" t="s">
        <v>1021</v>
      </c>
      <c r="H515" s="4" t="s">
        <v>1021</v>
      </c>
      <c r="I515" s="4" t="s">
        <v>1021</v>
      </c>
      <c r="J515" s="4" t="str">
        <f t="shared" si="1"/>
        <v>탁춘련6524</v>
      </c>
      <c r="K515" s="3" t="str">
        <f t="shared" si="2"/>
        <v>중복</v>
      </c>
      <c r="L515" s="4">
        <v>35000.0</v>
      </c>
      <c r="M515" s="4">
        <v>70000.0</v>
      </c>
      <c r="N515" s="4">
        <v>35000.0</v>
      </c>
    </row>
    <row r="516">
      <c r="A516" s="5">
        <v>1202.0</v>
      </c>
      <c r="B516" s="3" t="s">
        <v>2927</v>
      </c>
      <c r="C516" s="3" t="s">
        <v>2928</v>
      </c>
      <c r="D516" s="3" t="s">
        <v>2929</v>
      </c>
      <c r="E516" s="3">
        <v>621118.0</v>
      </c>
      <c r="F516" s="5">
        <v>1.0</v>
      </c>
      <c r="G516" s="3" t="s">
        <v>1021</v>
      </c>
      <c r="H516" s="3" t="s">
        <v>1021</v>
      </c>
      <c r="I516" s="3" t="s">
        <v>1021</v>
      </c>
      <c r="J516" s="4" t="str">
        <f t="shared" si="1"/>
        <v>하능식3186</v>
      </c>
      <c r="K516" s="3" t="str">
        <f t="shared" si="2"/>
        <v>중복</v>
      </c>
      <c r="L516" s="4">
        <v>35000.0</v>
      </c>
      <c r="M516" s="4">
        <v>70000.0</v>
      </c>
      <c r="N516" s="4">
        <v>35000.0</v>
      </c>
    </row>
    <row r="517">
      <c r="A517" s="6">
        <v>734.0</v>
      </c>
      <c r="B517" s="4" t="s">
        <v>1335</v>
      </c>
      <c r="C517" s="4" t="s">
        <v>2930</v>
      </c>
      <c r="D517" s="4" t="s">
        <v>2931</v>
      </c>
      <c r="E517" s="4">
        <v>570213.0</v>
      </c>
      <c r="F517" s="6">
        <v>1.0</v>
      </c>
      <c r="G517" s="4" t="s">
        <v>1021</v>
      </c>
      <c r="H517" s="4" t="s">
        <v>1021</v>
      </c>
      <c r="I517" s="4" t="s">
        <v>1021</v>
      </c>
      <c r="J517" s="4" t="str">
        <f t="shared" si="1"/>
        <v>한원희2139</v>
      </c>
      <c r="K517" s="3" t="str">
        <f t="shared" si="2"/>
        <v>중복</v>
      </c>
      <c r="L517" s="4">
        <v>35000.0</v>
      </c>
      <c r="M517" s="4">
        <v>70000.0</v>
      </c>
      <c r="N517" s="4">
        <v>35000.0</v>
      </c>
    </row>
    <row r="518">
      <c r="A518" s="6">
        <v>798.0</v>
      </c>
      <c r="B518" s="4" t="s">
        <v>2932</v>
      </c>
      <c r="C518" s="4" t="s">
        <v>2933</v>
      </c>
      <c r="D518" s="4" t="s">
        <v>2934</v>
      </c>
      <c r="E518" s="4">
        <v>600301.0</v>
      </c>
      <c r="F518" s="6">
        <v>1.0</v>
      </c>
      <c r="G518" s="4" t="s">
        <v>1021</v>
      </c>
      <c r="H518" s="4" t="s">
        <v>1021</v>
      </c>
      <c r="I518" s="4" t="s">
        <v>1021</v>
      </c>
      <c r="J518" s="4" t="str">
        <f t="shared" si="1"/>
        <v>한혜정6206</v>
      </c>
      <c r="K518" s="3" t="str">
        <f t="shared" si="2"/>
        <v>중복</v>
      </c>
      <c r="L518" s="4">
        <v>35000.0</v>
      </c>
      <c r="M518" s="4">
        <v>70000.0</v>
      </c>
      <c r="N518" s="4">
        <v>35000.0</v>
      </c>
    </row>
    <row r="519">
      <c r="A519" s="6">
        <v>779.0</v>
      </c>
      <c r="B519" s="4" t="s">
        <v>1774</v>
      </c>
      <c r="C519" s="4" t="s">
        <v>2935</v>
      </c>
      <c r="D519" s="4" t="s">
        <v>2936</v>
      </c>
      <c r="E519" s="4">
        <v>711104.0</v>
      </c>
      <c r="F519" s="6">
        <v>1.0</v>
      </c>
      <c r="G519" s="4" t="s">
        <v>1021</v>
      </c>
      <c r="H519" s="4" t="s">
        <v>1021</v>
      </c>
      <c r="I519" s="4" t="s">
        <v>1021</v>
      </c>
      <c r="J519" s="4" t="str">
        <f t="shared" si="1"/>
        <v>허영미7843</v>
      </c>
      <c r="K519" s="3" t="str">
        <f t="shared" si="2"/>
        <v>중복</v>
      </c>
      <c r="L519" s="4">
        <v>35000.0</v>
      </c>
      <c r="M519" s="4">
        <v>70000.0</v>
      </c>
      <c r="N519" s="4">
        <v>35000.0</v>
      </c>
    </row>
    <row r="520">
      <c r="A520" s="5">
        <v>460.0</v>
      </c>
      <c r="B520" s="3" t="s">
        <v>1626</v>
      </c>
      <c r="C520" s="3" t="s">
        <v>2937</v>
      </c>
      <c r="D520" s="3" t="s">
        <v>2938</v>
      </c>
      <c r="E520" s="3">
        <v>710524.0</v>
      </c>
      <c r="F520" s="5">
        <v>1.0</v>
      </c>
      <c r="G520" s="3" t="s">
        <v>1021</v>
      </c>
      <c r="H520" s="3" t="s">
        <v>1021</v>
      </c>
      <c r="I520" s="3" t="s">
        <v>1021</v>
      </c>
      <c r="J520" s="4" t="str">
        <f t="shared" si="1"/>
        <v>현순애1148</v>
      </c>
      <c r="K520" s="3" t="str">
        <f t="shared" si="2"/>
        <v>중복</v>
      </c>
      <c r="L520" s="4">
        <v>35000.0</v>
      </c>
      <c r="M520" s="4">
        <v>70000.0</v>
      </c>
      <c r="N520" s="4">
        <v>35000.0</v>
      </c>
    </row>
    <row r="521">
      <c r="A521" s="6">
        <v>214.0</v>
      </c>
      <c r="B521" s="4" t="s">
        <v>1566</v>
      </c>
      <c r="C521" s="4" t="s">
        <v>2939</v>
      </c>
      <c r="D521" s="4" t="s">
        <v>2940</v>
      </c>
      <c r="E521" s="4">
        <v>920821.0</v>
      </c>
      <c r="F521" s="6">
        <v>1.0</v>
      </c>
      <c r="G521" s="4" t="s">
        <v>1021</v>
      </c>
      <c r="H521" s="4" t="s">
        <v>1021</v>
      </c>
      <c r="I521" s="4" t="s">
        <v>1021</v>
      </c>
      <c r="J521" s="4" t="str">
        <f t="shared" si="1"/>
        <v>홍유식7413</v>
      </c>
      <c r="K521" s="3" t="str">
        <f t="shared" si="2"/>
        <v>중복</v>
      </c>
      <c r="L521" s="4">
        <v>35000.0</v>
      </c>
      <c r="M521" s="4">
        <v>70000.0</v>
      </c>
      <c r="N521" s="4">
        <v>35000.0</v>
      </c>
    </row>
    <row r="522">
      <c r="A522" s="6">
        <v>1145.0</v>
      </c>
      <c r="B522" s="4" t="s">
        <v>1165</v>
      </c>
      <c r="C522" s="4" t="s">
        <v>2941</v>
      </c>
      <c r="D522" s="4" t="s">
        <v>2942</v>
      </c>
      <c r="E522" s="4">
        <v>710715.0</v>
      </c>
      <c r="F522" s="6">
        <v>1.0</v>
      </c>
      <c r="G522" s="4" t="s">
        <v>1021</v>
      </c>
      <c r="H522" s="4" t="s">
        <v>1021</v>
      </c>
      <c r="I522" s="4" t="s">
        <v>1021</v>
      </c>
      <c r="J522" s="4" t="str">
        <f t="shared" si="1"/>
        <v>황경미5635</v>
      </c>
      <c r="K522" s="3" t="str">
        <f t="shared" si="2"/>
        <v>중복</v>
      </c>
      <c r="L522" s="4">
        <v>35000.0</v>
      </c>
      <c r="M522" s="4">
        <v>70000.0</v>
      </c>
      <c r="N522" s="4">
        <v>35000.0</v>
      </c>
    </row>
    <row r="523">
      <c r="A523" s="6">
        <v>967.0</v>
      </c>
      <c r="B523" s="4" t="s">
        <v>1547</v>
      </c>
      <c r="C523" s="4" t="s">
        <v>2943</v>
      </c>
      <c r="D523" s="4" t="s">
        <v>2944</v>
      </c>
      <c r="E523" s="4">
        <v>741227.0</v>
      </c>
      <c r="F523" s="6">
        <v>1.0</v>
      </c>
      <c r="G523" s="4" t="s">
        <v>1021</v>
      </c>
      <c r="H523" s="4" t="s">
        <v>1021</v>
      </c>
      <c r="I523" s="4" t="s">
        <v>1021</v>
      </c>
      <c r="J523" s="4" t="str">
        <f t="shared" si="1"/>
        <v>황규동6218</v>
      </c>
      <c r="K523" s="3" t="str">
        <f t="shared" si="2"/>
        <v>중복</v>
      </c>
      <c r="L523" s="4">
        <v>35000.0</v>
      </c>
      <c r="M523" s="4">
        <v>70000.0</v>
      </c>
      <c r="N523" s="4">
        <v>35000.0</v>
      </c>
    </row>
    <row r="524">
      <c r="A524" s="6">
        <v>381.0</v>
      </c>
      <c r="B524" s="4" t="s">
        <v>1761</v>
      </c>
      <c r="C524" s="4" t="s">
        <v>2945</v>
      </c>
      <c r="D524" s="4" t="s">
        <v>2946</v>
      </c>
      <c r="E524" s="4">
        <v>651110.0</v>
      </c>
      <c r="F524" s="6">
        <v>1.0</v>
      </c>
      <c r="G524" s="4" t="s">
        <v>1021</v>
      </c>
      <c r="H524" s="4" t="s">
        <v>1021</v>
      </c>
      <c r="I524" s="4" t="s">
        <v>1021</v>
      </c>
      <c r="J524" s="4" t="str">
        <f t="shared" si="1"/>
        <v>황영숙7320</v>
      </c>
      <c r="K524" s="3" t="str">
        <f t="shared" si="2"/>
        <v>중복</v>
      </c>
      <c r="L524" s="4">
        <v>35000.0</v>
      </c>
      <c r="M524" s="4">
        <v>70000.0</v>
      </c>
      <c r="N524" s="4">
        <v>35000.0</v>
      </c>
    </row>
    <row r="525">
      <c r="A525" s="5">
        <v>1036.0</v>
      </c>
      <c r="B525" s="3" t="s">
        <v>1062</v>
      </c>
      <c r="C525" s="3" t="s">
        <v>1318</v>
      </c>
      <c r="D525" s="3" t="s">
        <v>2947</v>
      </c>
      <c r="E525" s="3">
        <v>681115.0</v>
      </c>
      <c r="F525" s="5">
        <v>1.0</v>
      </c>
      <c r="G525" s="3" t="s">
        <v>1021</v>
      </c>
      <c r="H525" s="3" t="s">
        <v>1021</v>
      </c>
      <c r="I525" s="3" t="s">
        <v>1021</v>
      </c>
      <c r="J525" s="4" t="str">
        <f t="shared" si="1"/>
        <v>황정임1814</v>
      </c>
      <c r="K525" s="3" t="str">
        <f t="shared" si="2"/>
        <v>중복</v>
      </c>
      <c r="L525" s="4">
        <v>35000.0</v>
      </c>
      <c r="M525" s="4">
        <v>70000.0</v>
      </c>
      <c r="N525" s="4">
        <v>35000.0</v>
      </c>
    </row>
    <row r="526">
      <c r="A526" s="6">
        <v>993.0</v>
      </c>
      <c r="B526" s="4" t="s">
        <v>1022</v>
      </c>
      <c r="C526" s="4" t="s">
        <v>2948</v>
      </c>
      <c r="D526" s="4" t="s">
        <v>2949</v>
      </c>
      <c r="E526" s="4">
        <v>530611.0</v>
      </c>
      <c r="F526" s="6">
        <v>1.0</v>
      </c>
      <c r="G526" s="4" t="s">
        <v>1021</v>
      </c>
      <c r="H526" s="4" t="s">
        <v>1021</v>
      </c>
      <c r="I526" s="4" t="s">
        <v>1021</v>
      </c>
      <c r="J526" s="4" t="str">
        <f t="shared" si="1"/>
        <v>강권종2013</v>
      </c>
      <c r="K526" s="3" t="str">
        <f t="shared" si="2"/>
        <v>정상</v>
      </c>
      <c r="L526" s="4">
        <v>35000.0</v>
      </c>
      <c r="M526" s="4">
        <v>35000.0</v>
      </c>
      <c r="N526" s="4">
        <v>0.0</v>
      </c>
    </row>
    <row r="527">
      <c r="A527" s="6">
        <v>1118.0</v>
      </c>
      <c r="B527" s="4" t="s">
        <v>1358</v>
      </c>
      <c r="C527" s="4" t="s">
        <v>2950</v>
      </c>
      <c r="D527" s="4" t="s">
        <v>2951</v>
      </c>
      <c r="E527" s="4">
        <v>580410.0</v>
      </c>
      <c r="F527" s="6">
        <v>1.0</v>
      </c>
      <c r="G527" s="4" t="s">
        <v>1021</v>
      </c>
      <c r="H527" s="4" t="s">
        <v>1021</v>
      </c>
      <c r="I527" s="4" t="s">
        <v>1021</v>
      </c>
      <c r="J527" s="4" t="str">
        <f t="shared" si="1"/>
        <v>강금옥4252</v>
      </c>
      <c r="K527" s="3" t="str">
        <f t="shared" si="2"/>
        <v>정상</v>
      </c>
      <c r="L527" s="4">
        <v>35000.0</v>
      </c>
      <c r="M527" s="4">
        <v>35000.0</v>
      </c>
      <c r="N527" s="4">
        <v>0.0</v>
      </c>
    </row>
    <row r="528">
      <c r="A528" s="6">
        <v>228.0</v>
      </c>
      <c r="B528" s="4" t="s">
        <v>1933</v>
      </c>
      <c r="C528" s="4" t="s">
        <v>2952</v>
      </c>
      <c r="D528" s="4" t="s">
        <v>2953</v>
      </c>
      <c r="E528" s="4">
        <v>590323.0</v>
      </c>
      <c r="F528" s="6">
        <v>1.0</v>
      </c>
      <c r="G528" s="4" t="s">
        <v>1021</v>
      </c>
      <c r="H528" s="4" t="s">
        <v>1021</v>
      </c>
      <c r="I528" s="4" t="s">
        <v>1021</v>
      </c>
      <c r="J528" s="4" t="str">
        <f t="shared" si="1"/>
        <v>강두연1222</v>
      </c>
      <c r="K528" s="3" t="str">
        <f t="shared" si="2"/>
        <v>정상</v>
      </c>
      <c r="L528" s="4">
        <v>35000.0</v>
      </c>
      <c r="M528" s="4">
        <v>35000.0</v>
      </c>
      <c r="N528" s="4">
        <v>0.0</v>
      </c>
    </row>
    <row r="529">
      <c r="A529" s="6">
        <v>530.0</v>
      </c>
      <c r="B529" s="4" t="s">
        <v>1789</v>
      </c>
      <c r="C529" s="4" t="s">
        <v>2954</v>
      </c>
      <c r="D529" s="4" t="s">
        <v>2955</v>
      </c>
      <c r="E529" s="4">
        <v>610330.0</v>
      </c>
      <c r="F529" s="6">
        <v>1.0</v>
      </c>
      <c r="G529" s="4" t="s">
        <v>1021</v>
      </c>
      <c r="H529" s="4" t="s">
        <v>1021</v>
      </c>
      <c r="I529" s="4" t="s">
        <v>1021</v>
      </c>
      <c r="J529" s="4" t="str">
        <f t="shared" si="1"/>
        <v>강민정0333</v>
      </c>
      <c r="K529" s="3" t="str">
        <f t="shared" si="2"/>
        <v>정상</v>
      </c>
      <c r="L529" s="4">
        <v>35000.0</v>
      </c>
      <c r="M529" s="4">
        <v>35000.0</v>
      </c>
      <c r="N529" s="4">
        <v>0.0</v>
      </c>
    </row>
    <row r="530">
      <c r="A530" s="5">
        <v>605.0</v>
      </c>
      <c r="B530" s="3" t="s">
        <v>1219</v>
      </c>
      <c r="C530" s="3" t="s">
        <v>2956</v>
      </c>
      <c r="D530" s="3" t="s">
        <v>2957</v>
      </c>
      <c r="E530" s="3">
        <v>660611.0</v>
      </c>
      <c r="F530" s="5">
        <v>1.0</v>
      </c>
      <c r="G530" s="3" t="s">
        <v>1021</v>
      </c>
      <c r="H530" s="3" t="s">
        <v>1021</v>
      </c>
      <c r="I530" s="3" t="s">
        <v>1021</v>
      </c>
      <c r="J530" s="4" t="str">
        <f t="shared" si="1"/>
        <v>최인숙2765</v>
      </c>
      <c r="K530" s="3" t="str">
        <f t="shared" si="2"/>
        <v>정상</v>
      </c>
      <c r="L530" s="4">
        <v>35000.0</v>
      </c>
      <c r="M530" s="4">
        <v>35000.0</v>
      </c>
      <c r="N530" s="4">
        <v>0.0</v>
      </c>
    </row>
    <row r="531">
      <c r="A531" s="6">
        <v>164.0</v>
      </c>
      <c r="B531" s="4" t="s">
        <v>1287</v>
      </c>
      <c r="C531" s="4" t="s">
        <v>2958</v>
      </c>
      <c r="D531" s="4" t="s">
        <v>2959</v>
      </c>
      <c r="E531" s="4">
        <v>700325.0</v>
      </c>
      <c r="F531" s="6">
        <v>1.0</v>
      </c>
      <c r="G531" s="4" t="s">
        <v>1021</v>
      </c>
      <c r="H531" s="4" t="s">
        <v>1021</v>
      </c>
      <c r="I531" s="4" t="s">
        <v>1021</v>
      </c>
      <c r="J531" s="4" t="str">
        <f t="shared" si="1"/>
        <v>강윤진3620</v>
      </c>
      <c r="K531" s="3" t="str">
        <f t="shared" si="2"/>
        <v>정상</v>
      </c>
      <c r="L531" s="4">
        <v>35000.0</v>
      </c>
      <c r="M531" s="4">
        <v>35000.0</v>
      </c>
      <c r="N531" s="4">
        <v>0.0</v>
      </c>
    </row>
    <row r="532">
      <c r="A532" s="5">
        <v>969.0</v>
      </c>
      <c r="B532" s="3" t="s">
        <v>1547</v>
      </c>
      <c r="C532" s="3" t="s">
        <v>2960</v>
      </c>
      <c r="D532" s="3" t="s">
        <v>2961</v>
      </c>
      <c r="E532" s="3">
        <v>580813.0</v>
      </c>
      <c r="F532" s="5">
        <v>1.0</v>
      </c>
      <c r="G532" s="3" t="s">
        <v>1021</v>
      </c>
      <c r="H532" s="3" t="s">
        <v>1021</v>
      </c>
      <c r="I532" s="3" t="s">
        <v>1021</v>
      </c>
      <c r="J532" s="4" t="str">
        <f t="shared" si="1"/>
        <v>강창숙5339</v>
      </c>
      <c r="K532" s="3" t="str">
        <f t="shared" si="2"/>
        <v>정상</v>
      </c>
      <c r="L532" s="4">
        <v>35000.0</v>
      </c>
      <c r="M532" s="4">
        <v>35000.0</v>
      </c>
      <c r="N532" s="4">
        <v>0.0</v>
      </c>
    </row>
    <row r="533">
      <c r="A533" s="5">
        <v>1032.0</v>
      </c>
      <c r="B533" s="3" t="s">
        <v>1062</v>
      </c>
      <c r="C533" s="3" t="s">
        <v>2962</v>
      </c>
      <c r="D533" s="3" t="s">
        <v>2963</v>
      </c>
      <c r="E533" s="3">
        <v>740119.0</v>
      </c>
      <c r="F533" s="5">
        <v>1.0</v>
      </c>
      <c r="G533" s="3" t="s">
        <v>1021</v>
      </c>
      <c r="H533" s="3" t="s">
        <v>1021</v>
      </c>
      <c r="I533" s="3" t="s">
        <v>1021</v>
      </c>
      <c r="J533" s="4" t="str">
        <f t="shared" si="1"/>
        <v>강철민6334</v>
      </c>
      <c r="K533" s="3" t="str">
        <f t="shared" si="2"/>
        <v>정상</v>
      </c>
      <c r="L533" s="4">
        <v>35000.0</v>
      </c>
      <c r="M533" s="4">
        <v>35000.0</v>
      </c>
      <c r="N533" s="4">
        <v>0.0</v>
      </c>
    </row>
    <row r="534">
      <c r="A534" s="5">
        <v>681.0</v>
      </c>
      <c r="B534" s="3" t="s">
        <v>1214</v>
      </c>
      <c r="C534" s="3" t="s">
        <v>2964</v>
      </c>
      <c r="D534" s="3" t="s">
        <v>2965</v>
      </c>
      <c r="E534" s="3">
        <v>641025.0</v>
      </c>
      <c r="F534" s="5">
        <v>1.0</v>
      </c>
      <c r="G534" s="3" t="s">
        <v>1021</v>
      </c>
      <c r="H534" s="3" t="s">
        <v>1021</v>
      </c>
      <c r="I534" s="3" t="s">
        <v>1021</v>
      </c>
      <c r="J534" s="4" t="str">
        <f t="shared" si="1"/>
        <v>강평애6138</v>
      </c>
      <c r="K534" s="3" t="str">
        <f t="shared" si="2"/>
        <v>정상</v>
      </c>
      <c r="L534" s="4">
        <v>35000.0</v>
      </c>
      <c r="M534" s="4">
        <v>35000.0</v>
      </c>
      <c r="N534" s="4">
        <v>0.0</v>
      </c>
    </row>
    <row r="535">
      <c r="A535" s="6">
        <v>309.0</v>
      </c>
      <c r="B535" s="4" t="s">
        <v>2123</v>
      </c>
      <c r="C535" s="4" t="s">
        <v>2966</v>
      </c>
      <c r="D535" s="4" t="s">
        <v>2967</v>
      </c>
      <c r="E535" s="4">
        <v>700815.0</v>
      </c>
      <c r="F535" s="6">
        <v>1.0</v>
      </c>
      <c r="G535" s="4" t="s">
        <v>1021</v>
      </c>
      <c r="H535" s="4" t="s">
        <v>1021</v>
      </c>
      <c r="I535" s="4" t="s">
        <v>1021</v>
      </c>
      <c r="J535" s="4" t="str">
        <f t="shared" si="1"/>
        <v>강향숙1335</v>
      </c>
      <c r="K535" s="3" t="str">
        <f t="shared" si="2"/>
        <v>정상</v>
      </c>
      <c r="L535" s="4">
        <v>35000.0</v>
      </c>
      <c r="M535" s="4">
        <v>35000.0</v>
      </c>
      <c r="N535" s="4">
        <v>0.0</v>
      </c>
    </row>
    <row r="536">
      <c r="A536" s="6">
        <v>1125.0</v>
      </c>
      <c r="B536" s="4" t="s">
        <v>1358</v>
      </c>
      <c r="C536" s="4" t="s">
        <v>2968</v>
      </c>
      <c r="D536" s="4" t="s">
        <v>2969</v>
      </c>
      <c r="E536" s="4">
        <v>991026.0</v>
      </c>
      <c r="F536" s="6">
        <v>1.0</v>
      </c>
      <c r="G536" s="4" t="s">
        <v>1021</v>
      </c>
      <c r="H536" s="4" t="s">
        <v>1021</v>
      </c>
      <c r="I536" s="4" t="s">
        <v>1021</v>
      </c>
      <c r="J536" s="4" t="str">
        <f t="shared" si="1"/>
        <v>강현수8943</v>
      </c>
      <c r="K536" s="3" t="str">
        <f t="shared" si="2"/>
        <v>정상</v>
      </c>
      <c r="L536" s="4">
        <v>35000.0</v>
      </c>
      <c r="M536" s="4">
        <v>35000.0</v>
      </c>
      <c r="N536" s="4">
        <v>0.0</v>
      </c>
    </row>
    <row r="537">
      <c r="A537" s="6">
        <v>936.0</v>
      </c>
      <c r="B537" s="4" t="s">
        <v>1523</v>
      </c>
      <c r="C537" s="4" t="s">
        <v>2970</v>
      </c>
      <c r="D537" s="4" t="s">
        <v>2971</v>
      </c>
      <c r="E537" s="4">
        <v>600118.0</v>
      </c>
      <c r="F537" s="6">
        <v>1.0</v>
      </c>
      <c r="G537" s="4" t="s">
        <v>1021</v>
      </c>
      <c r="H537" s="4" t="s">
        <v>1021</v>
      </c>
      <c r="I537" s="4" t="s">
        <v>1021</v>
      </c>
      <c r="J537" s="4" t="str">
        <f t="shared" si="1"/>
        <v>강혜선4230</v>
      </c>
      <c r="K537" s="3" t="str">
        <f t="shared" si="2"/>
        <v>정상</v>
      </c>
      <c r="L537" s="4">
        <v>35000.0</v>
      </c>
      <c r="M537" s="4">
        <v>35000.0</v>
      </c>
      <c r="N537" s="4">
        <v>0.0</v>
      </c>
    </row>
    <row r="538">
      <c r="A538" s="5">
        <v>363.0</v>
      </c>
      <c r="B538" s="3" t="s">
        <v>1086</v>
      </c>
      <c r="C538" s="3" t="s">
        <v>2972</v>
      </c>
      <c r="D538" s="3" t="s">
        <v>2973</v>
      </c>
      <c r="E538" s="3">
        <v>590216.0</v>
      </c>
      <c r="F538" s="5">
        <v>1.0</v>
      </c>
      <c r="G538" s="3" t="s">
        <v>1021</v>
      </c>
      <c r="H538" s="3" t="s">
        <v>1021</v>
      </c>
      <c r="I538" s="3" t="s">
        <v>1021</v>
      </c>
      <c r="J538" s="4" t="str">
        <f t="shared" si="1"/>
        <v>강회숙9464</v>
      </c>
      <c r="K538" s="3" t="str">
        <f t="shared" si="2"/>
        <v>정상</v>
      </c>
      <c r="L538" s="4">
        <v>35000.0</v>
      </c>
      <c r="M538" s="4">
        <v>35000.0</v>
      </c>
      <c r="N538" s="4">
        <v>0.0</v>
      </c>
    </row>
    <row r="539">
      <c r="A539" s="6">
        <v>248.0</v>
      </c>
      <c r="B539" s="4" t="s">
        <v>1410</v>
      </c>
      <c r="C539" s="4" t="s">
        <v>2974</v>
      </c>
      <c r="D539" s="4" t="s">
        <v>2975</v>
      </c>
      <c r="E539" s="4">
        <v>550729.0</v>
      </c>
      <c r="F539" s="6">
        <v>1.0</v>
      </c>
      <c r="G539" s="4" t="s">
        <v>1021</v>
      </c>
      <c r="H539" s="4" t="s">
        <v>1021</v>
      </c>
      <c r="I539" s="4" t="s">
        <v>1021</v>
      </c>
      <c r="J539" s="4" t="str">
        <f t="shared" si="1"/>
        <v>강효란2399</v>
      </c>
      <c r="K539" s="3" t="str">
        <f t="shared" si="2"/>
        <v>정상</v>
      </c>
      <c r="L539" s="4">
        <v>35000.0</v>
      </c>
      <c r="M539" s="4">
        <v>35000.0</v>
      </c>
      <c r="N539" s="4">
        <v>0.0</v>
      </c>
    </row>
    <row r="540">
      <c r="A540" s="6">
        <v>707.0</v>
      </c>
      <c r="B540" s="4" t="s">
        <v>2078</v>
      </c>
      <c r="C540" s="4" t="s">
        <v>2976</v>
      </c>
      <c r="D540" s="4" t="s">
        <v>2977</v>
      </c>
      <c r="E540" s="4">
        <v>761029.0</v>
      </c>
      <c r="F540" s="6">
        <v>1.0</v>
      </c>
      <c r="G540" s="4" t="s">
        <v>1021</v>
      </c>
      <c r="H540" s="4" t="s">
        <v>1021</v>
      </c>
      <c r="I540" s="4" t="s">
        <v>1021</v>
      </c>
      <c r="J540" s="4" t="str">
        <f t="shared" si="1"/>
        <v>강효승2597</v>
      </c>
      <c r="K540" s="3" t="str">
        <f t="shared" si="2"/>
        <v>정상</v>
      </c>
      <c r="L540" s="4">
        <v>35000.0</v>
      </c>
      <c r="M540" s="4">
        <v>35000.0</v>
      </c>
      <c r="N540" s="4">
        <v>0.0</v>
      </c>
    </row>
    <row r="541">
      <c r="A541" s="6">
        <v>323.0</v>
      </c>
      <c r="B541" s="4" t="s">
        <v>1322</v>
      </c>
      <c r="C541" s="4" t="s">
        <v>2978</v>
      </c>
      <c r="D541" s="4" t="s">
        <v>2979</v>
      </c>
      <c r="E541" s="4">
        <v>650416.0</v>
      </c>
      <c r="F541" s="6">
        <v>1.0</v>
      </c>
      <c r="G541" s="4" t="s">
        <v>1021</v>
      </c>
      <c r="H541" s="4" t="s">
        <v>1021</v>
      </c>
      <c r="I541" s="4" t="s">
        <v>1021</v>
      </c>
      <c r="J541" s="4" t="str">
        <f t="shared" si="1"/>
        <v>고경숙5566</v>
      </c>
      <c r="K541" s="3" t="str">
        <f t="shared" si="2"/>
        <v>정상</v>
      </c>
      <c r="L541" s="4">
        <v>35000.0</v>
      </c>
      <c r="M541" s="4">
        <v>35000.0</v>
      </c>
      <c r="N541" s="4">
        <v>0.0</v>
      </c>
    </row>
    <row r="542">
      <c r="A542" s="5">
        <v>638.0</v>
      </c>
      <c r="B542" s="3" t="s">
        <v>1007</v>
      </c>
      <c r="C542" s="3" t="s">
        <v>2980</v>
      </c>
      <c r="D542" s="3" t="s">
        <v>2981</v>
      </c>
      <c r="E542" s="3">
        <v>740904.0</v>
      </c>
      <c r="F542" s="5">
        <v>1.0</v>
      </c>
      <c r="G542" s="3" t="s">
        <v>1021</v>
      </c>
      <c r="H542" s="3" t="s">
        <v>1021</v>
      </c>
      <c r="I542" s="3" t="s">
        <v>1021</v>
      </c>
      <c r="J542" s="4" t="str">
        <f t="shared" si="1"/>
        <v>고은주7534</v>
      </c>
      <c r="K542" s="3" t="str">
        <f t="shared" si="2"/>
        <v>정상</v>
      </c>
      <c r="L542" s="4">
        <v>35000.0</v>
      </c>
      <c r="M542" s="4">
        <v>35000.0</v>
      </c>
      <c r="N542" s="4">
        <v>0.0</v>
      </c>
    </row>
    <row r="543">
      <c r="A543" s="6">
        <v>393.0</v>
      </c>
      <c r="B543" s="4" t="s">
        <v>1317</v>
      </c>
      <c r="C543" s="4" t="s">
        <v>2982</v>
      </c>
      <c r="D543" s="4" t="s">
        <v>2983</v>
      </c>
      <c r="E543" s="4">
        <v>791129.0</v>
      </c>
      <c r="F543" s="6">
        <v>1.0</v>
      </c>
      <c r="G543" s="4" t="s">
        <v>1021</v>
      </c>
      <c r="H543" s="4" t="s">
        <v>1021</v>
      </c>
      <c r="I543" s="4" t="s">
        <v>1021</v>
      </c>
      <c r="J543" s="4" t="str">
        <f t="shared" si="1"/>
        <v>곽소영5074</v>
      </c>
      <c r="K543" s="3" t="str">
        <f t="shared" si="2"/>
        <v>정상</v>
      </c>
      <c r="L543" s="4">
        <v>35000.0</v>
      </c>
      <c r="M543" s="4">
        <v>35000.0</v>
      </c>
      <c r="N543" s="4">
        <v>0.0</v>
      </c>
    </row>
    <row r="544">
      <c r="A544" s="5">
        <v>963.0</v>
      </c>
      <c r="B544" s="3" t="s">
        <v>1547</v>
      </c>
      <c r="C544" s="3" t="s">
        <v>2984</v>
      </c>
      <c r="D544" s="3" t="s">
        <v>2985</v>
      </c>
      <c r="E544" s="3">
        <v>530929.0</v>
      </c>
      <c r="F544" s="5">
        <v>1.0</v>
      </c>
      <c r="G544" s="3" t="s">
        <v>1021</v>
      </c>
      <c r="H544" s="3" t="s">
        <v>1021</v>
      </c>
      <c r="I544" s="3" t="s">
        <v>1021</v>
      </c>
      <c r="J544" s="4" t="str">
        <f t="shared" si="1"/>
        <v>곽순영4559</v>
      </c>
      <c r="K544" s="3" t="str">
        <f t="shared" si="2"/>
        <v>정상</v>
      </c>
      <c r="L544" s="4">
        <v>35000.0</v>
      </c>
      <c r="M544" s="4">
        <v>35000.0</v>
      </c>
      <c r="N544" s="4">
        <v>0.0</v>
      </c>
    </row>
    <row r="545">
      <c r="A545" s="6">
        <v>749.0</v>
      </c>
      <c r="B545" s="4" t="s">
        <v>1704</v>
      </c>
      <c r="C545" s="4" t="s">
        <v>2986</v>
      </c>
      <c r="D545" s="4" t="s">
        <v>2987</v>
      </c>
      <c r="E545" s="4">
        <v>461101.0</v>
      </c>
      <c r="F545" s="6">
        <v>1.0</v>
      </c>
      <c r="G545" s="4" t="s">
        <v>1021</v>
      </c>
      <c r="H545" s="4" t="s">
        <v>1021</v>
      </c>
      <c r="I545" s="4" t="s">
        <v>1021</v>
      </c>
      <c r="J545" s="4" t="str">
        <f t="shared" si="1"/>
        <v>구명숙1447</v>
      </c>
      <c r="K545" s="3" t="str">
        <f t="shared" si="2"/>
        <v>정상</v>
      </c>
      <c r="L545" s="4">
        <v>35000.0</v>
      </c>
      <c r="M545" s="4">
        <v>35000.0</v>
      </c>
      <c r="N545" s="4">
        <v>0.0</v>
      </c>
    </row>
    <row r="546">
      <c r="A546" s="6">
        <v>879.0</v>
      </c>
      <c r="B546" s="4" t="s">
        <v>1621</v>
      </c>
      <c r="C546" s="4" t="s">
        <v>2988</v>
      </c>
      <c r="D546" s="4" t="s">
        <v>2989</v>
      </c>
      <c r="E546" s="4">
        <v>561012.0</v>
      </c>
      <c r="F546" s="6">
        <v>1.0</v>
      </c>
      <c r="G546" s="4" t="s">
        <v>1021</v>
      </c>
      <c r="H546" s="4" t="s">
        <v>1021</v>
      </c>
      <c r="I546" s="4" t="s">
        <v>1021</v>
      </c>
      <c r="J546" s="4" t="str">
        <f t="shared" si="1"/>
        <v>구본순8367</v>
      </c>
      <c r="K546" s="3" t="str">
        <f t="shared" si="2"/>
        <v>정상</v>
      </c>
      <c r="L546" s="4">
        <v>35000.0</v>
      </c>
      <c r="M546" s="4">
        <v>35000.0</v>
      </c>
      <c r="N546" s="4">
        <v>0.0</v>
      </c>
    </row>
    <row r="547">
      <c r="A547" s="5">
        <v>618.0</v>
      </c>
      <c r="B547" s="3" t="s">
        <v>1662</v>
      </c>
      <c r="C547" s="3" t="s">
        <v>2990</v>
      </c>
      <c r="D547" s="3" t="s">
        <v>2991</v>
      </c>
      <c r="E547" s="3">
        <v>581026.0</v>
      </c>
      <c r="F547" s="5">
        <v>1.0</v>
      </c>
      <c r="G547" s="3" t="s">
        <v>1021</v>
      </c>
      <c r="H547" s="3" t="s">
        <v>1021</v>
      </c>
      <c r="I547" s="3" t="s">
        <v>1021</v>
      </c>
      <c r="J547" s="4" t="str">
        <f t="shared" si="1"/>
        <v>권나희1900</v>
      </c>
      <c r="K547" s="3" t="str">
        <f t="shared" si="2"/>
        <v>정상</v>
      </c>
      <c r="L547" s="4">
        <v>35000.0</v>
      </c>
      <c r="M547" s="4">
        <v>35000.0</v>
      </c>
      <c r="N547" s="4">
        <v>0.0</v>
      </c>
    </row>
    <row r="548">
      <c r="A548" s="6">
        <v>679.0</v>
      </c>
      <c r="B548" s="4" t="s">
        <v>1214</v>
      </c>
      <c r="C548" s="4" t="s">
        <v>2992</v>
      </c>
      <c r="D548" s="4" t="s">
        <v>2993</v>
      </c>
      <c r="E548" s="4">
        <v>560103.0</v>
      </c>
      <c r="F548" s="6">
        <v>1.0</v>
      </c>
      <c r="G548" s="4" t="s">
        <v>1021</v>
      </c>
      <c r="H548" s="4" t="s">
        <v>1021</v>
      </c>
      <c r="I548" s="4" t="s">
        <v>1021</v>
      </c>
      <c r="J548" s="4" t="str">
        <f t="shared" si="1"/>
        <v>권순모1100</v>
      </c>
      <c r="K548" s="3" t="str">
        <f t="shared" si="2"/>
        <v>정상</v>
      </c>
      <c r="L548" s="4">
        <v>35000.0</v>
      </c>
      <c r="M548" s="4">
        <v>35000.0</v>
      </c>
      <c r="N548" s="4">
        <v>0.0</v>
      </c>
    </row>
    <row r="549">
      <c r="A549" s="6">
        <v>175.0</v>
      </c>
      <c r="B549" s="4" t="s">
        <v>1250</v>
      </c>
      <c r="C549" s="4" t="s">
        <v>2994</v>
      </c>
      <c r="D549" s="4" t="s">
        <v>2995</v>
      </c>
      <c r="E549" s="4">
        <v>620114.0</v>
      </c>
      <c r="F549" s="6">
        <v>1.0</v>
      </c>
      <c r="G549" s="4" t="s">
        <v>1021</v>
      </c>
      <c r="H549" s="4" t="s">
        <v>1021</v>
      </c>
      <c r="I549" s="4" t="s">
        <v>1021</v>
      </c>
      <c r="J549" s="4" t="str">
        <f t="shared" si="1"/>
        <v>권승용3962</v>
      </c>
      <c r="K549" s="3" t="str">
        <f t="shared" si="2"/>
        <v>정상</v>
      </c>
      <c r="L549" s="4">
        <v>35000.0</v>
      </c>
      <c r="M549" s="4">
        <v>35000.0</v>
      </c>
      <c r="N549" s="4">
        <v>0.0</v>
      </c>
    </row>
    <row r="550">
      <c r="A550" s="6">
        <v>203.0</v>
      </c>
      <c r="B550" s="4" t="s">
        <v>1109</v>
      </c>
      <c r="C550" s="4" t="s">
        <v>2996</v>
      </c>
      <c r="D550" s="4" t="s">
        <v>2997</v>
      </c>
      <c r="E550" s="4">
        <v>570714.0</v>
      </c>
      <c r="F550" s="6">
        <v>1.0</v>
      </c>
      <c r="G550" s="4" t="s">
        <v>1021</v>
      </c>
      <c r="H550" s="4" t="s">
        <v>1021</v>
      </c>
      <c r="I550" s="4" t="s">
        <v>1021</v>
      </c>
      <c r="J550" s="4" t="str">
        <f t="shared" si="1"/>
        <v>권영숙6708</v>
      </c>
      <c r="K550" s="3" t="str">
        <f t="shared" si="2"/>
        <v>정상</v>
      </c>
      <c r="L550" s="4">
        <v>35000.0</v>
      </c>
      <c r="M550" s="4">
        <v>35000.0</v>
      </c>
      <c r="N550" s="4">
        <v>0.0</v>
      </c>
    </row>
    <row r="551">
      <c r="A551" s="6">
        <v>861.0</v>
      </c>
      <c r="B551" s="4" t="s">
        <v>1119</v>
      </c>
      <c r="C551" s="4" t="s">
        <v>2996</v>
      </c>
      <c r="D551" s="4" t="s">
        <v>2998</v>
      </c>
      <c r="E551" s="4">
        <v>640307.0</v>
      </c>
      <c r="F551" s="6">
        <v>1.0</v>
      </c>
      <c r="G551" s="4" t="s">
        <v>1021</v>
      </c>
      <c r="H551" s="4" t="s">
        <v>1021</v>
      </c>
      <c r="I551" s="4" t="s">
        <v>1021</v>
      </c>
      <c r="J551" s="4" t="str">
        <f t="shared" si="1"/>
        <v>권영숙9657</v>
      </c>
      <c r="K551" s="3" t="str">
        <f t="shared" si="2"/>
        <v>정상</v>
      </c>
      <c r="L551" s="4">
        <v>35000.0</v>
      </c>
      <c r="M551" s="4">
        <v>35000.0</v>
      </c>
      <c r="N551" s="4">
        <v>0.0</v>
      </c>
    </row>
    <row r="552">
      <c r="A552" s="6">
        <v>177.0</v>
      </c>
      <c r="B552" s="4" t="s">
        <v>1250</v>
      </c>
      <c r="C552" s="4" t="s">
        <v>2999</v>
      </c>
      <c r="D552" s="4" t="s">
        <v>3000</v>
      </c>
      <c r="E552" s="4">
        <v>520108.0</v>
      </c>
      <c r="F552" s="6">
        <v>1.0</v>
      </c>
      <c r="G552" s="4" t="s">
        <v>1021</v>
      </c>
      <c r="H552" s="4" t="s">
        <v>1021</v>
      </c>
      <c r="I552" s="4" t="s">
        <v>1021</v>
      </c>
      <c r="J552" s="4" t="str">
        <f t="shared" si="1"/>
        <v>권점순3662</v>
      </c>
      <c r="K552" s="3" t="str">
        <f t="shared" si="2"/>
        <v>정상</v>
      </c>
      <c r="L552" s="4">
        <v>35000.0</v>
      </c>
      <c r="M552" s="4">
        <v>35000.0</v>
      </c>
      <c r="N552" s="4">
        <v>0.0</v>
      </c>
    </row>
    <row r="553">
      <c r="A553" s="6">
        <v>1035.0</v>
      </c>
      <c r="B553" s="4" t="s">
        <v>1062</v>
      </c>
      <c r="C553" s="4" t="s">
        <v>3001</v>
      </c>
      <c r="D553" s="4" t="s">
        <v>3002</v>
      </c>
      <c r="E553" s="4">
        <v>650225.0</v>
      </c>
      <c r="F553" s="6">
        <v>1.0</v>
      </c>
      <c r="G553" s="4" t="s">
        <v>1021</v>
      </c>
      <c r="H553" s="4" t="s">
        <v>1021</v>
      </c>
      <c r="I553" s="4" t="s">
        <v>1021</v>
      </c>
      <c r="J553" s="4" t="str">
        <f t="shared" si="1"/>
        <v>권정기0733</v>
      </c>
      <c r="K553" s="3" t="str">
        <f t="shared" si="2"/>
        <v>정상</v>
      </c>
      <c r="L553" s="4">
        <v>35000.0</v>
      </c>
      <c r="M553" s="4">
        <v>35000.0</v>
      </c>
      <c r="N553" s="4">
        <v>0.0</v>
      </c>
    </row>
    <row r="554">
      <c r="A554" s="5">
        <v>423.0</v>
      </c>
      <c r="B554" s="3" t="s">
        <v>1037</v>
      </c>
      <c r="C554" s="3" t="s">
        <v>3003</v>
      </c>
      <c r="D554" s="3" t="s">
        <v>3004</v>
      </c>
      <c r="E554" s="3">
        <v>740301.0</v>
      </c>
      <c r="F554" s="5">
        <v>1.0</v>
      </c>
      <c r="G554" s="3" t="s">
        <v>1021</v>
      </c>
      <c r="H554" s="3" t="s">
        <v>1021</v>
      </c>
      <c r="I554" s="3" t="s">
        <v>1021</v>
      </c>
      <c r="J554" s="4" t="str">
        <f t="shared" si="1"/>
        <v>권현경9045</v>
      </c>
      <c r="K554" s="3" t="str">
        <f t="shared" si="2"/>
        <v>정상</v>
      </c>
      <c r="L554" s="4">
        <v>35000.0</v>
      </c>
      <c r="M554" s="4">
        <v>35000.0</v>
      </c>
      <c r="N554" s="4">
        <v>0.0</v>
      </c>
    </row>
    <row r="555">
      <c r="A555" s="6">
        <v>552.0</v>
      </c>
      <c r="B555" s="4" t="s">
        <v>1170</v>
      </c>
      <c r="C555" s="4" t="s">
        <v>3005</v>
      </c>
      <c r="D555" s="4" t="s">
        <v>3006</v>
      </c>
      <c r="E555" s="4">
        <v>590605.0</v>
      </c>
      <c r="F555" s="6">
        <v>1.0</v>
      </c>
      <c r="G555" s="4" t="s">
        <v>1021</v>
      </c>
      <c r="H555" s="4" t="s">
        <v>1021</v>
      </c>
      <c r="I555" s="4" t="s">
        <v>1021</v>
      </c>
      <c r="J555" s="4" t="str">
        <f t="shared" si="1"/>
        <v>권혜경4492</v>
      </c>
      <c r="K555" s="3" t="str">
        <f t="shared" si="2"/>
        <v>정상</v>
      </c>
      <c r="L555" s="4">
        <v>35000.0</v>
      </c>
      <c r="M555" s="4">
        <v>35000.0</v>
      </c>
      <c r="N555" s="4">
        <v>0.0</v>
      </c>
    </row>
    <row r="556">
      <c r="A556" s="6">
        <v>837.0</v>
      </c>
      <c r="B556" s="4" t="s">
        <v>1588</v>
      </c>
      <c r="C556" s="4" t="s">
        <v>3007</v>
      </c>
      <c r="D556" s="4" t="s">
        <v>3008</v>
      </c>
      <c r="E556" s="4">
        <v>620430.0</v>
      </c>
      <c r="F556" s="6">
        <v>1.0</v>
      </c>
      <c r="G556" s="4" t="s">
        <v>1021</v>
      </c>
      <c r="H556" s="4" t="s">
        <v>1021</v>
      </c>
      <c r="I556" s="4" t="s">
        <v>1021</v>
      </c>
      <c r="J556" s="4" t="str">
        <f t="shared" si="1"/>
        <v>권혜주7104</v>
      </c>
      <c r="K556" s="3" t="str">
        <f t="shared" si="2"/>
        <v>정상</v>
      </c>
      <c r="L556" s="4">
        <v>35000.0</v>
      </c>
      <c r="M556" s="4">
        <v>35000.0</v>
      </c>
      <c r="N556" s="4">
        <v>0.0</v>
      </c>
    </row>
    <row r="557">
      <c r="A557" s="6">
        <v>615.0</v>
      </c>
      <c r="B557" s="4" t="s">
        <v>1662</v>
      </c>
      <c r="C557" s="4" t="s">
        <v>3009</v>
      </c>
      <c r="D557" s="4" t="s">
        <v>3010</v>
      </c>
      <c r="E557" s="4">
        <v>680221.0</v>
      </c>
      <c r="F557" s="6">
        <v>1.0</v>
      </c>
      <c r="G557" s="4" t="s">
        <v>1021</v>
      </c>
      <c r="H557" s="4" t="s">
        <v>1021</v>
      </c>
      <c r="I557" s="4" t="s">
        <v>1021</v>
      </c>
      <c r="J557" s="4" t="str">
        <f t="shared" si="1"/>
        <v>권호정3047</v>
      </c>
      <c r="K557" s="3" t="str">
        <f t="shared" si="2"/>
        <v>정상</v>
      </c>
      <c r="L557" s="4">
        <v>35000.0</v>
      </c>
      <c r="M557" s="4">
        <v>35000.0</v>
      </c>
      <c r="N557" s="4">
        <v>0.0</v>
      </c>
    </row>
    <row r="558">
      <c r="A558" s="6">
        <v>448.0</v>
      </c>
      <c r="B558" s="4" t="s">
        <v>1626</v>
      </c>
      <c r="C558" s="4" t="s">
        <v>3011</v>
      </c>
      <c r="D558" s="4" t="s">
        <v>3012</v>
      </c>
      <c r="E558" s="4">
        <v>701115.0</v>
      </c>
      <c r="F558" s="6">
        <v>1.0</v>
      </c>
      <c r="G558" s="4" t="s">
        <v>1021</v>
      </c>
      <c r="H558" s="4" t="s">
        <v>1021</v>
      </c>
      <c r="I558" s="4" t="s">
        <v>1021</v>
      </c>
      <c r="J558" s="4" t="str">
        <f t="shared" si="1"/>
        <v>기정연5480</v>
      </c>
      <c r="K558" s="3" t="str">
        <f t="shared" si="2"/>
        <v>정상</v>
      </c>
      <c r="L558" s="4">
        <v>35000.0</v>
      </c>
      <c r="M558" s="4">
        <v>35000.0</v>
      </c>
      <c r="N558" s="4">
        <v>0.0</v>
      </c>
    </row>
    <row r="559">
      <c r="A559" s="6">
        <v>235.0</v>
      </c>
      <c r="B559" s="4" t="s">
        <v>1933</v>
      </c>
      <c r="C559" s="4" t="s">
        <v>1925</v>
      </c>
      <c r="D559" s="4" t="s">
        <v>3013</v>
      </c>
      <c r="E559" s="4">
        <v>660918.0</v>
      </c>
      <c r="F559" s="6">
        <v>1.0</v>
      </c>
      <c r="G559" s="4" t="s">
        <v>1021</v>
      </c>
      <c r="H559" s="4" t="s">
        <v>1021</v>
      </c>
      <c r="I559" s="4" t="s">
        <v>1021</v>
      </c>
      <c r="J559" s="4" t="str">
        <f t="shared" si="1"/>
        <v>김가연2997</v>
      </c>
      <c r="K559" s="3" t="str">
        <f t="shared" si="2"/>
        <v>정상</v>
      </c>
      <c r="L559" s="4">
        <v>35000.0</v>
      </c>
      <c r="M559" s="4">
        <v>35000.0</v>
      </c>
      <c r="N559" s="4">
        <v>0.0</v>
      </c>
    </row>
    <row r="560">
      <c r="A560" s="5">
        <v>767.0</v>
      </c>
      <c r="B560" s="3" t="s">
        <v>1292</v>
      </c>
      <c r="C560" s="3" t="s">
        <v>3014</v>
      </c>
      <c r="D560" s="3" t="s">
        <v>3015</v>
      </c>
      <c r="E560" s="3">
        <v>631225.0</v>
      </c>
      <c r="F560" s="5">
        <v>1.0</v>
      </c>
      <c r="G560" s="3" t="s">
        <v>1021</v>
      </c>
      <c r="H560" s="3" t="s">
        <v>1021</v>
      </c>
      <c r="I560" s="3" t="s">
        <v>1021</v>
      </c>
      <c r="J560" s="4" t="str">
        <f t="shared" si="1"/>
        <v>김경란6312</v>
      </c>
      <c r="K560" s="3" t="str">
        <f t="shared" si="2"/>
        <v>정상</v>
      </c>
      <c r="L560" s="4">
        <v>35000.0</v>
      </c>
      <c r="M560" s="4">
        <v>35000.0</v>
      </c>
      <c r="N560" s="4">
        <v>0.0</v>
      </c>
    </row>
    <row r="561">
      <c r="A561" s="6">
        <v>256.0</v>
      </c>
      <c r="B561" s="4" t="s">
        <v>1160</v>
      </c>
      <c r="C561" s="4" t="s">
        <v>1235</v>
      </c>
      <c r="D561" s="4" t="s">
        <v>3016</v>
      </c>
      <c r="E561" s="4">
        <v>691025.0</v>
      </c>
      <c r="F561" s="6">
        <v>1.0</v>
      </c>
      <c r="G561" s="4" t="s">
        <v>1021</v>
      </c>
      <c r="H561" s="4" t="s">
        <v>1021</v>
      </c>
      <c r="I561" s="4" t="s">
        <v>1021</v>
      </c>
      <c r="J561" s="4" t="str">
        <f t="shared" si="1"/>
        <v>김경숙3178</v>
      </c>
      <c r="K561" s="3" t="str">
        <f t="shared" si="2"/>
        <v>정상</v>
      </c>
      <c r="L561" s="4">
        <v>35000.0</v>
      </c>
      <c r="M561" s="4">
        <v>35000.0</v>
      </c>
      <c r="N561" s="4">
        <v>0.0</v>
      </c>
    </row>
    <row r="562">
      <c r="A562" s="6">
        <v>296.0</v>
      </c>
      <c r="B562" s="4" t="s">
        <v>1304</v>
      </c>
      <c r="C562" s="4" t="s">
        <v>1235</v>
      </c>
      <c r="D562" s="4" t="s">
        <v>3017</v>
      </c>
      <c r="E562" s="4">
        <v>631013.0</v>
      </c>
      <c r="F562" s="6">
        <v>1.0</v>
      </c>
      <c r="G562" s="4" t="s">
        <v>1021</v>
      </c>
      <c r="H562" s="4" t="s">
        <v>1021</v>
      </c>
      <c r="I562" s="4" t="s">
        <v>1021</v>
      </c>
      <c r="J562" s="4" t="str">
        <f t="shared" si="1"/>
        <v>김경숙9191</v>
      </c>
      <c r="K562" s="3" t="str">
        <f t="shared" si="2"/>
        <v>정상</v>
      </c>
      <c r="L562" s="4">
        <v>35000.0</v>
      </c>
      <c r="M562" s="4">
        <v>35000.0</v>
      </c>
      <c r="N562" s="4">
        <v>0.0</v>
      </c>
    </row>
    <row r="563">
      <c r="A563" s="6">
        <v>355.0</v>
      </c>
      <c r="B563" s="4" t="s">
        <v>1032</v>
      </c>
      <c r="C563" s="4" t="s">
        <v>3018</v>
      </c>
      <c r="D563" s="4" t="s">
        <v>3019</v>
      </c>
      <c r="E563" s="4">
        <v>610510.0</v>
      </c>
      <c r="F563" s="6">
        <v>1.0</v>
      </c>
      <c r="G563" s="4" t="s">
        <v>1021</v>
      </c>
      <c r="H563" s="4" t="s">
        <v>1021</v>
      </c>
      <c r="I563" s="4" t="s">
        <v>1021</v>
      </c>
      <c r="J563" s="4" t="str">
        <f t="shared" si="1"/>
        <v>김경은3829</v>
      </c>
      <c r="K563" s="3" t="str">
        <f t="shared" si="2"/>
        <v>정상</v>
      </c>
      <c r="L563" s="4">
        <v>35000.0</v>
      </c>
      <c r="M563" s="4">
        <v>35000.0</v>
      </c>
      <c r="N563" s="4">
        <v>0.0</v>
      </c>
    </row>
    <row r="564">
      <c r="A564" s="6">
        <v>1141.0</v>
      </c>
      <c r="B564" s="4" t="s">
        <v>1165</v>
      </c>
      <c r="C564" s="4" t="s">
        <v>2630</v>
      </c>
      <c r="D564" s="4" t="s">
        <v>3020</v>
      </c>
      <c r="E564" s="4">
        <v>720128.0</v>
      </c>
      <c r="F564" s="6">
        <v>1.0</v>
      </c>
      <c r="G564" s="4" t="s">
        <v>1021</v>
      </c>
      <c r="H564" s="4" t="s">
        <v>1021</v>
      </c>
      <c r="I564" s="4" t="s">
        <v>1021</v>
      </c>
      <c r="J564" s="4" t="str">
        <f t="shared" si="1"/>
        <v>김경희1065</v>
      </c>
      <c r="K564" s="3" t="str">
        <f t="shared" si="2"/>
        <v>정상</v>
      </c>
      <c r="L564" s="4">
        <v>35000.0</v>
      </c>
      <c r="M564" s="4">
        <v>35000.0</v>
      </c>
      <c r="N564" s="4">
        <v>0.0</v>
      </c>
    </row>
    <row r="565">
      <c r="A565" s="6">
        <v>770.0</v>
      </c>
      <c r="B565" s="4" t="s">
        <v>1292</v>
      </c>
      <c r="C565" s="4" t="s">
        <v>3021</v>
      </c>
      <c r="D565" s="4" t="s">
        <v>3022</v>
      </c>
      <c r="E565" s="4">
        <v>600327.0</v>
      </c>
      <c r="F565" s="6">
        <v>1.0</v>
      </c>
      <c r="G565" s="4" t="s">
        <v>1021</v>
      </c>
      <c r="H565" s="4" t="s">
        <v>1021</v>
      </c>
      <c r="I565" s="4" t="s">
        <v>1021</v>
      </c>
      <c r="J565" s="4" t="str">
        <f t="shared" si="1"/>
        <v>김고은7622</v>
      </c>
      <c r="K565" s="3" t="str">
        <f t="shared" si="2"/>
        <v>정상</v>
      </c>
      <c r="L565" s="4">
        <v>35000.0</v>
      </c>
      <c r="M565" s="4">
        <v>35000.0</v>
      </c>
      <c r="N565" s="4">
        <v>0.0</v>
      </c>
    </row>
    <row r="566">
      <c r="A566" s="6">
        <v>911.0</v>
      </c>
      <c r="B566" s="4" t="s">
        <v>1872</v>
      </c>
      <c r="C566" s="4" t="s">
        <v>2626</v>
      </c>
      <c r="D566" s="4" t="s">
        <v>3023</v>
      </c>
      <c r="E566" s="4">
        <v>561220.0</v>
      </c>
      <c r="F566" s="6">
        <v>1.0</v>
      </c>
      <c r="G566" s="4" t="s">
        <v>1021</v>
      </c>
      <c r="H566" s="4" t="s">
        <v>1021</v>
      </c>
      <c r="I566" s="4" t="s">
        <v>1021</v>
      </c>
      <c r="J566" s="4" t="str">
        <f t="shared" si="1"/>
        <v>김규리9577</v>
      </c>
      <c r="K566" s="3" t="str">
        <f t="shared" si="2"/>
        <v>정상</v>
      </c>
      <c r="L566" s="4">
        <v>35000.0</v>
      </c>
      <c r="M566" s="4">
        <v>35000.0</v>
      </c>
      <c r="N566" s="4">
        <v>0.0</v>
      </c>
    </row>
    <row r="567">
      <c r="A567" s="5">
        <v>1089.0</v>
      </c>
      <c r="B567" s="3" t="s">
        <v>1137</v>
      </c>
      <c r="C567" s="3" t="s">
        <v>2622</v>
      </c>
      <c r="D567" s="3" t="s">
        <v>3024</v>
      </c>
      <c r="E567" s="3">
        <v>610211.0</v>
      </c>
      <c r="F567" s="5">
        <v>1.0</v>
      </c>
      <c r="G567" s="3" t="s">
        <v>1021</v>
      </c>
      <c r="H567" s="3" t="s">
        <v>1021</v>
      </c>
      <c r="I567" s="3" t="s">
        <v>1021</v>
      </c>
      <c r="J567" s="4" t="str">
        <f t="shared" si="1"/>
        <v>김금순1724</v>
      </c>
      <c r="K567" s="3" t="str">
        <f t="shared" si="2"/>
        <v>정상</v>
      </c>
      <c r="L567" s="4">
        <v>35000.0</v>
      </c>
      <c r="M567" s="4">
        <v>35000.0</v>
      </c>
      <c r="N567" s="4">
        <v>0.0</v>
      </c>
    </row>
    <row r="568">
      <c r="A568" s="5">
        <v>374.0</v>
      </c>
      <c r="B568" s="3" t="s">
        <v>1086</v>
      </c>
      <c r="C568" s="3" t="s">
        <v>3025</v>
      </c>
      <c r="D568" s="3" t="s">
        <v>3026</v>
      </c>
      <c r="E568" s="3">
        <v>540313.0</v>
      </c>
      <c r="F568" s="5">
        <v>1.0</v>
      </c>
      <c r="G568" s="3" t="s">
        <v>1021</v>
      </c>
      <c r="H568" s="3" t="s">
        <v>1021</v>
      </c>
      <c r="I568" s="3" t="s">
        <v>1021</v>
      </c>
      <c r="J568" s="4" t="str">
        <f t="shared" si="1"/>
        <v>김금자7785</v>
      </c>
      <c r="K568" s="3" t="str">
        <f t="shared" si="2"/>
        <v>정상</v>
      </c>
      <c r="L568" s="4">
        <v>35000.0</v>
      </c>
      <c r="M568" s="4">
        <v>35000.0</v>
      </c>
      <c r="N568" s="4">
        <v>0.0</v>
      </c>
    </row>
    <row r="569">
      <c r="A569" s="6">
        <v>564.0</v>
      </c>
      <c r="B569" s="4" t="s">
        <v>1255</v>
      </c>
      <c r="C569" s="4" t="s">
        <v>3027</v>
      </c>
      <c r="D569" s="4" t="s">
        <v>3028</v>
      </c>
      <c r="E569" s="4">
        <v>641024.0</v>
      </c>
      <c r="F569" s="6">
        <v>1.0</v>
      </c>
      <c r="G569" s="4" t="s">
        <v>1021</v>
      </c>
      <c r="H569" s="4" t="s">
        <v>1021</v>
      </c>
      <c r="I569" s="4" t="s">
        <v>1021</v>
      </c>
      <c r="J569" s="4" t="str">
        <f t="shared" si="1"/>
        <v>김길순0665</v>
      </c>
      <c r="K569" s="3" t="str">
        <f t="shared" si="2"/>
        <v>정상</v>
      </c>
      <c r="L569" s="4">
        <v>35000.0</v>
      </c>
      <c r="M569" s="4">
        <v>35000.0</v>
      </c>
      <c r="N569" s="4">
        <v>0.0</v>
      </c>
    </row>
    <row r="570">
      <c r="A570" s="6">
        <v>403.0</v>
      </c>
      <c r="B570" s="4" t="s">
        <v>1195</v>
      </c>
      <c r="C570" s="4" t="s">
        <v>3029</v>
      </c>
      <c r="D570" s="4" t="s">
        <v>3030</v>
      </c>
      <c r="E570" s="4">
        <v>520802.0</v>
      </c>
      <c r="F570" s="6">
        <v>1.0</v>
      </c>
      <c r="G570" s="4" t="s">
        <v>1021</v>
      </c>
      <c r="H570" s="4" t="s">
        <v>1021</v>
      </c>
      <c r="I570" s="4" t="s">
        <v>1021</v>
      </c>
      <c r="J570" s="4" t="str">
        <f t="shared" si="1"/>
        <v>김나현9816</v>
      </c>
      <c r="K570" s="3" t="str">
        <f t="shared" si="2"/>
        <v>정상</v>
      </c>
      <c r="L570" s="4">
        <v>35000.0</v>
      </c>
      <c r="M570" s="4">
        <v>35000.0</v>
      </c>
      <c r="N570" s="4">
        <v>0.0</v>
      </c>
    </row>
    <row r="571">
      <c r="A571" s="6">
        <v>313.0</v>
      </c>
      <c r="B571" s="4" t="s">
        <v>1260</v>
      </c>
      <c r="C571" s="4" t="s">
        <v>2805</v>
      </c>
      <c r="D571" s="4" t="s">
        <v>3031</v>
      </c>
      <c r="E571" s="4">
        <v>580702.0</v>
      </c>
      <c r="F571" s="6">
        <v>1.0</v>
      </c>
      <c r="G571" s="4" t="s">
        <v>1021</v>
      </c>
      <c r="H571" s="4" t="s">
        <v>1021</v>
      </c>
      <c r="I571" s="4" t="s">
        <v>1021</v>
      </c>
      <c r="J571" s="4" t="str">
        <f t="shared" si="1"/>
        <v>김두리0579</v>
      </c>
      <c r="K571" s="3" t="str">
        <f t="shared" si="2"/>
        <v>정상</v>
      </c>
      <c r="L571" s="4">
        <v>35000.0</v>
      </c>
      <c r="M571" s="4">
        <v>35000.0</v>
      </c>
      <c r="N571" s="4">
        <v>0.0</v>
      </c>
    </row>
    <row r="572">
      <c r="A572" s="6">
        <v>506.0</v>
      </c>
      <c r="B572" s="4" t="s">
        <v>1095</v>
      </c>
      <c r="C572" s="4" t="s">
        <v>3032</v>
      </c>
      <c r="D572" s="4" t="s">
        <v>3033</v>
      </c>
      <c r="E572" s="4">
        <v>751121.0</v>
      </c>
      <c r="F572" s="6">
        <v>1.0</v>
      </c>
      <c r="G572" s="4" t="s">
        <v>1021</v>
      </c>
      <c r="H572" s="4" t="s">
        <v>1021</v>
      </c>
      <c r="I572" s="4" t="s">
        <v>1021</v>
      </c>
      <c r="J572" s="4" t="str">
        <f t="shared" si="1"/>
        <v>김명렬8380</v>
      </c>
      <c r="K572" s="3" t="str">
        <f t="shared" si="2"/>
        <v>정상</v>
      </c>
      <c r="L572" s="4">
        <v>35000.0</v>
      </c>
      <c r="M572" s="4">
        <v>35000.0</v>
      </c>
      <c r="N572" s="4">
        <v>0.0</v>
      </c>
    </row>
    <row r="573">
      <c r="A573" s="6">
        <v>919.0</v>
      </c>
      <c r="B573" s="4" t="s">
        <v>1001</v>
      </c>
      <c r="C573" s="4" t="s">
        <v>3034</v>
      </c>
      <c r="D573" s="4" t="s">
        <v>3035</v>
      </c>
      <c r="E573" s="4">
        <v>580105.0</v>
      </c>
      <c r="F573" s="6">
        <v>1.0</v>
      </c>
      <c r="G573" s="4" t="s">
        <v>1021</v>
      </c>
      <c r="H573" s="4" t="s">
        <v>1021</v>
      </c>
      <c r="I573" s="4" t="s">
        <v>1021</v>
      </c>
      <c r="J573" s="4" t="str">
        <f t="shared" si="1"/>
        <v>김명숙2251</v>
      </c>
      <c r="K573" s="3" t="str">
        <f t="shared" si="2"/>
        <v>정상</v>
      </c>
      <c r="L573" s="4">
        <v>35000.0</v>
      </c>
      <c r="M573" s="4">
        <v>35000.0</v>
      </c>
      <c r="N573" s="4">
        <v>0.0</v>
      </c>
    </row>
    <row r="574">
      <c r="A574" s="6">
        <v>422.0</v>
      </c>
      <c r="B574" s="4" t="s">
        <v>1037</v>
      </c>
      <c r="C574" s="4" t="s">
        <v>3036</v>
      </c>
      <c r="D574" s="4" t="s">
        <v>3037</v>
      </c>
      <c r="E574" s="4">
        <v>710108.0</v>
      </c>
      <c r="F574" s="6">
        <v>1.0</v>
      </c>
      <c r="G574" s="4" t="s">
        <v>1021</v>
      </c>
      <c r="H574" s="4" t="s">
        <v>1021</v>
      </c>
      <c r="I574" s="4" t="s">
        <v>1021</v>
      </c>
      <c r="J574" s="4" t="str">
        <f t="shared" si="1"/>
        <v>김명희0926</v>
      </c>
      <c r="K574" s="3" t="str">
        <f t="shared" si="2"/>
        <v>정상</v>
      </c>
      <c r="L574" s="4">
        <v>35000.0</v>
      </c>
      <c r="M574" s="4">
        <v>35000.0</v>
      </c>
      <c r="N574" s="4">
        <v>0.0</v>
      </c>
    </row>
    <row r="575">
      <c r="A575" s="6">
        <v>361.0</v>
      </c>
      <c r="B575" s="4" t="s">
        <v>1086</v>
      </c>
      <c r="C575" s="4" t="s">
        <v>3038</v>
      </c>
      <c r="D575" s="4" t="s">
        <v>3039</v>
      </c>
      <c r="E575" s="4">
        <v>591113.0</v>
      </c>
      <c r="F575" s="6">
        <v>1.0</v>
      </c>
      <c r="G575" s="4" t="s">
        <v>1021</v>
      </c>
      <c r="H575" s="4" t="s">
        <v>1021</v>
      </c>
      <c r="I575" s="4" t="s">
        <v>1021</v>
      </c>
      <c r="J575" s="4" t="str">
        <f t="shared" si="1"/>
        <v>김문자1018</v>
      </c>
      <c r="K575" s="3" t="str">
        <f t="shared" si="2"/>
        <v>정상</v>
      </c>
      <c r="L575" s="4">
        <v>35000.0</v>
      </c>
      <c r="M575" s="4">
        <v>35000.0</v>
      </c>
      <c r="N575" s="4">
        <v>0.0</v>
      </c>
    </row>
    <row r="576">
      <c r="A576" s="6">
        <v>267.0</v>
      </c>
      <c r="B576" s="4" t="s">
        <v>1147</v>
      </c>
      <c r="C576" s="4" t="s">
        <v>1658</v>
      </c>
      <c r="D576" s="4" t="s">
        <v>3040</v>
      </c>
      <c r="E576" s="4">
        <v>820515.0</v>
      </c>
      <c r="F576" s="6">
        <v>1.0</v>
      </c>
      <c r="G576" s="4" t="s">
        <v>1021</v>
      </c>
      <c r="H576" s="4" t="s">
        <v>1021</v>
      </c>
      <c r="I576" s="4" t="s">
        <v>1021</v>
      </c>
      <c r="J576" s="4" t="str">
        <f t="shared" si="1"/>
        <v>김미라1482</v>
      </c>
      <c r="K576" s="3" t="str">
        <f t="shared" si="2"/>
        <v>정상</v>
      </c>
      <c r="L576" s="4">
        <v>35000.0</v>
      </c>
      <c r="M576" s="4">
        <v>35000.0</v>
      </c>
      <c r="N576" s="4">
        <v>0.0</v>
      </c>
    </row>
    <row r="577">
      <c r="A577" s="5">
        <v>572.0</v>
      </c>
      <c r="B577" s="3" t="s">
        <v>1312</v>
      </c>
      <c r="C577" s="3" t="s">
        <v>2813</v>
      </c>
      <c r="D577" s="3" t="s">
        <v>3041</v>
      </c>
      <c r="E577" s="3">
        <v>610613.0</v>
      </c>
      <c r="F577" s="5">
        <v>1.0</v>
      </c>
      <c r="G577" s="3" t="s">
        <v>1021</v>
      </c>
      <c r="H577" s="3" t="s">
        <v>1021</v>
      </c>
      <c r="I577" s="3" t="s">
        <v>1021</v>
      </c>
      <c r="J577" s="4" t="str">
        <f t="shared" si="1"/>
        <v>김미숙7983</v>
      </c>
      <c r="K577" s="3" t="str">
        <f t="shared" si="2"/>
        <v>정상</v>
      </c>
      <c r="L577" s="4">
        <v>35000.0</v>
      </c>
      <c r="M577" s="4">
        <v>35000.0</v>
      </c>
      <c r="N577" s="4">
        <v>0.0</v>
      </c>
    </row>
    <row r="578">
      <c r="A578" s="5">
        <v>781.0</v>
      </c>
      <c r="B578" s="3" t="s">
        <v>1774</v>
      </c>
      <c r="C578" s="3" t="s">
        <v>3042</v>
      </c>
      <c r="D578" s="3" t="s">
        <v>3043</v>
      </c>
      <c r="E578" s="3">
        <v>630802.0</v>
      </c>
      <c r="F578" s="5">
        <v>1.0</v>
      </c>
      <c r="G578" s="3" t="s">
        <v>1021</v>
      </c>
      <c r="H578" s="3" t="s">
        <v>1021</v>
      </c>
      <c r="I578" s="3" t="s">
        <v>1021</v>
      </c>
      <c r="J578" s="4" t="str">
        <f t="shared" si="1"/>
        <v>김미진7739</v>
      </c>
      <c r="K578" s="3" t="str">
        <f t="shared" si="2"/>
        <v>정상</v>
      </c>
      <c r="L578" s="4">
        <v>35000.0</v>
      </c>
      <c r="M578" s="4">
        <v>35000.0</v>
      </c>
      <c r="N578" s="4">
        <v>0.0</v>
      </c>
    </row>
    <row r="579">
      <c r="A579" s="6">
        <v>451.0</v>
      </c>
      <c r="B579" s="4" t="s">
        <v>1626</v>
      </c>
      <c r="C579" s="4" t="s">
        <v>3044</v>
      </c>
      <c r="D579" s="4" t="s">
        <v>3045</v>
      </c>
      <c r="E579" s="4">
        <v>60127.0</v>
      </c>
      <c r="F579" s="6">
        <v>1.0</v>
      </c>
      <c r="G579" s="4" t="s">
        <v>1021</v>
      </c>
      <c r="H579" s="4" t="s">
        <v>1021</v>
      </c>
      <c r="I579" s="4" t="s">
        <v>1021</v>
      </c>
      <c r="J579" s="4" t="str">
        <f t="shared" si="1"/>
        <v>김민건7828</v>
      </c>
      <c r="K579" s="3" t="str">
        <f t="shared" si="2"/>
        <v>정상</v>
      </c>
      <c r="L579" s="4">
        <v>35000.0</v>
      </c>
      <c r="M579" s="4">
        <v>35000.0</v>
      </c>
      <c r="N579" s="4">
        <v>0.0</v>
      </c>
    </row>
    <row r="580">
      <c r="A580" s="5">
        <v>189.0</v>
      </c>
      <c r="B580" s="3" t="s">
        <v>1282</v>
      </c>
      <c r="C580" s="3" t="s">
        <v>3046</v>
      </c>
      <c r="D580" s="3" t="s">
        <v>3047</v>
      </c>
      <c r="E580" s="3">
        <v>990720.0</v>
      </c>
      <c r="F580" s="5">
        <v>1.0</v>
      </c>
      <c r="G580" s="3" t="s">
        <v>1021</v>
      </c>
      <c r="H580" s="3" t="s">
        <v>1021</v>
      </c>
      <c r="I580" s="3" t="s">
        <v>1021</v>
      </c>
      <c r="J580" s="4" t="str">
        <f t="shared" si="1"/>
        <v>김민선5236</v>
      </c>
      <c r="K580" s="3" t="str">
        <f t="shared" si="2"/>
        <v>정상</v>
      </c>
      <c r="L580" s="4">
        <v>35000.0</v>
      </c>
      <c r="M580" s="4">
        <v>35000.0</v>
      </c>
      <c r="N580" s="4">
        <v>0.0</v>
      </c>
    </row>
    <row r="581">
      <c r="A581" s="6">
        <v>383.0</v>
      </c>
      <c r="B581" s="4" t="s">
        <v>1761</v>
      </c>
      <c r="C581" s="4" t="s">
        <v>3048</v>
      </c>
      <c r="D581" s="4" t="s">
        <v>3049</v>
      </c>
      <c r="E581" s="4">
        <v>780718.0</v>
      </c>
      <c r="F581" s="6">
        <v>1.0</v>
      </c>
      <c r="G581" s="4" t="s">
        <v>1021</v>
      </c>
      <c r="H581" s="4" t="s">
        <v>1021</v>
      </c>
      <c r="I581" s="4" t="s">
        <v>1021</v>
      </c>
      <c r="J581" s="4" t="str">
        <f t="shared" si="1"/>
        <v>김민성8136</v>
      </c>
      <c r="K581" s="3" t="str">
        <f t="shared" si="2"/>
        <v>정상</v>
      </c>
      <c r="L581" s="4">
        <v>35000.0</v>
      </c>
      <c r="M581" s="4">
        <v>35000.0</v>
      </c>
      <c r="N581" s="4">
        <v>0.0</v>
      </c>
    </row>
    <row r="582">
      <c r="A582" s="6">
        <v>1247.0</v>
      </c>
      <c r="B582" s="4" t="s">
        <v>2746</v>
      </c>
      <c r="C582" s="4" t="s">
        <v>3050</v>
      </c>
      <c r="D582" s="4" t="s">
        <v>3051</v>
      </c>
      <c r="E582" s="4">
        <v>591018.0</v>
      </c>
      <c r="F582" s="6">
        <v>1.0</v>
      </c>
      <c r="G582" s="4" t="s">
        <v>1021</v>
      </c>
      <c r="H582" s="4" t="s">
        <v>1021</v>
      </c>
      <c r="I582" s="4" t="s">
        <v>1021</v>
      </c>
      <c r="J582" s="4" t="str">
        <f t="shared" si="1"/>
        <v>김민숙2146</v>
      </c>
      <c r="K582" s="3" t="str">
        <f t="shared" si="2"/>
        <v>정상</v>
      </c>
      <c r="L582" s="4">
        <v>35000.0</v>
      </c>
      <c r="M582" s="4">
        <v>35000.0</v>
      </c>
      <c r="N582" s="4">
        <v>0.0</v>
      </c>
    </row>
    <row r="583">
      <c r="A583" s="6">
        <v>806.0</v>
      </c>
      <c r="B583" s="4" t="s">
        <v>1232</v>
      </c>
      <c r="C583" s="4" t="s">
        <v>3052</v>
      </c>
      <c r="D583" s="4" t="s">
        <v>3053</v>
      </c>
      <c r="E583" s="4">
        <v>590601.0</v>
      </c>
      <c r="F583" s="6">
        <v>1.0</v>
      </c>
      <c r="G583" s="4" t="s">
        <v>1021</v>
      </c>
      <c r="H583" s="4" t="s">
        <v>1021</v>
      </c>
      <c r="I583" s="4" t="s">
        <v>1021</v>
      </c>
      <c r="J583" s="4" t="str">
        <f t="shared" si="1"/>
        <v>김병선8095</v>
      </c>
      <c r="K583" s="3" t="str">
        <f t="shared" si="2"/>
        <v>정상</v>
      </c>
      <c r="L583" s="4">
        <v>35000.0</v>
      </c>
      <c r="M583" s="4">
        <v>35000.0</v>
      </c>
      <c r="N583" s="4">
        <v>0.0</v>
      </c>
    </row>
    <row r="584">
      <c r="A584" s="6">
        <v>526.0</v>
      </c>
      <c r="B584" s="4" t="s">
        <v>1789</v>
      </c>
      <c r="C584" s="4" t="s">
        <v>3054</v>
      </c>
      <c r="D584" s="4" t="s">
        <v>3055</v>
      </c>
      <c r="E584" s="4">
        <v>920328.0</v>
      </c>
      <c r="F584" s="6">
        <v>1.0</v>
      </c>
      <c r="G584" s="4" t="s">
        <v>1021</v>
      </c>
      <c r="H584" s="4" t="s">
        <v>1021</v>
      </c>
      <c r="I584" s="4" t="s">
        <v>1021</v>
      </c>
      <c r="J584" s="4" t="str">
        <f t="shared" si="1"/>
        <v>김보리8716</v>
      </c>
      <c r="K584" s="3" t="str">
        <f t="shared" si="2"/>
        <v>정상</v>
      </c>
      <c r="L584" s="4">
        <v>35000.0</v>
      </c>
      <c r="M584" s="4">
        <v>35000.0</v>
      </c>
      <c r="N584" s="4">
        <v>0.0</v>
      </c>
    </row>
    <row r="585">
      <c r="A585" s="6">
        <v>941.0</v>
      </c>
      <c r="B585" s="4" t="s">
        <v>1631</v>
      </c>
      <c r="C585" s="4" t="s">
        <v>3056</v>
      </c>
      <c r="D585" s="4" t="s">
        <v>3057</v>
      </c>
      <c r="E585" s="4">
        <v>771030.0</v>
      </c>
      <c r="F585" s="6">
        <v>1.0</v>
      </c>
      <c r="G585" s="4" t="s">
        <v>1021</v>
      </c>
      <c r="H585" s="4" t="s">
        <v>1021</v>
      </c>
      <c r="I585" s="4" t="s">
        <v>1021</v>
      </c>
      <c r="J585" s="4" t="str">
        <f t="shared" si="1"/>
        <v>김상미1898</v>
      </c>
      <c r="K585" s="3" t="str">
        <f t="shared" si="2"/>
        <v>정상</v>
      </c>
      <c r="L585" s="4">
        <v>35000.0</v>
      </c>
      <c r="M585" s="4">
        <v>35000.0</v>
      </c>
      <c r="N585" s="4">
        <v>0.0</v>
      </c>
    </row>
    <row r="586">
      <c r="A586" s="5">
        <v>1196.0</v>
      </c>
      <c r="B586" s="3" t="s">
        <v>1530</v>
      </c>
      <c r="C586" s="3" t="s">
        <v>2817</v>
      </c>
      <c r="D586" s="3" t="s">
        <v>3058</v>
      </c>
      <c r="E586" s="3">
        <v>730908.0</v>
      </c>
      <c r="F586" s="5">
        <v>1.0</v>
      </c>
      <c r="G586" s="3" t="s">
        <v>1021</v>
      </c>
      <c r="H586" s="3" t="s">
        <v>1021</v>
      </c>
      <c r="I586" s="3" t="s">
        <v>1021</v>
      </c>
      <c r="J586" s="4" t="str">
        <f t="shared" si="1"/>
        <v>김선미7286</v>
      </c>
      <c r="K586" s="3" t="str">
        <f t="shared" si="2"/>
        <v>정상</v>
      </c>
      <c r="L586" s="4">
        <v>35000.0</v>
      </c>
      <c r="M586" s="4">
        <v>35000.0</v>
      </c>
      <c r="N586" s="4">
        <v>0.0</v>
      </c>
    </row>
    <row r="587">
      <c r="A587" s="6">
        <v>281.0</v>
      </c>
      <c r="B587" s="4" t="s">
        <v>3059</v>
      </c>
      <c r="C587" s="4" t="s">
        <v>3060</v>
      </c>
      <c r="D587" s="4" t="s">
        <v>3061</v>
      </c>
      <c r="E587" s="4">
        <v>540205.0</v>
      </c>
      <c r="F587" s="6">
        <v>1.0</v>
      </c>
      <c r="G587" s="4" t="s">
        <v>1021</v>
      </c>
      <c r="H587" s="4" t="s">
        <v>1021</v>
      </c>
      <c r="I587" s="4" t="s">
        <v>1021</v>
      </c>
      <c r="J587" s="4" t="str">
        <f t="shared" si="1"/>
        <v>김선애5574</v>
      </c>
      <c r="K587" s="3" t="str">
        <f t="shared" si="2"/>
        <v>정상</v>
      </c>
      <c r="L587" s="4">
        <v>35000.0</v>
      </c>
      <c r="M587" s="4">
        <v>35000.0</v>
      </c>
      <c r="N587" s="4">
        <v>0.0</v>
      </c>
    </row>
    <row r="588">
      <c r="A588" s="6">
        <v>265.0</v>
      </c>
      <c r="B588" s="4" t="s">
        <v>1147</v>
      </c>
      <c r="C588" s="4" t="s">
        <v>3062</v>
      </c>
      <c r="D588" s="4" t="s">
        <v>3063</v>
      </c>
      <c r="E588" s="4">
        <v>780318.0</v>
      </c>
      <c r="F588" s="6">
        <v>1.0</v>
      </c>
      <c r="G588" s="4" t="s">
        <v>1021</v>
      </c>
      <c r="H588" s="4" t="s">
        <v>1021</v>
      </c>
      <c r="I588" s="4" t="s">
        <v>1021</v>
      </c>
      <c r="J588" s="4" t="str">
        <f t="shared" si="1"/>
        <v>김선영1978</v>
      </c>
      <c r="K588" s="3" t="str">
        <f t="shared" si="2"/>
        <v>정상</v>
      </c>
      <c r="L588" s="4">
        <v>35000.0</v>
      </c>
      <c r="M588" s="4">
        <v>35000.0</v>
      </c>
      <c r="N588" s="4">
        <v>0.0</v>
      </c>
    </row>
    <row r="589">
      <c r="A589" s="5">
        <v>554.0</v>
      </c>
      <c r="B589" s="3" t="s">
        <v>1552</v>
      </c>
      <c r="C589" s="3" t="s">
        <v>3064</v>
      </c>
      <c r="D589" s="3" t="s">
        <v>3065</v>
      </c>
      <c r="E589" s="3">
        <v>511111.0</v>
      </c>
      <c r="F589" s="5">
        <v>1.0</v>
      </c>
      <c r="G589" s="3" t="s">
        <v>1021</v>
      </c>
      <c r="H589" s="3" t="s">
        <v>1021</v>
      </c>
      <c r="I589" s="3" t="s">
        <v>1021</v>
      </c>
      <c r="J589" s="4" t="str">
        <f t="shared" si="1"/>
        <v>김설자3415</v>
      </c>
      <c r="K589" s="3" t="str">
        <f t="shared" si="2"/>
        <v>정상</v>
      </c>
      <c r="L589" s="4">
        <v>35000.0</v>
      </c>
      <c r="M589" s="4">
        <v>35000.0</v>
      </c>
      <c r="N589" s="4">
        <v>0.0</v>
      </c>
    </row>
    <row r="590">
      <c r="A590" s="5">
        <v>558.0</v>
      </c>
      <c r="B590" s="3" t="s">
        <v>1552</v>
      </c>
      <c r="C590" s="3" t="s">
        <v>3066</v>
      </c>
      <c r="D590" s="3" t="s">
        <v>3067</v>
      </c>
      <c r="E590" s="3">
        <v>500412.0</v>
      </c>
      <c r="F590" s="5">
        <v>1.0</v>
      </c>
      <c r="G590" s="3" t="s">
        <v>1021</v>
      </c>
      <c r="H590" s="3" t="s">
        <v>1021</v>
      </c>
      <c r="I590" s="3" t="s">
        <v>1021</v>
      </c>
      <c r="J590" s="4" t="str">
        <f t="shared" si="1"/>
        <v>김성금9060</v>
      </c>
      <c r="K590" s="3" t="str">
        <f t="shared" si="2"/>
        <v>정상</v>
      </c>
      <c r="L590" s="4">
        <v>35000.0</v>
      </c>
      <c r="M590" s="4">
        <v>35000.0</v>
      </c>
      <c r="N590" s="4">
        <v>0.0</v>
      </c>
    </row>
    <row r="591">
      <c r="A591" s="6">
        <v>1065.0</v>
      </c>
      <c r="B591" s="4" t="s">
        <v>1047</v>
      </c>
      <c r="C591" s="4" t="s">
        <v>3068</v>
      </c>
      <c r="D591" s="4" t="s">
        <v>3069</v>
      </c>
      <c r="E591" s="4">
        <v>570519.0</v>
      </c>
      <c r="F591" s="6">
        <v>1.0</v>
      </c>
      <c r="G591" s="4" t="s">
        <v>1021</v>
      </c>
      <c r="H591" s="4" t="s">
        <v>1021</v>
      </c>
      <c r="I591" s="4" t="s">
        <v>1021</v>
      </c>
      <c r="J591" s="4" t="str">
        <f t="shared" si="1"/>
        <v>김성숙7894</v>
      </c>
      <c r="K591" s="3" t="str">
        <f t="shared" si="2"/>
        <v>정상</v>
      </c>
      <c r="L591" s="4">
        <v>35000.0</v>
      </c>
      <c r="M591" s="4">
        <v>35000.0</v>
      </c>
      <c r="N591" s="4">
        <v>0.0</v>
      </c>
    </row>
    <row r="592">
      <c r="A592" s="5">
        <v>1204.0</v>
      </c>
      <c r="B592" s="3" t="s">
        <v>1454</v>
      </c>
      <c r="C592" s="3" t="s">
        <v>3070</v>
      </c>
      <c r="D592" s="3" t="s">
        <v>3071</v>
      </c>
      <c r="E592" s="3">
        <v>610502.0</v>
      </c>
      <c r="F592" s="5">
        <v>1.0</v>
      </c>
      <c r="G592" s="3" t="s">
        <v>1021</v>
      </c>
      <c r="H592" s="3" t="s">
        <v>1021</v>
      </c>
      <c r="I592" s="3" t="s">
        <v>1021</v>
      </c>
      <c r="J592" s="4" t="str">
        <f t="shared" si="1"/>
        <v>김성진5946</v>
      </c>
      <c r="K592" s="3" t="str">
        <f t="shared" si="2"/>
        <v>정상</v>
      </c>
      <c r="L592" s="4">
        <v>35000.0</v>
      </c>
      <c r="M592" s="4">
        <v>35000.0</v>
      </c>
      <c r="N592" s="4">
        <v>0.0</v>
      </c>
    </row>
    <row r="593">
      <c r="A593" s="5">
        <v>959.0</v>
      </c>
      <c r="B593" s="3" t="s">
        <v>1547</v>
      </c>
      <c r="C593" s="3" t="s">
        <v>3072</v>
      </c>
      <c r="D593" s="3" t="s">
        <v>3073</v>
      </c>
      <c r="E593" s="3">
        <v>590221.0</v>
      </c>
      <c r="F593" s="5">
        <v>1.0</v>
      </c>
      <c r="G593" s="3" t="s">
        <v>1021</v>
      </c>
      <c r="H593" s="3" t="s">
        <v>1021</v>
      </c>
      <c r="I593" s="3" t="s">
        <v>1021</v>
      </c>
      <c r="J593" s="4" t="str">
        <f t="shared" si="1"/>
        <v>김성태5730</v>
      </c>
      <c r="K593" s="3" t="str">
        <f t="shared" si="2"/>
        <v>정상</v>
      </c>
      <c r="L593" s="4">
        <v>35000.0</v>
      </c>
      <c r="M593" s="4">
        <v>35000.0</v>
      </c>
      <c r="N593" s="4">
        <v>0.0</v>
      </c>
    </row>
    <row r="594">
      <c r="A594" s="6">
        <v>996.0</v>
      </c>
      <c r="B594" s="4" t="s">
        <v>1022</v>
      </c>
      <c r="C594" s="4" t="s">
        <v>3074</v>
      </c>
      <c r="D594" s="4" t="s">
        <v>3075</v>
      </c>
      <c r="E594" s="4">
        <v>650102.0</v>
      </c>
      <c r="F594" s="6">
        <v>1.0</v>
      </c>
      <c r="G594" s="4" t="s">
        <v>1021</v>
      </c>
      <c r="H594" s="4" t="s">
        <v>1021</v>
      </c>
      <c r="I594" s="4" t="s">
        <v>1021</v>
      </c>
      <c r="J594" s="4" t="str">
        <f t="shared" si="1"/>
        <v>김세미7997</v>
      </c>
      <c r="K594" s="3" t="str">
        <f t="shared" si="2"/>
        <v>정상</v>
      </c>
      <c r="L594" s="4">
        <v>35000.0</v>
      </c>
      <c r="M594" s="4">
        <v>35000.0</v>
      </c>
      <c r="N594" s="4">
        <v>0.0</v>
      </c>
    </row>
    <row r="595">
      <c r="A595" s="6">
        <v>753.0</v>
      </c>
      <c r="B595" s="4" t="s">
        <v>2156</v>
      </c>
      <c r="C595" s="4" t="s">
        <v>3076</v>
      </c>
      <c r="D595" s="4" t="s">
        <v>3077</v>
      </c>
      <c r="E595" s="4">
        <v>620523.0</v>
      </c>
      <c r="F595" s="6">
        <v>1.0</v>
      </c>
      <c r="G595" s="4" t="s">
        <v>1021</v>
      </c>
      <c r="H595" s="4" t="s">
        <v>1021</v>
      </c>
      <c r="I595" s="4" t="s">
        <v>1021</v>
      </c>
      <c r="J595" s="4" t="str">
        <f t="shared" si="1"/>
        <v>김세연5736</v>
      </c>
      <c r="K595" s="3" t="str">
        <f t="shared" si="2"/>
        <v>정상</v>
      </c>
      <c r="L595" s="4">
        <v>35000.0</v>
      </c>
      <c r="M595" s="4">
        <v>35000.0</v>
      </c>
      <c r="N595" s="4">
        <v>0.0</v>
      </c>
    </row>
    <row r="596">
      <c r="A596" s="6">
        <v>293.0</v>
      </c>
      <c r="B596" s="4" t="s">
        <v>1636</v>
      </c>
      <c r="C596" s="4" t="s">
        <v>3078</v>
      </c>
      <c r="D596" s="4" t="s">
        <v>3079</v>
      </c>
      <c r="E596" s="4">
        <v>960711.0</v>
      </c>
      <c r="F596" s="6">
        <v>1.0</v>
      </c>
      <c r="G596" s="4" t="s">
        <v>1021</v>
      </c>
      <c r="H596" s="4" t="s">
        <v>1021</v>
      </c>
      <c r="I596" s="4" t="s">
        <v>1021</v>
      </c>
      <c r="J596" s="4" t="str">
        <f t="shared" si="1"/>
        <v>김수빈7846</v>
      </c>
      <c r="K596" s="3" t="str">
        <f t="shared" si="2"/>
        <v>정상</v>
      </c>
      <c r="L596" s="4">
        <v>35000.0</v>
      </c>
      <c r="M596" s="4">
        <v>35000.0</v>
      </c>
      <c r="N596" s="4">
        <v>0.0</v>
      </c>
    </row>
    <row r="597">
      <c r="A597" s="6">
        <v>1029.0</v>
      </c>
      <c r="B597" s="4" t="s">
        <v>1062</v>
      </c>
      <c r="C597" s="4" t="s">
        <v>3080</v>
      </c>
      <c r="D597" s="4" t="s">
        <v>3081</v>
      </c>
      <c r="E597" s="4">
        <v>760728.0</v>
      </c>
      <c r="F597" s="6">
        <v>1.0</v>
      </c>
      <c r="G597" s="4" t="s">
        <v>1021</v>
      </c>
      <c r="H597" s="4" t="s">
        <v>1021</v>
      </c>
      <c r="I597" s="4" t="s">
        <v>1021</v>
      </c>
      <c r="J597" s="4" t="str">
        <f t="shared" si="1"/>
        <v>김수진0728</v>
      </c>
      <c r="K597" s="3" t="str">
        <f t="shared" si="2"/>
        <v>정상</v>
      </c>
      <c r="L597" s="4">
        <v>35000.0</v>
      </c>
      <c r="M597" s="4">
        <v>35000.0</v>
      </c>
      <c r="N597" s="4">
        <v>0.0</v>
      </c>
    </row>
    <row r="598">
      <c r="A598" s="6">
        <v>871.0</v>
      </c>
      <c r="B598" s="4" t="s">
        <v>1621</v>
      </c>
      <c r="C598" s="4" t="s">
        <v>3080</v>
      </c>
      <c r="D598" s="4" t="s">
        <v>3082</v>
      </c>
      <c r="E598" s="4">
        <v>741210.0</v>
      </c>
      <c r="F598" s="6">
        <v>1.0</v>
      </c>
      <c r="G598" s="4" t="s">
        <v>1021</v>
      </c>
      <c r="H598" s="4" t="s">
        <v>1021</v>
      </c>
      <c r="I598" s="4" t="s">
        <v>1021</v>
      </c>
      <c r="J598" s="4" t="str">
        <f t="shared" si="1"/>
        <v>김수진1210</v>
      </c>
      <c r="K598" s="3" t="str">
        <f t="shared" si="2"/>
        <v>정상</v>
      </c>
      <c r="L598" s="4">
        <v>35000.0</v>
      </c>
      <c r="M598" s="4">
        <v>35000.0</v>
      </c>
      <c r="N598" s="4">
        <v>0.0</v>
      </c>
    </row>
    <row r="599">
      <c r="A599" s="6">
        <v>300.0</v>
      </c>
      <c r="B599" s="4" t="s">
        <v>1950</v>
      </c>
      <c r="C599" s="4" t="s">
        <v>3083</v>
      </c>
      <c r="D599" s="4" t="s">
        <v>3084</v>
      </c>
      <c r="E599" s="4">
        <v>670212.0</v>
      </c>
      <c r="F599" s="6">
        <v>1.0</v>
      </c>
      <c r="G599" s="4" t="s">
        <v>1021</v>
      </c>
      <c r="H599" s="4" t="s">
        <v>1021</v>
      </c>
      <c r="I599" s="4" t="s">
        <v>1021</v>
      </c>
      <c r="J599" s="4" t="str">
        <f t="shared" si="1"/>
        <v>김숙녀5719</v>
      </c>
      <c r="K599" s="3" t="str">
        <f t="shared" si="2"/>
        <v>정상</v>
      </c>
      <c r="L599" s="4">
        <v>35000.0</v>
      </c>
      <c r="M599" s="4">
        <v>35000.0</v>
      </c>
      <c r="N599" s="4">
        <v>0.0</v>
      </c>
    </row>
    <row r="600">
      <c r="A600" s="6">
        <v>209.0</v>
      </c>
      <c r="B600" s="4" t="s">
        <v>1566</v>
      </c>
      <c r="C600" s="4" t="s">
        <v>3085</v>
      </c>
      <c r="D600" s="4" t="s">
        <v>3086</v>
      </c>
      <c r="E600" s="4">
        <v>531016.0</v>
      </c>
      <c r="F600" s="6">
        <v>1.0</v>
      </c>
      <c r="G600" s="4" t="s">
        <v>1021</v>
      </c>
      <c r="H600" s="4" t="s">
        <v>1021</v>
      </c>
      <c r="I600" s="4" t="s">
        <v>1021</v>
      </c>
      <c r="J600" s="4" t="str">
        <f t="shared" si="1"/>
        <v>김숙자9974</v>
      </c>
      <c r="K600" s="3" t="str">
        <f t="shared" si="2"/>
        <v>정상</v>
      </c>
      <c r="L600" s="4">
        <v>35000.0</v>
      </c>
      <c r="M600" s="4">
        <v>35000.0</v>
      </c>
      <c r="N600" s="4">
        <v>0.0</v>
      </c>
    </row>
    <row r="601">
      <c r="A601" s="6">
        <v>913.0</v>
      </c>
      <c r="B601" s="4" t="s">
        <v>1872</v>
      </c>
      <c r="C601" s="4" t="s">
        <v>3087</v>
      </c>
      <c r="D601" s="4" t="s">
        <v>3088</v>
      </c>
      <c r="E601" s="4">
        <v>670208.0</v>
      </c>
      <c r="F601" s="6">
        <v>1.0</v>
      </c>
      <c r="G601" s="4" t="s">
        <v>1021</v>
      </c>
      <c r="H601" s="4" t="s">
        <v>1021</v>
      </c>
      <c r="I601" s="4" t="s">
        <v>1021</v>
      </c>
      <c r="J601" s="4" t="str">
        <f t="shared" si="1"/>
        <v>김순애2928</v>
      </c>
      <c r="K601" s="3" t="str">
        <f t="shared" si="2"/>
        <v>정상</v>
      </c>
      <c r="L601" s="4">
        <v>35000.0</v>
      </c>
      <c r="M601" s="4">
        <v>35000.0</v>
      </c>
      <c r="N601" s="4">
        <v>0.0</v>
      </c>
    </row>
    <row r="602">
      <c r="A602" s="6">
        <v>1012.0</v>
      </c>
      <c r="B602" s="4" t="s">
        <v>1269</v>
      </c>
      <c r="C602" s="4" t="s">
        <v>2542</v>
      </c>
      <c r="D602" s="4" t="s">
        <v>3089</v>
      </c>
      <c r="E602" s="4">
        <v>590911.0</v>
      </c>
      <c r="F602" s="6">
        <v>1.0</v>
      </c>
      <c r="G602" s="4" t="s">
        <v>1021</v>
      </c>
      <c r="H602" s="4" t="s">
        <v>1021</v>
      </c>
      <c r="I602" s="4" t="s">
        <v>1021</v>
      </c>
      <c r="J602" s="4" t="str">
        <f t="shared" si="1"/>
        <v>김순옥5175</v>
      </c>
      <c r="K602" s="3" t="str">
        <f t="shared" si="2"/>
        <v>정상</v>
      </c>
      <c r="L602" s="4">
        <v>35000.0</v>
      </c>
      <c r="M602" s="4">
        <v>35000.0</v>
      </c>
      <c r="N602" s="4">
        <v>0.0</v>
      </c>
    </row>
    <row r="603">
      <c r="A603" s="6">
        <v>601.0</v>
      </c>
      <c r="B603" s="4" t="s">
        <v>1219</v>
      </c>
      <c r="C603" s="4" t="s">
        <v>2542</v>
      </c>
      <c r="D603" s="4" t="s">
        <v>3090</v>
      </c>
      <c r="E603" s="4">
        <v>490320.0</v>
      </c>
      <c r="F603" s="6">
        <v>1.0</v>
      </c>
      <c r="G603" s="4" t="s">
        <v>1021</v>
      </c>
      <c r="H603" s="4" t="s">
        <v>1021</v>
      </c>
      <c r="I603" s="4" t="s">
        <v>1021</v>
      </c>
      <c r="J603" s="4" t="str">
        <f t="shared" si="1"/>
        <v>김순옥9903</v>
      </c>
      <c r="K603" s="3" t="str">
        <f t="shared" si="2"/>
        <v>정상</v>
      </c>
      <c r="L603" s="4">
        <v>35000.0</v>
      </c>
      <c r="M603" s="4">
        <v>35000.0</v>
      </c>
      <c r="N603" s="4">
        <v>0.0</v>
      </c>
    </row>
    <row r="604">
      <c r="A604" s="6">
        <v>1191.0</v>
      </c>
      <c r="B604" s="4" t="s">
        <v>1530</v>
      </c>
      <c r="C604" s="4" t="s">
        <v>3091</v>
      </c>
      <c r="D604" s="4" t="s">
        <v>3092</v>
      </c>
      <c r="E604" s="4">
        <v>710709.0</v>
      </c>
      <c r="F604" s="6">
        <v>1.0</v>
      </c>
      <c r="G604" s="4" t="s">
        <v>1021</v>
      </c>
      <c r="H604" s="4" t="s">
        <v>1021</v>
      </c>
      <c r="I604" s="4" t="s">
        <v>1021</v>
      </c>
      <c r="J604" s="4" t="str">
        <f t="shared" si="1"/>
        <v>김승현8788</v>
      </c>
      <c r="K604" s="3" t="str">
        <f t="shared" si="2"/>
        <v>정상</v>
      </c>
      <c r="L604" s="4">
        <v>35000.0</v>
      </c>
      <c r="M604" s="4">
        <v>35000.0</v>
      </c>
      <c r="N604" s="4">
        <v>0.0</v>
      </c>
    </row>
    <row r="605">
      <c r="A605" s="6">
        <v>1011.0</v>
      </c>
      <c r="B605" s="4" t="s">
        <v>1269</v>
      </c>
      <c r="C605" s="4" t="s">
        <v>3093</v>
      </c>
      <c r="D605" s="4" t="s">
        <v>3094</v>
      </c>
      <c r="E605" s="4">
        <v>650127.0</v>
      </c>
      <c r="F605" s="6">
        <v>1.0</v>
      </c>
      <c r="G605" s="4" t="s">
        <v>1021</v>
      </c>
      <c r="H605" s="4" t="s">
        <v>1021</v>
      </c>
      <c r="I605" s="4" t="s">
        <v>1021</v>
      </c>
      <c r="J605" s="4" t="str">
        <f t="shared" si="1"/>
        <v>김승희7671</v>
      </c>
      <c r="K605" s="3" t="str">
        <f t="shared" si="2"/>
        <v>정상</v>
      </c>
      <c r="L605" s="4">
        <v>35000.0</v>
      </c>
      <c r="M605" s="4">
        <v>35000.0</v>
      </c>
      <c r="N605" s="4">
        <v>0.0</v>
      </c>
    </row>
    <row r="606">
      <c r="A606" s="6">
        <v>208.0</v>
      </c>
      <c r="B606" s="4" t="s">
        <v>1566</v>
      </c>
      <c r="C606" s="4" t="s">
        <v>3095</v>
      </c>
      <c r="D606" s="4" t="s">
        <v>3096</v>
      </c>
      <c r="E606" s="4">
        <v>650630.0</v>
      </c>
      <c r="F606" s="6">
        <v>1.0</v>
      </c>
      <c r="G606" s="4" t="s">
        <v>1021</v>
      </c>
      <c r="H606" s="4" t="s">
        <v>1021</v>
      </c>
      <c r="I606" s="4" t="s">
        <v>1021</v>
      </c>
      <c r="J606" s="4" t="str">
        <f t="shared" si="1"/>
        <v>김안나6030</v>
      </c>
      <c r="K606" s="3" t="str">
        <f t="shared" si="2"/>
        <v>정상</v>
      </c>
      <c r="L606" s="4">
        <v>35000.0</v>
      </c>
      <c r="M606" s="4">
        <v>35000.0</v>
      </c>
      <c r="N606" s="4">
        <v>0.0</v>
      </c>
    </row>
    <row r="607">
      <c r="A607" s="5">
        <v>539.0</v>
      </c>
      <c r="B607" s="3" t="s">
        <v>1713</v>
      </c>
      <c r="C607" s="3" t="s">
        <v>3097</v>
      </c>
      <c r="D607" s="3" t="s">
        <v>3098</v>
      </c>
      <c r="E607" s="3">
        <v>601220.0</v>
      </c>
      <c r="F607" s="5">
        <v>1.0</v>
      </c>
      <c r="G607" s="3" t="s">
        <v>1021</v>
      </c>
      <c r="H607" s="3" t="s">
        <v>1021</v>
      </c>
      <c r="I607" s="3" t="s">
        <v>1021</v>
      </c>
      <c r="J607" s="4" t="str">
        <f t="shared" si="1"/>
        <v>김애숙6527</v>
      </c>
      <c r="K607" s="3" t="str">
        <f t="shared" si="2"/>
        <v>정상</v>
      </c>
      <c r="L607" s="4">
        <v>35000.0</v>
      </c>
      <c r="M607" s="4">
        <v>35000.0</v>
      </c>
      <c r="N607" s="4">
        <v>0.0</v>
      </c>
    </row>
    <row r="608">
      <c r="A608" s="6">
        <v>836.0</v>
      </c>
      <c r="B608" s="4" t="s">
        <v>1588</v>
      </c>
      <c r="C608" s="4" t="s">
        <v>3099</v>
      </c>
      <c r="D608" s="4" t="s">
        <v>3100</v>
      </c>
      <c r="E608" s="4">
        <v>700315.0</v>
      </c>
      <c r="F608" s="6">
        <v>1.0</v>
      </c>
      <c r="G608" s="4" t="s">
        <v>1021</v>
      </c>
      <c r="H608" s="4" t="s">
        <v>1021</v>
      </c>
      <c r="I608" s="4" t="s">
        <v>1021</v>
      </c>
      <c r="J608" s="4" t="str">
        <f t="shared" si="1"/>
        <v>김양순4038</v>
      </c>
      <c r="K608" s="3" t="str">
        <f t="shared" si="2"/>
        <v>정상</v>
      </c>
      <c r="L608" s="4">
        <v>35000.0</v>
      </c>
      <c r="M608" s="4">
        <v>35000.0</v>
      </c>
      <c r="N608" s="4">
        <v>0.0</v>
      </c>
    </row>
    <row r="609">
      <c r="A609" s="6">
        <v>921.0</v>
      </c>
      <c r="B609" s="4" t="s">
        <v>1001</v>
      </c>
      <c r="C609" s="4" t="s">
        <v>3101</v>
      </c>
      <c r="D609" s="4" t="s">
        <v>3102</v>
      </c>
      <c r="E609" s="4">
        <v>620815.0</v>
      </c>
      <c r="F609" s="6">
        <v>1.0</v>
      </c>
      <c r="G609" s="4" t="s">
        <v>1021</v>
      </c>
      <c r="H609" s="4" t="s">
        <v>1021</v>
      </c>
      <c r="I609" s="4" t="s">
        <v>1021</v>
      </c>
      <c r="J609" s="4" t="str">
        <f t="shared" si="1"/>
        <v>김영규8804</v>
      </c>
      <c r="K609" s="3" t="str">
        <f t="shared" si="2"/>
        <v>정상</v>
      </c>
      <c r="L609" s="4">
        <v>35000.0</v>
      </c>
      <c r="M609" s="4">
        <v>35000.0</v>
      </c>
      <c r="N609" s="4">
        <v>0.0</v>
      </c>
    </row>
    <row r="610">
      <c r="A610" s="5">
        <v>612.0</v>
      </c>
      <c r="B610" s="3" t="s">
        <v>1779</v>
      </c>
      <c r="C610" s="3" t="s">
        <v>3103</v>
      </c>
      <c r="D610" s="3" t="s">
        <v>3104</v>
      </c>
      <c r="E610" s="3">
        <v>740325.0</v>
      </c>
      <c r="F610" s="5">
        <v>1.0</v>
      </c>
      <c r="G610" s="3" t="s">
        <v>1021</v>
      </c>
      <c r="H610" s="3" t="s">
        <v>1021</v>
      </c>
      <c r="I610" s="3" t="s">
        <v>1021</v>
      </c>
      <c r="J610" s="4" t="str">
        <f t="shared" si="1"/>
        <v>김영선0325</v>
      </c>
      <c r="K610" s="3" t="str">
        <f t="shared" si="2"/>
        <v>정상</v>
      </c>
      <c r="L610" s="4">
        <v>35000.0</v>
      </c>
      <c r="M610" s="4">
        <v>35000.0</v>
      </c>
      <c r="N610" s="4">
        <v>0.0</v>
      </c>
    </row>
    <row r="611">
      <c r="A611" s="6">
        <v>736.0</v>
      </c>
      <c r="B611" s="4" t="s">
        <v>1335</v>
      </c>
      <c r="C611" s="4" t="s">
        <v>2520</v>
      </c>
      <c r="D611" s="4" t="s">
        <v>3105</v>
      </c>
      <c r="E611" s="4">
        <v>501117.0</v>
      </c>
      <c r="F611" s="6">
        <v>1.0</v>
      </c>
      <c r="G611" s="4" t="s">
        <v>1021</v>
      </c>
      <c r="H611" s="4" t="s">
        <v>1021</v>
      </c>
      <c r="I611" s="4" t="s">
        <v>1021</v>
      </c>
      <c r="J611" s="4" t="str">
        <f t="shared" si="1"/>
        <v>김영숙3585</v>
      </c>
      <c r="K611" s="3" t="str">
        <f t="shared" si="2"/>
        <v>정상</v>
      </c>
      <c r="L611" s="4">
        <v>35000.0</v>
      </c>
      <c r="M611" s="4">
        <v>35000.0</v>
      </c>
      <c r="N611" s="4">
        <v>0.0</v>
      </c>
    </row>
    <row r="612">
      <c r="A612" s="6">
        <v>1171.0</v>
      </c>
      <c r="B612" s="4" t="s">
        <v>1471</v>
      </c>
      <c r="C612" s="4" t="s">
        <v>2520</v>
      </c>
      <c r="D612" s="4" t="s">
        <v>3106</v>
      </c>
      <c r="E612" s="4">
        <v>570512.0</v>
      </c>
      <c r="F612" s="6">
        <v>1.0</v>
      </c>
      <c r="G612" s="4" t="s">
        <v>1021</v>
      </c>
      <c r="H612" s="4" t="s">
        <v>1021</v>
      </c>
      <c r="I612" s="4" t="s">
        <v>1021</v>
      </c>
      <c r="J612" s="4" t="str">
        <f t="shared" si="1"/>
        <v>김영숙3700</v>
      </c>
      <c r="K612" s="3" t="str">
        <f t="shared" si="2"/>
        <v>정상</v>
      </c>
      <c r="L612" s="4">
        <v>35000.0</v>
      </c>
      <c r="M612" s="4">
        <v>35000.0</v>
      </c>
      <c r="N612" s="4">
        <v>0.0</v>
      </c>
    </row>
    <row r="613">
      <c r="A613" s="6">
        <v>742.0</v>
      </c>
      <c r="B613" s="4" t="s">
        <v>1057</v>
      </c>
      <c r="C613" s="4" t="s">
        <v>2520</v>
      </c>
      <c r="D613" s="4" t="s">
        <v>3107</v>
      </c>
      <c r="E613" s="4">
        <v>670123.0</v>
      </c>
      <c r="F613" s="6">
        <v>1.0</v>
      </c>
      <c r="G613" s="4" t="s">
        <v>1021</v>
      </c>
      <c r="H613" s="4" t="s">
        <v>1021</v>
      </c>
      <c r="I613" s="4" t="s">
        <v>1021</v>
      </c>
      <c r="J613" s="4" t="str">
        <f t="shared" si="1"/>
        <v>김영숙4153</v>
      </c>
      <c r="K613" s="3" t="str">
        <f t="shared" si="2"/>
        <v>정상</v>
      </c>
      <c r="L613" s="4">
        <v>35000.0</v>
      </c>
      <c r="M613" s="4">
        <v>35000.0</v>
      </c>
      <c r="N613" s="4">
        <v>0.0</v>
      </c>
    </row>
    <row r="614">
      <c r="A614" s="6">
        <v>1198.0</v>
      </c>
      <c r="B614" s="4" t="s">
        <v>1530</v>
      </c>
      <c r="C614" s="4" t="s">
        <v>3108</v>
      </c>
      <c r="D614" s="4" t="s">
        <v>3109</v>
      </c>
      <c r="E614" s="4">
        <v>540813.0</v>
      </c>
      <c r="F614" s="6">
        <v>1.0</v>
      </c>
      <c r="G614" s="4" t="s">
        <v>1021</v>
      </c>
      <c r="H614" s="4" t="s">
        <v>1021</v>
      </c>
      <c r="I614" s="4" t="s">
        <v>1021</v>
      </c>
      <c r="J614" s="4" t="str">
        <f t="shared" si="1"/>
        <v>김영애3552</v>
      </c>
      <c r="K614" s="3" t="str">
        <f t="shared" si="2"/>
        <v>정상</v>
      </c>
      <c r="L614" s="4">
        <v>35000.0</v>
      </c>
      <c r="M614" s="4">
        <v>35000.0</v>
      </c>
      <c r="N614" s="4">
        <v>0.0</v>
      </c>
    </row>
    <row r="615">
      <c r="A615" s="6">
        <v>329.0</v>
      </c>
      <c r="B615" s="4" t="s">
        <v>1322</v>
      </c>
      <c r="C615" s="4" t="s">
        <v>3110</v>
      </c>
      <c r="D615" s="4" t="s">
        <v>3111</v>
      </c>
      <c r="E615" s="4">
        <v>670517.0</v>
      </c>
      <c r="F615" s="6">
        <v>1.0</v>
      </c>
      <c r="G615" s="4" t="s">
        <v>1021</v>
      </c>
      <c r="H615" s="4" t="s">
        <v>1021</v>
      </c>
      <c r="I615" s="4" t="s">
        <v>1021</v>
      </c>
      <c r="J615" s="4" t="str">
        <f t="shared" si="1"/>
        <v>김옥견1130</v>
      </c>
      <c r="K615" s="3" t="str">
        <f t="shared" si="2"/>
        <v>정상</v>
      </c>
      <c r="L615" s="4">
        <v>35000.0</v>
      </c>
      <c r="M615" s="4">
        <v>35000.0</v>
      </c>
      <c r="N615" s="4">
        <v>0.0</v>
      </c>
    </row>
    <row r="616">
      <c r="A616" s="6">
        <v>739.0</v>
      </c>
      <c r="B616" s="4" t="s">
        <v>1784</v>
      </c>
      <c r="C616" s="4" t="s">
        <v>3112</v>
      </c>
      <c r="D616" s="4" t="s">
        <v>3113</v>
      </c>
      <c r="E616" s="4">
        <v>700410.0</v>
      </c>
      <c r="F616" s="6">
        <v>1.0</v>
      </c>
      <c r="G616" s="4" t="s">
        <v>1021</v>
      </c>
      <c r="H616" s="4" t="s">
        <v>1021</v>
      </c>
      <c r="I616" s="4" t="s">
        <v>1021</v>
      </c>
      <c r="J616" s="4" t="str">
        <f t="shared" si="1"/>
        <v>김옥경8906</v>
      </c>
      <c r="K616" s="3" t="str">
        <f t="shared" si="2"/>
        <v>정상</v>
      </c>
      <c r="L616" s="4">
        <v>35000.0</v>
      </c>
      <c r="M616" s="4">
        <v>35000.0</v>
      </c>
      <c r="N616" s="4">
        <v>0.0</v>
      </c>
    </row>
    <row r="617">
      <c r="A617" s="5">
        <v>768.0</v>
      </c>
      <c r="B617" s="3" t="s">
        <v>1292</v>
      </c>
      <c r="C617" s="3" t="s">
        <v>3114</v>
      </c>
      <c r="D617" s="3" t="s">
        <v>3115</v>
      </c>
      <c r="E617" s="3">
        <v>570928.0</v>
      </c>
      <c r="F617" s="5">
        <v>1.0</v>
      </c>
      <c r="G617" s="3" t="s">
        <v>1021</v>
      </c>
      <c r="H617" s="3" t="s">
        <v>1021</v>
      </c>
      <c r="I617" s="3" t="s">
        <v>1021</v>
      </c>
      <c r="J617" s="4" t="str">
        <f t="shared" si="1"/>
        <v>김옥순7029</v>
      </c>
      <c r="K617" s="3" t="str">
        <f t="shared" si="2"/>
        <v>정상</v>
      </c>
      <c r="L617" s="4">
        <v>35000.0</v>
      </c>
      <c r="M617" s="4">
        <v>35000.0</v>
      </c>
      <c r="N617" s="4">
        <v>0.0</v>
      </c>
    </row>
    <row r="618">
      <c r="A618" s="5">
        <v>906.0</v>
      </c>
      <c r="B618" s="3" t="s">
        <v>1872</v>
      </c>
      <c r="C618" s="3" t="s">
        <v>3116</v>
      </c>
      <c r="D618" s="3" t="s">
        <v>3117</v>
      </c>
      <c r="E618" s="3">
        <v>630402.0</v>
      </c>
      <c r="F618" s="5">
        <v>1.0</v>
      </c>
      <c r="G618" s="3" t="s">
        <v>1021</v>
      </c>
      <c r="H618" s="3" t="s">
        <v>1021</v>
      </c>
      <c r="I618" s="3" t="s">
        <v>1021</v>
      </c>
      <c r="J618" s="4" t="str">
        <f t="shared" si="1"/>
        <v>김용분6303</v>
      </c>
      <c r="K618" s="3" t="str">
        <f t="shared" si="2"/>
        <v>정상</v>
      </c>
      <c r="L618" s="4">
        <v>35000.0</v>
      </c>
      <c r="M618" s="4">
        <v>35000.0</v>
      </c>
      <c r="N618" s="4">
        <v>0.0</v>
      </c>
    </row>
    <row r="619">
      <c r="A619" s="6">
        <v>866.0</v>
      </c>
      <c r="B619" s="4" t="s">
        <v>1621</v>
      </c>
      <c r="C619" s="4" t="s">
        <v>3118</v>
      </c>
      <c r="D619" s="4" t="s">
        <v>3119</v>
      </c>
      <c r="E619" s="4">
        <v>680129.0</v>
      </c>
      <c r="F619" s="6">
        <v>1.0</v>
      </c>
      <c r="G619" s="4" t="s">
        <v>1021</v>
      </c>
      <c r="H619" s="4" t="s">
        <v>1021</v>
      </c>
      <c r="I619" s="4" t="s">
        <v>1021</v>
      </c>
      <c r="J619" s="4" t="str">
        <f t="shared" si="1"/>
        <v>김용열5102</v>
      </c>
      <c r="K619" s="3" t="str">
        <f t="shared" si="2"/>
        <v>정상</v>
      </c>
      <c r="L619" s="4">
        <v>35000.0</v>
      </c>
      <c r="M619" s="4">
        <v>35000.0</v>
      </c>
      <c r="N619" s="4">
        <v>0.0</v>
      </c>
    </row>
    <row r="620">
      <c r="A620" s="5">
        <v>1091.0</v>
      </c>
      <c r="B620" s="3" t="s">
        <v>1137</v>
      </c>
      <c r="C620" s="3" t="s">
        <v>3120</v>
      </c>
      <c r="D620" s="3" t="s">
        <v>3121</v>
      </c>
      <c r="E620" s="3">
        <v>630118.0</v>
      </c>
      <c r="F620" s="5">
        <v>1.0</v>
      </c>
      <c r="G620" s="3" t="s">
        <v>1021</v>
      </c>
      <c r="H620" s="3" t="s">
        <v>1021</v>
      </c>
      <c r="I620" s="3" t="s">
        <v>1021</v>
      </c>
      <c r="J620" s="4" t="str">
        <f t="shared" si="1"/>
        <v>김원모9663</v>
      </c>
      <c r="K620" s="3" t="str">
        <f t="shared" si="2"/>
        <v>정상</v>
      </c>
      <c r="L620" s="4">
        <v>35000.0</v>
      </c>
      <c r="M620" s="4">
        <v>35000.0</v>
      </c>
      <c r="N620" s="4">
        <v>0.0</v>
      </c>
    </row>
    <row r="621">
      <c r="A621" s="6">
        <v>551.0</v>
      </c>
      <c r="B621" s="4" t="s">
        <v>1170</v>
      </c>
      <c r="C621" s="4" t="s">
        <v>3122</v>
      </c>
      <c r="D621" s="4" t="s">
        <v>3123</v>
      </c>
      <c r="E621" s="4">
        <v>890609.0</v>
      </c>
      <c r="F621" s="6">
        <v>1.0</v>
      </c>
      <c r="G621" s="4" t="s">
        <v>1021</v>
      </c>
      <c r="H621" s="4" t="s">
        <v>1021</v>
      </c>
      <c r="I621" s="4" t="s">
        <v>1021</v>
      </c>
      <c r="J621" s="4" t="str">
        <f t="shared" si="1"/>
        <v>김유경2585</v>
      </c>
      <c r="K621" s="3" t="str">
        <f t="shared" si="2"/>
        <v>정상</v>
      </c>
      <c r="L621" s="4">
        <v>35000.0</v>
      </c>
      <c r="M621" s="4">
        <v>35000.0</v>
      </c>
      <c r="N621" s="4">
        <v>0.0</v>
      </c>
    </row>
    <row r="622">
      <c r="A622" s="6">
        <v>955.0</v>
      </c>
      <c r="B622" s="4" t="s">
        <v>1547</v>
      </c>
      <c r="C622" s="4" t="s">
        <v>3124</v>
      </c>
      <c r="D622" s="4" t="s">
        <v>3125</v>
      </c>
      <c r="E622" s="4">
        <v>580923.0</v>
      </c>
      <c r="F622" s="6">
        <v>1.0</v>
      </c>
      <c r="G622" s="4" t="s">
        <v>1021</v>
      </c>
      <c r="H622" s="4" t="s">
        <v>1021</v>
      </c>
      <c r="I622" s="4" t="s">
        <v>1021</v>
      </c>
      <c r="J622" s="4" t="str">
        <f t="shared" si="1"/>
        <v>김은숙6350</v>
      </c>
      <c r="K622" s="3" t="str">
        <f t="shared" si="2"/>
        <v>정상</v>
      </c>
      <c r="L622" s="4">
        <v>35000.0</v>
      </c>
      <c r="M622" s="4">
        <v>35000.0</v>
      </c>
      <c r="N622" s="4">
        <v>0.0</v>
      </c>
    </row>
    <row r="623">
      <c r="A623" s="5">
        <v>1203.0</v>
      </c>
      <c r="B623" s="3" t="s">
        <v>1454</v>
      </c>
      <c r="C623" s="3" t="s">
        <v>3126</v>
      </c>
      <c r="D623" s="3" t="s">
        <v>3127</v>
      </c>
      <c r="E623" s="3">
        <v>690104.0</v>
      </c>
      <c r="F623" s="5">
        <v>1.0</v>
      </c>
      <c r="G623" s="3" t="s">
        <v>1021</v>
      </c>
      <c r="H623" s="3" t="s">
        <v>1021</v>
      </c>
      <c r="I623" s="3" t="s">
        <v>1021</v>
      </c>
      <c r="J623" s="4" t="str">
        <f t="shared" si="1"/>
        <v>김은진4541</v>
      </c>
      <c r="K623" s="3" t="str">
        <f t="shared" si="2"/>
        <v>정상</v>
      </c>
      <c r="L623" s="4">
        <v>35000.0</v>
      </c>
      <c r="M623" s="4">
        <v>35000.0</v>
      </c>
      <c r="N623" s="4">
        <v>0.0</v>
      </c>
    </row>
    <row r="624">
      <c r="A624" s="6">
        <v>501.0</v>
      </c>
      <c r="B624" s="4" t="s">
        <v>1095</v>
      </c>
      <c r="C624" s="4" t="s">
        <v>3128</v>
      </c>
      <c r="D624" s="4" t="s">
        <v>3129</v>
      </c>
      <c r="E624" s="4">
        <v>610623.0</v>
      </c>
      <c r="F624" s="6">
        <v>1.0</v>
      </c>
      <c r="G624" s="4" t="s">
        <v>1021</v>
      </c>
      <c r="H624" s="4" t="s">
        <v>1021</v>
      </c>
      <c r="I624" s="4" t="s">
        <v>1021</v>
      </c>
      <c r="J624" s="4" t="str">
        <f t="shared" si="1"/>
        <v>김인자1303</v>
      </c>
      <c r="K624" s="3" t="str">
        <f t="shared" si="2"/>
        <v>정상</v>
      </c>
      <c r="L624" s="4">
        <v>35000.0</v>
      </c>
      <c r="M624" s="4">
        <v>35000.0</v>
      </c>
      <c r="N624" s="4">
        <v>0.0</v>
      </c>
    </row>
    <row r="625">
      <c r="A625" s="6">
        <v>835.0</v>
      </c>
      <c r="B625" s="4" t="s">
        <v>1588</v>
      </c>
      <c r="C625" s="4" t="s">
        <v>3130</v>
      </c>
      <c r="D625" s="4" t="s">
        <v>3131</v>
      </c>
      <c r="E625" s="4">
        <v>620915.0</v>
      </c>
      <c r="F625" s="6">
        <v>1.0</v>
      </c>
      <c r="G625" s="4" t="s">
        <v>1021</v>
      </c>
      <c r="H625" s="4" t="s">
        <v>1021</v>
      </c>
      <c r="I625" s="4" t="s">
        <v>1021</v>
      </c>
      <c r="J625" s="4" t="str">
        <f t="shared" si="1"/>
        <v>김재순5218</v>
      </c>
      <c r="K625" s="3" t="str">
        <f t="shared" si="2"/>
        <v>정상</v>
      </c>
      <c r="L625" s="4">
        <v>35000.0</v>
      </c>
      <c r="M625" s="4">
        <v>35000.0</v>
      </c>
      <c r="N625" s="4">
        <v>0.0</v>
      </c>
    </row>
    <row r="626">
      <c r="A626" s="6">
        <v>977.0</v>
      </c>
      <c r="B626" s="4" t="s">
        <v>1488</v>
      </c>
      <c r="C626" s="4" t="s">
        <v>3132</v>
      </c>
      <c r="D626" s="4" t="s">
        <v>3133</v>
      </c>
      <c r="E626" s="4">
        <v>610523.0</v>
      </c>
      <c r="F626" s="6">
        <v>1.0</v>
      </c>
      <c r="G626" s="4" t="s">
        <v>1021</v>
      </c>
      <c r="H626" s="4" t="s">
        <v>1021</v>
      </c>
      <c r="I626" s="4" t="s">
        <v>1021</v>
      </c>
      <c r="J626" s="4" t="str">
        <f t="shared" si="1"/>
        <v>김재철2369</v>
      </c>
      <c r="K626" s="3" t="str">
        <f t="shared" si="2"/>
        <v>정상</v>
      </c>
      <c r="L626" s="4">
        <v>35000.0</v>
      </c>
      <c r="M626" s="4">
        <v>35000.0</v>
      </c>
      <c r="N626" s="4">
        <v>0.0</v>
      </c>
    </row>
    <row r="627">
      <c r="A627" s="6">
        <v>684.0</v>
      </c>
      <c r="B627" s="4" t="s">
        <v>1434</v>
      </c>
      <c r="C627" s="4" t="s">
        <v>3134</v>
      </c>
      <c r="D627" s="4" t="s">
        <v>3135</v>
      </c>
      <c r="E627" s="4">
        <v>720529.0</v>
      </c>
      <c r="F627" s="6">
        <v>1.0</v>
      </c>
      <c r="G627" s="4" t="s">
        <v>1021</v>
      </c>
      <c r="H627" s="4" t="s">
        <v>1021</v>
      </c>
      <c r="I627" s="4" t="s">
        <v>1021</v>
      </c>
      <c r="J627" s="4" t="str">
        <f t="shared" si="1"/>
        <v>김정선1004</v>
      </c>
      <c r="K627" s="3" t="str">
        <f t="shared" si="2"/>
        <v>정상</v>
      </c>
      <c r="L627" s="4">
        <v>35000.0</v>
      </c>
      <c r="M627" s="4">
        <v>35000.0</v>
      </c>
      <c r="N627" s="4">
        <v>0.0</v>
      </c>
    </row>
    <row r="628">
      <c r="A628" s="6">
        <v>490.0</v>
      </c>
      <c r="B628" s="4" t="s">
        <v>1027</v>
      </c>
      <c r="C628" s="4" t="s">
        <v>1368</v>
      </c>
      <c r="D628" s="4" t="s">
        <v>3136</v>
      </c>
      <c r="E628" s="4">
        <v>620901.0</v>
      </c>
      <c r="F628" s="6">
        <v>1.0</v>
      </c>
      <c r="G628" s="4" t="s">
        <v>1021</v>
      </c>
      <c r="H628" s="4" t="s">
        <v>1021</v>
      </c>
      <c r="I628" s="4" t="s">
        <v>1021</v>
      </c>
      <c r="J628" s="4" t="str">
        <f t="shared" si="1"/>
        <v>김정숙9582</v>
      </c>
      <c r="K628" s="3" t="str">
        <f t="shared" si="2"/>
        <v>정상</v>
      </c>
      <c r="L628" s="4">
        <v>35000.0</v>
      </c>
      <c r="M628" s="4">
        <v>35000.0</v>
      </c>
      <c r="N628" s="4">
        <v>0.0</v>
      </c>
    </row>
    <row r="629">
      <c r="A629" s="6">
        <v>444.0</v>
      </c>
      <c r="B629" s="4" t="s">
        <v>1381</v>
      </c>
      <c r="C629" s="4" t="s">
        <v>3137</v>
      </c>
      <c r="D629" s="4" t="s">
        <v>3138</v>
      </c>
      <c r="E629" s="4">
        <v>740509.0</v>
      </c>
      <c r="F629" s="6">
        <v>1.0</v>
      </c>
      <c r="G629" s="4" t="s">
        <v>1021</v>
      </c>
      <c r="H629" s="4" t="s">
        <v>1021</v>
      </c>
      <c r="I629" s="4" t="s">
        <v>1021</v>
      </c>
      <c r="J629" s="4" t="str">
        <f t="shared" si="1"/>
        <v>김정안8760</v>
      </c>
      <c r="K629" s="3" t="str">
        <f t="shared" si="2"/>
        <v>정상</v>
      </c>
      <c r="L629" s="4">
        <v>35000.0</v>
      </c>
      <c r="M629" s="4">
        <v>35000.0</v>
      </c>
      <c r="N629" s="4">
        <v>0.0</v>
      </c>
    </row>
    <row r="630">
      <c r="A630" s="6">
        <v>379.0</v>
      </c>
      <c r="B630" s="4" t="s">
        <v>1761</v>
      </c>
      <c r="C630" s="4" t="s">
        <v>3139</v>
      </c>
      <c r="D630" s="4" t="s">
        <v>3140</v>
      </c>
      <c r="E630" s="4">
        <v>570910.0</v>
      </c>
      <c r="F630" s="6">
        <v>1.0</v>
      </c>
      <c r="G630" s="4" t="s">
        <v>1021</v>
      </c>
      <c r="H630" s="4" t="s">
        <v>1021</v>
      </c>
      <c r="I630" s="4" t="s">
        <v>1021</v>
      </c>
      <c r="J630" s="4" t="str">
        <f t="shared" si="1"/>
        <v>김종란4640</v>
      </c>
      <c r="K630" s="3" t="str">
        <f t="shared" si="2"/>
        <v>정상</v>
      </c>
      <c r="L630" s="4">
        <v>35000.0</v>
      </c>
      <c r="M630" s="4">
        <v>35000.0</v>
      </c>
      <c r="N630" s="4">
        <v>0.0</v>
      </c>
    </row>
    <row r="631">
      <c r="A631" s="5">
        <v>577.0</v>
      </c>
      <c r="B631" s="3" t="s">
        <v>1344</v>
      </c>
      <c r="C631" s="3" t="s">
        <v>3141</v>
      </c>
      <c r="D631" s="3" t="s">
        <v>3142</v>
      </c>
      <c r="E631" s="3">
        <v>580212.0</v>
      </c>
      <c r="F631" s="5">
        <v>1.0</v>
      </c>
      <c r="G631" s="3" t="s">
        <v>1021</v>
      </c>
      <c r="H631" s="3" t="s">
        <v>1021</v>
      </c>
      <c r="I631" s="3" t="s">
        <v>1021</v>
      </c>
      <c r="J631" s="4" t="str">
        <f t="shared" si="1"/>
        <v>김종악4041</v>
      </c>
      <c r="K631" s="3" t="str">
        <f t="shared" si="2"/>
        <v>정상</v>
      </c>
      <c r="L631" s="4">
        <v>35000.0</v>
      </c>
      <c r="M631" s="4">
        <v>35000.0</v>
      </c>
      <c r="N631" s="4">
        <v>0.0</v>
      </c>
    </row>
    <row r="632">
      <c r="A632" s="6">
        <v>251.0</v>
      </c>
      <c r="B632" s="4" t="s">
        <v>1752</v>
      </c>
      <c r="C632" s="4" t="s">
        <v>3143</v>
      </c>
      <c r="D632" s="4" t="s">
        <v>3144</v>
      </c>
      <c r="E632" s="4">
        <v>910103.0</v>
      </c>
      <c r="F632" s="6">
        <v>1.0</v>
      </c>
      <c r="G632" s="4" t="s">
        <v>1021</v>
      </c>
      <c r="H632" s="4" t="s">
        <v>1021</v>
      </c>
      <c r="I632" s="4" t="s">
        <v>1021</v>
      </c>
      <c r="J632" s="4" t="str">
        <f t="shared" si="1"/>
        <v>김지만2399</v>
      </c>
      <c r="K632" s="3" t="str">
        <f t="shared" si="2"/>
        <v>정상</v>
      </c>
      <c r="L632" s="4">
        <v>35000.0</v>
      </c>
      <c r="M632" s="4">
        <v>35000.0</v>
      </c>
      <c r="N632" s="4">
        <v>0.0</v>
      </c>
    </row>
    <row r="633">
      <c r="A633" s="5">
        <v>1243.0</v>
      </c>
      <c r="B633" s="3" t="s">
        <v>1209</v>
      </c>
      <c r="C633" s="3" t="s">
        <v>2439</v>
      </c>
      <c r="D633" s="3" t="s">
        <v>3145</v>
      </c>
      <c r="E633" s="3">
        <v>621021.0</v>
      </c>
      <c r="F633" s="5">
        <v>1.0</v>
      </c>
      <c r="G633" s="3" t="s">
        <v>1021</v>
      </c>
      <c r="H633" s="3" t="s">
        <v>1021</v>
      </c>
      <c r="I633" s="3" t="s">
        <v>1021</v>
      </c>
      <c r="J633" s="4" t="str">
        <f t="shared" si="1"/>
        <v>김지현6461</v>
      </c>
      <c r="K633" s="3" t="str">
        <f t="shared" si="2"/>
        <v>정상</v>
      </c>
      <c r="L633" s="4">
        <v>35000.0</v>
      </c>
      <c r="M633" s="4">
        <v>35000.0</v>
      </c>
      <c r="N633" s="4">
        <v>0.0</v>
      </c>
    </row>
    <row r="634">
      <c r="A634" s="6">
        <v>593.0</v>
      </c>
      <c r="B634" s="4" t="s">
        <v>1825</v>
      </c>
      <c r="C634" s="4" t="s">
        <v>3146</v>
      </c>
      <c r="D634" s="4" t="s">
        <v>3147</v>
      </c>
      <c r="E634" s="4">
        <v>750701.0</v>
      </c>
      <c r="F634" s="6">
        <v>1.0</v>
      </c>
      <c r="G634" s="4" t="s">
        <v>1021</v>
      </c>
      <c r="H634" s="4" t="s">
        <v>1021</v>
      </c>
      <c r="I634" s="4" t="s">
        <v>1021</v>
      </c>
      <c r="J634" s="4" t="str">
        <f t="shared" si="1"/>
        <v>김진아1538</v>
      </c>
      <c r="K634" s="3" t="str">
        <f t="shared" si="2"/>
        <v>정상</v>
      </c>
      <c r="L634" s="4">
        <v>35000.0</v>
      </c>
      <c r="M634" s="4">
        <v>35000.0</v>
      </c>
      <c r="N634" s="4">
        <v>0.0</v>
      </c>
    </row>
    <row r="635">
      <c r="A635" s="6">
        <v>332.0</v>
      </c>
      <c r="B635" s="4" t="s">
        <v>1322</v>
      </c>
      <c r="C635" s="4" t="s">
        <v>2832</v>
      </c>
      <c r="D635" s="4" t="s">
        <v>3148</v>
      </c>
      <c r="E635" s="4">
        <v>600412.0</v>
      </c>
      <c r="F635" s="6">
        <v>1.0</v>
      </c>
      <c r="G635" s="4" t="s">
        <v>1021</v>
      </c>
      <c r="H635" s="4" t="s">
        <v>1021</v>
      </c>
      <c r="I635" s="4" t="s">
        <v>1021</v>
      </c>
      <c r="J635" s="4" t="str">
        <f t="shared" si="1"/>
        <v>김춘희9452</v>
      </c>
      <c r="K635" s="3" t="str">
        <f t="shared" si="2"/>
        <v>정상</v>
      </c>
      <c r="L635" s="4">
        <v>35000.0</v>
      </c>
      <c r="M635" s="4">
        <v>35000.0</v>
      </c>
      <c r="N635" s="4">
        <v>0.0</v>
      </c>
    </row>
    <row r="636">
      <c r="A636" s="5">
        <v>1150.0</v>
      </c>
      <c r="B636" s="3" t="s">
        <v>1165</v>
      </c>
      <c r="C636" s="3" t="s">
        <v>3149</v>
      </c>
      <c r="D636" s="3" t="s">
        <v>3150</v>
      </c>
      <c r="E636" s="3">
        <v>650901.0</v>
      </c>
      <c r="F636" s="5">
        <v>1.0</v>
      </c>
      <c r="G636" s="3" t="s">
        <v>1021</v>
      </c>
      <c r="H636" s="3" t="s">
        <v>1021</v>
      </c>
      <c r="I636" s="3" t="s">
        <v>1021</v>
      </c>
      <c r="J636" s="4" t="str">
        <f t="shared" si="1"/>
        <v>김태경6396</v>
      </c>
      <c r="K636" s="3" t="str">
        <f t="shared" si="2"/>
        <v>정상</v>
      </c>
      <c r="L636" s="4">
        <v>35000.0</v>
      </c>
      <c r="M636" s="4">
        <v>35000.0</v>
      </c>
      <c r="N636" s="4">
        <v>0.0</v>
      </c>
    </row>
    <row r="637">
      <c r="A637" s="6">
        <v>290.0</v>
      </c>
      <c r="B637" s="4" t="s">
        <v>1636</v>
      </c>
      <c r="C637" s="4" t="s">
        <v>3151</v>
      </c>
      <c r="D637" s="4" t="s">
        <v>3152</v>
      </c>
      <c r="E637" s="4">
        <v>780130.0</v>
      </c>
      <c r="F637" s="6">
        <v>1.0</v>
      </c>
      <c r="G637" s="4" t="s">
        <v>1021</v>
      </c>
      <c r="H637" s="4" t="s">
        <v>1021</v>
      </c>
      <c r="I637" s="4" t="s">
        <v>1021</v>
      </c>
      <c r="J637" s="4" t="str">
        <f t="shared" si="1"/>
        <v>김태영1380</v>
      </c>
      <c r="K637" s="3" t="str">
        <f t="shared" si="2"/>
        <v>정상</v>
      </c>
      <c r="L637" s="4">
        <v>35000.0</v>
      </c>
      <c r="M637" s="4">
        <v>35000.0</v>
      </c>
      <c r="N637" s="4">
        <v>0.0</v>
      </c>
    </row>
    <row r="638">
      <c r="A638" s="5">
        <v>948.0</v>
      </c>
      <c r="B638" s="3" t="s">
        <v>1631</v>
      </c>
      <c r="C638" s="3" t="s">
        <v>3151</v>
      </c>
      <c r="D638" s="3" t="s">
        <v>3153</v>
      </c>
      <c r="E638" s="3">
        <v>610601.0</v>
      </c>
      <c r="F638" s="5">
        <v>1.0</v>
      </c>
      <c r="G638" s="3" t="s">
        <v>1021</v>
      </c>
      <c r="H638" s="3" t="s">
        <v>1021</v>
      </c>
      <c r="I638" s="3" t="s">
        <v>1021</v>
      </c>
      <c r="J638" s="4" t="str">
        <f t="shared" si="1"/>
        <v>김태영6577</v>
      </c>
      <c r="K638" s="3" t="str">
        <f t="shared" si="2"/>
        <v>정상</v>
      </c>
      <c r="L638" s="4">
        <v>35000.0</v>
      </c>
      <c r="M638" s="4">
        <v>35000.0</v>
      </c>
      <c r="N638" s="4">
        <v>0.0</v>
      </c>
    </row>
    <row r="639">
      <c r="A639" s="6">
        <v>396.0</v>
      </c>
      <c r="B639" s="4" t="s">
        <v>1195</v>
      </c>
      <c r="C639" s="4" t="s">
        <v>3154</v>
      </c>
      <c r="D639" s="4" t="s">
        <v>3155</v>
      </c>
      <c r="E639" s="4">
        <v>810216.0</v>
      </c>
      <c r="F639" s="6">
        <v>1.0</v>
      </c>
      <c r="G639" s="4" t="s">
        <v>1021</v>
      </c>
      <c r="H639" s="4" t="s">
        <v>1021</v>
      </c>
      <c r="I639" s="4" t="s">
        <v>1021</v>
      </c>
      <c r="J639" s="4" t="str">
        <f t="shared" si="1"/>
        <v>김필여4542</v>
      </c>
      <c r="K639" s="3" t="str">
        <f t="shared" si="2"/>
        <v>정상</v>
      </c>
      <c r="L639" s="4">
        <v>35000.0</v>
      </c>
      <c r="M639" s="4">
        <v>35000.0</v>
      </c>
      <c r="N639" s="4">
        <v>0.0</v>
      </c>
    </row>
    <row r="640">
      <c r="A640" s="6">
        <v>1084.0</v>
      </c>
      <c r="B640" s="4" t="s">
        <v>1076</v>
      </c>
      <c r="C640" s="4" t="s">
        <v>3156</v>
      </c>
      <c r="D640" s="4" t="s">
        <v>3157</v>
      </c>
      <c r="E640" s="4">
        <v>470915.0</v>
      </c>
      <c r="F640" s="6">
        <v>1.0</v>
      </c>
      <c r="G640" s="4" t="s">
        <v>1021</v>
      </c>
      <c r="H640" s="4" t="s">
        <v>1021</v>
      </c>
      <c r="I640" s="4" t="s">
        <v>1021</v>
      </c>
      <c r="J640" s="4" t="str">
        <f t="shared" si="1"/>
        <v>김해순0184</v>
      </c>
      <c r="K640" s="3" t="str">
        <f t="shared" si="2"/>
        <v>정상</v>
      </c>
      <c r="L640" s="4">
        <v>35000.0</v>
      </c>
      <c r="M640" s="4">
        <v>35000.0</v>
      </c>
      <c r="N640" s="4">
        <v>0.0</v>
      </c>
    </row>
    <row r="641">
      <c r="A641" s="6">
        <v>1019.0</v>
      </c>
      <c r="B641" s="4" t="s">
        <v>1062</v>
      </c>
      <c r="C641" s="4" t="s">
        <v>3158</v>
      </c>
      <c r="D641" s="4" t="s">
        <v>3159</v>
      </c>
      <c r="E641" s="4">
        <v>800920.0</v>
      </c>
      <c r="F641" s="6">
        <v>1.0</v>
      </c>
      <c r="G641" s="4" t="s">
        <v>1021</v>
      </c>
      <c r="H641" s="4" t="s">
        <v>1021</v>
      </c>
      <c r="I641" s="4" t="s">
        <v>1021</v>
      </c>
      <c r="J641" s="4" t="str">
        <f t="shared" si="1"/>
        <v>김현숙4599</v>
      </c>
      <c r="K641" s="3" t="str">
        <f t="shared" si="2"/>
        <v>정상</v>
      </c>
      <c r="L641" s="4">
        <v>35000.0</v>
      </c>
      <c r="M641" s="4">
        <v>35000.0</v>
      </c>
      <c r="N641" s="4">
        <v>0.0</v>
      </c>
    </row>
    <row r="642">
      <c r="A642" s="6">
        <v>947.0</v>
      </c>
      <c r="B642" s="4" t="s">
        <v>1631</v>
      </c>
      <c r="C642" s="4" t="s">
        <v>2593</v>
      </c>
      <c r="D642" s="4" t="s">
        <v>3160</v>
      </c>
      <c r="E642" s="4">
        <v>691217.0</v>
      </c>
      <c r="F642" s="6">
        <v>1.0</v>
      </c>
      <c r="G642" s="4" t="s">
        <v>1021</v>
      </c>
      <c r="H642" s="4" t="s">
        <v>1021</v>
      </c>
      <c r="I642" s="4" t="s">
        <v>1021</v>
      </c>
      <c r="J642" s="4" t="str">
        <f t="shared" si="1"/>
        <v>김현옥6540</v>
      </c>
      <c r="K642" s="3" t="str">
        <f t="shared" si="2"/>
        <v>정상</v>
      </c>
      <c r="L642" s="4">
        <v>35000.0</v>
      </c>
      <c r="M642" s="4">
        <v>35000.0</v>
      </c>
      <c r="N642" s="4">
        <v>0.0</v>
      </c>
    </row>
    <row r="643">
      <c r="A643" s="6">
        <v>735.0</v>
      </c>
      <c r="B643" s="4" t="s">
        <v>1335</v>
      </c>
      <c r="C643" s="4" t="s">
        <v>3161</v>
      </c>
      <c r="D643" s="4" t="s">
        <v>3162</v>
      </c>
      <c r="E643" s="4">
        <v>550318.0</v>
      </c>
      <c r="F643" s="6">
        <v>1.0</v>
      </c>
      <c r="G643" s="4" t="s">
        <v>1021</v>
      </c>
      <c r="H643" s="4" t="s">
        <v>1021</v>
      </c>
      <c r="I643" s="4" t="s">
        <v>1021</v>
      </c>
      <c r="J643" s="4" t="str">
        <f t="shared" si="1"/>
        <v>김현종2549</v>
      </c>
      <c r="K643" s="3" t="str">
        <f t="shared" si="2"/>
        <v>정상</v>
      </c>
      <c r="L643" s="4">
        <v>35000.0</v>
      </c>
      <c r="M643" s="4">
        <v>35000.0</v>
      </c>
      <c r="N643" s="4">
        <v>0.0</v>
      </c>
    </row>
    <row r="644">
      <c r="A644" s="5">
        <v>1110.0</v>
      </c>
      <c r="B644" s="3" t="s">
        <v>1420</v>
      </c>
      <c r="C644" s="3" t="s">
        <v>3163</v>
      </c>
      <c r="D644" s="3" t="s">
        <v>3164</v>
      </c>
      <c r="E644" s="3">
        <v>590908.0</v>
      </c>
      <c r="F644" s="5">
        <v>1.0</v>
      </c>
      <c r="G644" s="3" t="s">
        <v>1021</v>
      </c>
      <c r="H644" s="3" t="s">
        <v>1021</v>
      </c>
      <c r="I644" s="3" t="s">
        <v>1021</v>
      </c>
      <c r="J644" s="4" t="str">
        <f t="shared" si="1"/>
        <v>김형희5673</v>
      </c>
      <c r="K644" s="3" t="str">
        <f t="shared" si="2"/>
        <v>정상</v>
      </c>
      <c r="L644" s="4">
        <v>35000.0</v>
      </c>
      <c r="M644" s="4">
        <v>35000.0</v>
      </c>
      <c r="N644" s="4">
        <v>0.0</v>
      </c>
    </row>
    <row r="645">
      <c r="A645" s="6">
        <v>620.0</v>
      </c>
      <c r="B645" s="4" t="s">
        <v>1662</v>
      </c>
      <c r="C645" s="4" t="s">
        <v>3165</v>
      </c>
      <c r="D645" s="4" t="s">
        <v>3166</v>
      </c>
      <c r="E645" s="4">
        <v>590603.0</v>
      </c>
      <c r="F645" s="6">
        <v>1.0</v>
      </c>
      <c r="G645" s="4" t="s">
        <v>1021</v>
      </c>
      <c r="H645" s="4" t="s">
        <v>1021</v>
      </c>
      <c r="I645" s="4" t="s">
        <v>1021</v>
      </c>
      <c r="J645" s="4" t="str">
        <f t="shared" si="1"/>
        <v>김혜경4170</v>
      </c>
      <c r="K645" s="3" t="str">
        <f t="shared" si="2"/>
        <v>정상</v>
      </c>
      <c r="L645" s="4">
        <v>35000.0</v>
      </c>
      <c r="M645" s="4">
        <v>35000.0</v>
      </c>
      <c r="N645" s="4">
        <v>0.0</v>
      </c>
    </row>
    <row r="646">
      <c r="A646" s="5">
        <v>488.0</v>
      </c>
      <c r="B646" s="3" t="s">
        <v>1027</v>
      </c>
      <c r="C646" s="3" t="s">
        <v>3165</v>
      </c>
      <c r="D646" s="3" t="s">
        <v>3167</v>
      </c>
      <c r="E646" s="3">
        <v>661228.0</v>
      </c>
      <c r="F646" s="5">
        <v>1.0</v>
      </c>
      <c r="G646" s="3" t="s">
        <v>1021</v>
      </c>
      <c r="H646" s="3" t="s">
        <v>1021</v>
      </c>
      <c r="I646" s="3" t="s">
        <v>1021</v>
      </c>
      <c r="J646" s="4" t="str">
        <f t="shared" si="1"/>
        <v>김혜경6097</v>
      </c>
      <c r="K646" s="3" t="str">
        <f t="shared" si="2"/>
        <v>정상</v>
      </c>
      <c r="L646" s="4">
        <v>35000.0</v>
      </c>
      <c r="M646" s="4">
        <v>35000.0</v>
      </c>
      <c r="N646" s="4">
        <v>0.0</v>
      </c>
    </row>
    <row r="647">
      <c r="A647" s="6">
        <v>1052.0</v>
      </c>
      <c r="B647" s="4" t="s">
        <v>1047</v>
      </c>
      <c r="C647" s="4" t="s">
        <v>3168</v>
      </c>
      <c r="D647" s="4" t="s">
        <v>3169</v>
      </c>
      <c r="E647" s="4">
        <v>630206.0</v>
      </c>
      <c r="F647" s="6">
        <v>1.0</v>
      </c>
      <c r="G647" s="4" t="s">
        <v>1021</v>
      </c>
      <c r="H647" s="4" t="s">
        <v>1021</v>
      </c>
      <c r="I647" s="4" t="s">
        <v>1021</v>
      </c>
      <c r="J647" s="4" t="str">
        <f t="shared" si="1"/>
        <v>김혜숙3311</v>
      </c>
      <c r="K647" s="3" t="str">
        <f t="shared" si="2"/>
        <v>정상</v>
      </c>
      <c r="L647" s="4">
        <v>35000.0</v>
      </c>
      <c r="M647" s="4">
        <v>35000.0</v>
      </c>
      <c r="N647" s="4">
        <v>0.0</v>
      </c>
    </row>
    <row r="648">
      <c r="A648" s="6">
        <v>827.0</v>
      </c>
      <c r="B648" s="4" t="s">
        <v>1367</v>
      </c>
      <c r="C648" s="4" t="s">
        <v>3170</v>
      </c>
      <c r="D648" s="4" t="s">
        <v>3171</v>
      </c>
      <c r="E648" s="4">
        <v>680415.0</v>
      </c>
      <c r="F648" s="6">
        <v>1.0</v>
      </c>
      <c r="G648" s="4" t="s">
        <v>1021</v>
      </c>
      <c r="H648" s="4" t="s">
        <v>1021</v>
      </c>
      <c r="I648" s="4" t="s">
        <v>1021</v>
      </c>
      <c r="J648" s="4" t="str">
        <f t="shared" si="1"/>
        <v>김혜정7838</v>
      </c>
      <c r="K648" s="3" t="str">
        <f t="shared" si="2"/>
        <v>정상</v>
      </c>
      <c r="L648" s="4">
        <v>35000.0</v>
      </c>
      <c r="M648" s="4">
        <v>35000.0</v>
      </c>
      <c r="N648" s="4">
        <v>0.0</v>
      </c>
    </row>
    <row r="649">
      <c r="A649" s="6">
        <v>1183.0</v>
      </c>
      <c r="B649" s="4" t="s">
        <v>1471</v>
      </c>
      <c r="C649" s="4" t="s">
        <v>3172</v>
      </c>
      <c r="D649" s="4" t="s">
        <v>3173</v>
      </c>
      <c r="E649" s="4">
        <v>600603.0</v>
      </c>
      <c r="F649" s="6">
        <v>1.0</v>
      </c>
      <c r="G649" s="4" t="s">
        <v>1021</v>
      </c>
      <c r="H649" s="4" t="s">
        <v>1021</v>
      </c>
      <c r="I649" s="4" t="s">
        <v>1021</v>
      </c>
      <c r="J649" s="4" t="str">
        <f t="shared" si="1"/>
        <v>김훈선3200</v>
      </c>
      <c r="K649" s="3" t="str">
        <f t="shared" si="2"/>
        <v>정상</v>
      </c>
      <c r="L649" s="4">
        <v>35000.0</v>
      </c>
      <c r="M649" s="4">
        <v>35000.0</v>
      </c>
      <c r="N649" s="4">
        <v>0.0</v>
      </c>
    </row>
    <row r="650">
      <c r="A650" s="6">
        <v>924.0</v>
      </c>
      <c r="B650" s="4" t="s">
        <v>1001</v>
      </c>
      <c r="C650" s="4" t="s">
        <v>3174</v>
      </c>
      <c r="D650" s="4" t="s">
        <v>3175</v>
      </c>
      <c r="E650" s="4">
        <v>680225.0</v>
      </c>
      <c r="F650" s="6">
        <v>1.0</v>
      </c>
      <c r="G650" s="4" t="s">
        <v>1021</v>
      </c>
      <c r="H650" s="4" t="s">
        <v>1021</v>
      </c>
      <c r="I650" s="4" t="s">
        <v>1021</v>
      </c>
      <c r="J650" s="4" t="str">
        <f t="shared" si="1"/>
        <v>김희숙4548</v>
      </c>
      <c r="K650" s="3" t="str">
        <f t="shared" si="2"/>
        <v>정상</v>
      </c>
      <c r="L650" s="4">
        <v>35000.0</v>
      </c>
      <c r="M650" s="4">
        <v>35000.0</v>
      </c>
      <c r="N650" s="4">
        <v>0.0</v>
      </c>
    </row>
    <row r="651">
      <c r="A651" s="6">
        <v>1218.0</v>
      </c>
      <c r="B651" s="4" t="s">
        <v>1454</v>
      </c>
      <c r="C651" s="4" t="s">
        <v>3176</v>
      </c>
      <c r="D651" s="4" t="s">
        <v>3177</v>
      </c>
      <c r="E651" s="4">
        <v>670503.0</v>
      </c>
      <c r="F651" s="6">
        <v>1.0</v>
      </c>
      <c r="G651" s="4" t="s">
        <v>1021</v>
      </c>
      <c r="H651" s="4" t="s">
        <v>1021</v>
      </c>
      <c r="I651" s="4" t="s">
        <v>1021</v>
      </c>
      <c r="J651" s="4" t="str">
        <f t="shared" si="1"/>
        <v>남기은3569</v>
      </c>
      <c r="K651" s="3" t="str">
        <f t="shared" si="2"/>
        <v>정상</v>
      </c>
      <c r="L651" s="4">
        <v>35000.0</v>
      </c>
      <c r="M651" s="4">
        <v>35000.0</v>
      </c>
      <c r="N651" s="4">
        <v>0.0</v>
      </c>
    </row>
    <row r="652">
      <c r="A652" s="6">
        <v>527.0</v>
      </c>
      <c r="B652" s="4" t="s">
        <v>1789</v>
      </c>
      <c r="C652" s="4" t="s">
        <v>3178</v>
      </c>
      <c r="D652" s="4" t="s">
        <v>3179</v>
      </c>
      <c r="E652" s="4">
        <v>610625.0</v>
      </c>
      <c r="F652" s="6">
        <v>1.0</v>
      </c>
      <c r="G652" s="4" t="s">
        <v>1021</v>
      </c>
      <c r="H652" s="4" t="s">
        <v>1021</v>
      </c>
      <c r="I652" s="4" t="s">
        <v>1021</v>
      </c>
      <c r="J652" s="4" t="str">
        <f t="shared" si="1"/>
        <v>남명희2373</v>
      </c>
      <c r="K652" s="3" t="str">
        <f t="shared" si="2"/>
        <v>정상</v>
      </c>
      <c r="L652" s="4">
        <v>35000.0</v>
      </c>
      <c r="M652" s="4">
        <v>35000.0</v>
      </c>
      <c r="N652" s="4">
        <v>0.0</v>
      </c>
    </row>
    <row r="653">
      <c r="A653" s="6">
        <v>673.0</v>
      </c>
      <c r="B653" s="4" t="s">
        <v>1100</v>
      </c>
      <c r="C653" s="4" t="s">
        <v>3180</v>
      </c>
      <c r="D653" s="4" t="s">
        <v>3181</v>
      </c>
      <c r="E653" s="4">
        <v>650218.0</v>
      </c>
      <c r="F653" s="6">
        <v>1.0</v>
      </c>
      <c r="G653" s="4" t="s">
        <v>1021</v>
      </c>
      <c r="H653" s="4" t="s">
        <v>1021</v>
      </c>
      <c r="I653" s="4" t="s">
        <v>1021</v>
      </c>
      <c r="J653" s="4" t="str">
        <f t="shared" si="1"/>
        <v>남영애4875</v>
      </c>
      <c r="K653" s="3" t="str">
        <f t="shared" si="2"/>
        <v>정상</v>
      </c>
      <c r="L653" s="4">
        <v>35000.0</v>
      </c>
      <c r="M653" s="4">
        <v>35000.0</v>
      </c>
      <c r="N653" s="4">
        <v>0.0</v>
      </c>
    </row>
    <row r="654">
      <c r="A654" s="6">
        <v>150.0</v>
      </c>
      <c r="B654" s="4" t="s">
        <v>1287</v>
      </c>
      <c r="C654" s="4" t="s">
        <v>3182</v>
      </c>
      <c r="D654" s="4" t="s">
        <v>3183</v>
      </c>
      <c r="E654" s="4">
        <v>850117.0</v>
      </c>
      <c r="F654" s="6">
        <v>1.0</v>
      </c>
      <c r="G654" s="4" t="s">
        <v>1021</v>
      </c>
      <c r="H654" s="4" t="s">
        <v>1021</v>
      </c>
      <c r="I654" s="4" t="s">
        <v>1021</v>
      </c>
      <c r="J654" s="4" t="str">
        <f t="shared" si="1"/>
        <v>노지은2273</v>
      </c>
      <c r="K654" s="3" t="str">
        <f t="shared" si="2"/>
        <v>정상</v>
      </c>
      <c r="L654" s="4">
        <v>35000.0</v>
      </c>
      <c r="M654" s="4">
        <v>35000.0</v>
      </c>
      <c r="N654" s="4">
        <v>0.0</v>
      </c>
    </row>
    <row r="655">
      <c r="A655" s="6">
        <v>949.0</v>
      </c>
      <c r="B655" s="4" t="s">
        <v>1631</v>
      </c>
      <c r="C655" s="4" t="s">
        <v>3184</v>
      </c>
      <c r="D655" s="4" t="s">
        <v>3185</v>
      </c>
      <c r="E655" s="4">
        <v>460210.0</v>
      </c>
      <c r="F655" s="6">
        <v>1.0</v>
      </c>
      <c r="G655" s="4" t="s">
        <v>1021</v>
      </c>
      <c r="H655" s="4" t="s">
        <v>1021</v>
      </c>
      <c r="I655" s="4" t="s">
        <v>1021</v>
      </c>
      <c r="J655" s="4" t="str">
        <f t="shared" si="1"/>
        <v>류재관8774</v>
      </c>
      <c r="K655" s="3" t="str">
        <f t="shared" si="2"/>
        <v>정상</v>
      </c>
      <c r="L655" s="4">
        <v>35000.0</v>
      </c>
      <c r="M655" s="4">
        <v>35000.0</v>
      </c>
      <c r="N655" s="4">
        <v>0.0</v>
      </c>
    </row>
    <row r="656">
      <c r="A656" s="6">
        <v>497.0</v>
      </c>
      <c r="B656" s="4" t="s">
        <v>1095</v>
      </c>
      <c r="C656" s="4" t="s">
        <v>3186</v>
      </c>
      <c r="D656" s="4" t="s">
        <v>3187</v>
      </c>
      <c r="E656" s="4">
        <v>841024.0</v>
      </c>
      <c r="F656" s="6">
        <v>1.0</v>
      </c>
      <c r="G656" s="4" t="s">
        <v>1021</v>
      </c>
      <c r="H656" s="4" t="s">
        <v>1021</v>
      </c>
      <c r="I656" s="4" t="s">
        <v>1021</v>
      </c>
      <c r="J656" s="4" t="str">
        <f t="shared" si="1"/>
        <v>마정화5303</v>
      </c>
      <c r="K656" s="3" t="str">
        <f t="shared" si="2"/>
        <v>정상</v>
      </c>
      <c r="L656" s="4">
        <v>35000.0</v>
      </c>
      <c r="M656" s="4">
        <v>35000.0</v>
      </c>
      <c r="N656" s="4">
        <v>0.0</v>
      </c>
    </row>
    <row r="657">
      <c r="A657" s="6">
        <v>1238.0</v>
      </c>
      <c r="B657" s="4" t="s">
        <v>1209</v>
      </c>
      <c r="C657" s="4" t="s">
        <v>3188</v>
      </c>
      <c r="D657" s="4" t="s">
        <v>3189</v>
      </c>
      <c r="E657" s="4">
        <v>541023.0</v>
      </c>
      <c r="F657" s="6">
        <v>1.0</v>
      </c>
      <c r="G657" s="4" t="s">
        <v>1021</v>
      </c>
      <c r="H657" s="4" t="s">
        <v>1021</v>
      </c>
      <c r="I657" s="4" t="s">
        <v>1021</v>
      </c>
      <c r="J657" s="4" t="str">
        <f t="shared" si="1"/>
        <v>맹주갑7627</v>
      </c>
      <c r="K657" s="3" t="str">
        <f t="shared" si="2"/>
        <v>정상</v>
      </c>
      <c r="L657" s="4">
        <v>35000.0</v>
      </c>
      <c r="M657" s="4">
        <v>35000.0</v>
      </c>
      <c r="N657" s="4">
        <v>0.0</v>
      </c>
      <c r="O657" s="3"/>
      <c r="P657" s="3"/>
      <c r="Q657" s="3"/>
    </row>
    <row r="658">
      <c r="A658" s="6">
        <v>751.0</v>
      </c>
      <c r="B658" s="4" t="s">
        <v>2156</v>
      </c>
      <c r="C658" s="4" t="s">
        <v>3190</v>
      </c>
      <c r="D658" s="4" t="s">
        <v>3191</v>
      </c>
      <c r="E658" s="4">
        <v>550603.0</v>
      </c>
      <c r="F658" s="6">
        <v>1.0</v>
      </c>
      <c r="G658" s="4" t="s">
        <v>1021</v>
      </c>
      <c r="H658" s="4" t="s">
        <v>1021</v>
      </c>
      <c r="I658" s="4" t="s">
        <v>1021</v>
      </c>
      <c r="J658" s="4" t="str">
        <f t="shared" si="1"/>
        <v>맹태만0296</v>
      </c>
      <c r="K658" s="3" t="str">
        <f t="shared" si="2"/>
        <v>정상</v>
      </c>
      <c r="L658" s="4">
        <v>35000.0</v>
      </c>
      <c r="M658" s="4">
        <v>35000.0</v>
      </c>
      <c r="N658" s="4">
        <v>0.0</v>
      </c>
    </row>
    <row r="659">
      <c r="A659" s="6">
        <v>534.0</v>
      </c>
      <c r="B659" s="4" t="s">
        <v>2544</v>
      </c>
      <c r="C659" s="4" t="s">
        <v>3192</v>
      </c>
      <c r="D659" s="4" t="s">
        <v>3193</v>
      </c>
      <c r="E659" s="4">
        <v>560612.0</v>
      </c>
      <c r="F659" s="6">
        <v>1.0</v>
      </c>
      <c r="G659" s="4" t="s">
        <v>1021</v>
      </c>
      <c r="H659" s="4" t="s">
        <v>1021</v>
      </c>
      <c r="I659" s="4" t="s">
        <v>1021</v>
      </c>
      <c r="J659" s="4" t="str">
        <f t="shared" si="1"/>
        <v>문경순5276</v>
      </c>
      <c r="K659" s="3" t="str">
        <f t="shared" si="2"/>
        <v>정상</v>
      </c>
      <c r="L659" s="4">
        <v>35000.0</v>
      </c>
      <c r="M659" s="4">
        <v>35000.0</v>
      </c>
      <c r="N659" s="4">
        <v>0.0</v>
      </c>
    </row>
    <row r="660">
      <c r="A660" s="6">
        <v>573.0</v>
      </c>
      <c r="B660" s="4" t="s">
        <v>1312</v>
      </c>
      <c r="C660" s="4" t="s">
        <v>3194</v>
      </c>
      <c r="D660" s="4" t="s">
        <v>3195</v>
      </c>
      <c r="E660" s="4">
        <v>560711.0</v>
      </c>
      <c r="F660" s="6">
        <v>1.0</v>
      </c>
      <c r="G660" s="4" t="s">
        <v>1021</v>
      </c>
      <c r="H660" s="4" t="s">
        <v>1021</v>
      </c>
      <c r="I660" s="4" t="s">
        <v>1021</v>
      </c>
      <c r="J660" s="4" t="str">
        <f t="shared" si="1"/>
        <v>문영희1684</v>
      </c>
      <c r="K660" s="3" t="str">
        <f t="shared" si="2"/>
        <v>정상</v>
      </c>
      <c r="L660" s="4">
        <v>35000.0</v>
      </c>
      <c r="M660" s="4">
        <v>35000.0</v>
      </c>
      <c r="N660" s="4">
        <v>0.0</v>
      </c>
    </row>
    <row r="661">
      <c r="A661" s="6">
        <v>1226.0</v>
      </c>
      <c r="B661" s="4" t="s">
        <v>1071</v>
      </c>
      <c r="C661" s="4" t="s">
        <v>3196</v>
      </c>
      <c r="D661" s="4" t="s">
        <v>3197</v>
      </c>
      <c r="E661" s="4">
        <v>751020.0</v>
      </c>
      <c r="F661" s="6">
        <v>1.0</v>
      </c>
      <c r="G661" s="4" t="s">
        <v>1021</v>
      </c>
      <c r="H661" s="4" t="s">
        <v>1021</v>
      </c>
      <c r="I661" s="4" t="s">
        <v>1021</v>
      </c>
      <c r="J661" s="4" t="str">
        <f t="shared" si="1"/>
        <v>문유정4297</v>
      </c>
      <c r="K661" s="3" t="str">
        <f t="shared" si="2"/>
        <v>정상</v>
      </c>
      <c r="L661" s="4">
        <v>35000.0</v>
      </c>
      <c r="M661" s="4">
        <v>35000.0</v>
      </c>
      <c r="N661" s="4">
        <v>0.0</v>
      </c>
    </row>
    <row r="662">
      <c r="A662" s="6">
        <v>348.0</v>
      </c>
      <c r="B662" s="4" t="s">
        <v>1032</v>
      </c>
      <c r="C662" s="4" t="s">
        <v>3198</v>
      </c>
      <c r="D662" s="4" t="s">
        <v>3199</v>
      </c>
      <c r="E662" s="4">
        <v>650527.0</v>
      </c>
      <c r="F662" s="6">
        <v>1.0</v>
      </c>
      <c r="G662" s="4" t="s">
        <v>1021</v>
      </c>
      <c r="H662" s="4" t="s">
        <v>1021</v>
      </c>
      <c r="I662" s="4" t="s">
        <v>1021</v>
      </c>
      <c r="J662" s="4" t="str">
        <f t="shared" si="1"/>
        <v>문정희1120</v>
      </c>
      <c r="K662" s="3" t="str">
        <f t="shared" si="2"/>
        <v>정상</v>
      </c>
      <c r="L662" s="4">
        <v>35000.0</v>
      </c>
      <c r="M662" s="4">
        <v>35000.0</v>
      </c>
      <c r="N662" s="4">
        <v>0.0</v>
      </c>
    </row>
    <row r="663">
      <c r="A663" s="6">
        <v>510.0</v>
      </c>
      <c r="B663" s="4" t="s">
        <v>1095</v>
      </c>
      <c r="C663" s="4" t="s">
        <v>3200</v>
      </c>
      <c r="D663" s="4" t="s">
        <v>3201</v>
      </c>
      <c r="E663" s="4">
        <v>720417.0</v>
      </c>
      <c r="F663" s="6">
        <v>1.0</v>
      </c>
      <c r="G663" s="4" t="s">
        <v>1021</v>
      </c>
      <c r="H663" s="4" t="s">
        <v>1021</v>
      </c>
      <c r="I663" s="4" t="s">
        <v>1021</v>
      </c>
      <c r="J663" s="4" t="str">
        <f t="shared" si="1"/>
        <v>문채영0417</v>
      </c>
      <c r="K663" s="3" t="str">
        <f t="shared" si="2"/>
        <v>정상</v>
      </c>
      <c r="L663" s="4">
        <v>35000.0</v>
      </c>
      <c r="M663" s="4">
        <v>35000.0</v>
      </c>
      <c r="N663" s="4">
        <v>0.0</v>
      </c>
    </row>
    <row r="664">
      <c r="A664" s="6">
        <v>404.0</v>
      </c>
      <c r="B664" s="4" t="s">
        <v>1195</v>
      </c>
      <c r="C664" s="4" t="s">
        <v>3202</v>
      </c>
      <c r="D664" s="4" t="s">
        <v>3203</v>
      </c>
      <c r="E664" s="4">
        <v>740127.0</v>
      </c>
      <c r="F664" s="6">
        <v>1.0</v>
      </c>
      <c r="G664" s="4" t="s">
        <v>1021</v>
      </c>
      <c r="H664" s="4" t="s">
        <v>1021</v>
      </c>
      <c r="I664" s="4" t="s">
        <v>1021</v>
      </c>
      <c r="J664" s="4" t="str">
        <f t="shared" si="1"/>
        <v>민기정0759</v>
      </c>
      <c r="K664" s="3" t="str">
        <f t="shared" si="2"/>
        <v>정상</v>
      </c>
      <c r="L664" s="4">
        <v>35000.0</v>
      </c>
      <c r="M664" s="4">
        <v>35000.0</v>
      </c>
      <c r="N664" s="4">
        <v>0.0</v>
      </c>
    </row>
    <row r="665">
      <c r="A665" s="6">
        <v>737.0</v>
      </c>
      <c r="B665" s="4" t="s">
        <v>1784</v>
      </c>
      <c r="C665" s="4" t="s">
        <v>3204</v>
      </c>
      <c r="D665" s="4" t="s">
        <v>3205</v>
      </c>
      <c r="E665" s="4">
        <v>600812.0</v>
      </c>
      <c r="F665" s="6">
        <v>1.0</v>
      </c>
      <c r="G665" s="4" t="s">
        <v>1021</v>
      </c>
      <c r="H665" s="4" t="s">
        <v>1021</v>
      </c>
      <c r="I665" s="4" t="s">
        <v>1021</v>
      </c>
      <c r="J665" s="4" t="str">
        <f t="shared" si="1"/>
        <v>민병숙3213</v>
      </c>
      <c r="K665" s="3" t="str">
        <f t="shared" si="2"/>
        <v>정상</v>
      </c>
      <c r="L665" s="4">
        <v>35000.0</v>
      </c>
      <c r="M665" s="4">
        <v>35000.0</v>
      </c>
      <c r="N665" s="4">
        <v>0.0</v>
      </c>
    </row>
    <row r="666">
      <c r="A666" s="6">
        <v>899.0</v>
      </c>
      <c r="B666" s="4" t="s">
        <v>1872</v>
      </c>
      <c r="C666" s="4" t="s">
        <v>3206</v>
      </c>
      <c r="D666" s="4" t="s">
        <v>3207</v>
      </c>
      <c r="E666" s="4">
        <v>560905.0</v>
      </c>
      <c r="F666" s="6">
        <v>1.0</v>
      </c>
      <c r="G666" s="4" t="s">
        <v>1021</v>
      </c>
      <c r="H666" s="4" t="s">
        <v>1021</v>
      </c>
      <c r="I666" s="4" t="s">
        <v>1021</v>
      </c>
      <c r="J666" s="4" t="str">
        <f t="shared" si="1"/>
        <v>민병주7576</v>
      </c>
      <c r="K666" s="3" t="str">
        <f t="shared" si="2"/>
        <v>정상</v>
      </c>
      <c r="L666" s="4">
        <v>35000.0</v>
      </c>
      <c r="M666" s="4">
        <v>35000.0</v>
      </c>
      <c r="N666" s="4">
        <v>0.0</v>
      </c>
    </row>
    <row r="667">
      <c r="A667" s="6">
        <v>668.0</v>
      </c>
      <c r="B667" s="4" t="s">
        <v>1100</v>
      </c>
      <c r="C667" s="4" t="s">
        <v>3208</v>
      </c>
      <c r="D667" s="4" t="s">
        <v>3209</v>
      </c>
      <c r="E667" s="4">
        <v>601227.0</v>
      </c>
      <c r="F667" s="6">
        <v>1.0</v>
      </c>
      <c r="G667" s="4" t="s">
        <v>1021</v>
      </c>
      <c r="H667" s="4" t="s">
        <v>1021</v>
      </c>
      <c r="I667" s="4" t="s">
        <v>1021</v>
      </c>
      <c r="J667" s="4" t="str">
        <f t="shared" si="1"/>
        <v>민연화1227</v>
      </c>
      <c r="K667" s="3" t="str">
        <f t="shared" si="2"/>
        <v>정상</v>
      </c>
      <c r="L667" s="4">
        <v>35000.0</v>
      </c>
      <c r="M667" s="4">
        <v>35000.0</v>
      </c>
      <c r="N667" s="4">
        <v>0.0</v>
      </c>
    </row>
    <row r="668">
      <c r="A668" s="6">
        <v>669.0</v>
      </c>
      <c r="B668" s="4" t="s">
        <v>1100</v>
      </c>
      <c r="C668" s="4" t="s">
        <v>3210</v>
      </c>
      <c r="D668" s="4" t="s">
        <v>3211</v>
      </c>
      <c r="E668" s="4">
        <v>641130.0</v>
      </c>
      <c r="F668" s="6">
        <v>1.0</v>
      </c>
      <c r="G668" s="4" t="s">
        <v>1021</v>
      </c>
      <c r="H668" s="4" t="s">
        <v>1021</v>
      </c>
      <c r="I668" s="4" t="s">
        <v>1021</v>
      </c>
      <c r="J668" s="4" t="str">
        <f t="shared" si="1"/>
        <v>민영훈3412</v>
      </c>
      <c r="K668" s="3" t="str">
        <f t="shared" si="2"/>
        <v>정상</v>
      </c>
      <c r="L668" s="4">
        <v>35000.0</v>
      </c>
      <c r="M668" s="4">
        <v>35000.0</v>
      </c>
      <c r="N668" s="4">
        <v>0.0</v>
      </c>
    </row>
    <row r="669">
      <c r="A669" s="6">
        <v>277.0</v>
      </c>
      <c r="B669" s="4" t="s">
        <v>1081</v>
      </c>
      <c r="C669" s="4" t="s">
        <v>3212</v>
      </c>
      <c r="D669" s="4" t="s">
        <v>3213</v>
      </c>
      <c r="E669" s="4">
        <v>440520.0</v>
      </c>
      <c r="F669" s="6">
        <v>1.0</v>
      </c>
      <c r="G669" s="4" t="s">
        <v>1021</v>
      </c>
      <c r="H669" s="4" t="s">
        <v>1021</v>
      </c>
      <c r="I669" s="4" t="s">
        <v>1021</v>
      </c>
      <c r="J669" s="4" t="str">
        <f t="shared" si="1"/>
        <v>박경례2109</v>
      </c>
      <c r="K669" s="3" t="str">
        <f t="shared" si="2"/>
        <v>정상</v>
      </c>
      <c r="L669" s="4">
        <v>35000.0</v>
      </c>
      <c r="M669" s="4">
        <v>35000.0</v>
      </c>
      <c r="N669" s="4">
        <v>0.0</v>
      </c>
    </row>
    <row r="670">
      <c r="A670" s="5">
        <v>834.0</v>
      </c>
      <c r="B670" s="3" t="s">
        <v>1588</v>
      </c>
      <c r="C670" s="3" t="s">
        <v>2289</v>
      </c>
      <c r="D670" s="3" t="s">
        <v>3214</v>
      </c>
      <c r="E670" s="3">
        <v>710301.0</v>
      </c>
      <c r="F670" s="5">
        <v>1.0</v>
      </c>
      <c r="G670" s="3" t="s">
        <v>1021</v>
      </c>
      <c r="H670" s="3" t="s">
        <v>1021</v>
      </c>
      <c r="I670" s="3" t="s">
        <v>1021</v>
      </c>
      <c r="J670" s="4" t="str">
        <f t="shared" si="1"/>
        <v>박경순3275</v>
      </c>
      <c r="K670" s="3" t="str">
        <f t="shared" si="2"/>
        <v>정상</v>
      </c>
      <c r="L670" s="4">
        <v>35000.0</v>
      </c>
      <c r="M670" s="4">
        <v>35000.0</v>
      </c>
      <c r="N670" s="4">
        <v>0.0</v>
      </c>
    </row>
    <row r="671">
      <c r="A671" s="6">
        <v>971.0</v>
      </c>
      <c r="B671" s="4" t="s">
        <v>1547</v>
      </c>
      <c r="C671" s="4" t="s">
        <v>3215</v>
      </c>
      <c r="D671" s="4" t="s">
        <v>3216</v>
      </c>
      <c r="E671" s="4">
        <v>700428.0</v>
      </c>
      <c r="F671" s="6">
        <v>1.0</v>
      </c>
      <c r="G671" s="4" t="s">
        <v>1021</v>
      </c>
      <c r="H671" s="4" t="s">
        <v>1021</v>
      </c>
      <c r="I671" s="4" t="s">
        <v>1021</v>
      </c>
      <c r="J671" s="4" t="str">
        <f t="shared" si="1"/>
        <v>박경아3911</v>
      </c>
      <c r="K671" s="3" t="str">
        <f t="shared" si="2"/>
        <v>정상</v>
      </c>
      <c r="L671" s="4">
        <v>35000.0</v>
      </c>
      <c r="M671" s="4">
        <v>35000.0</v>
      </c>
      <c r="N671" s="4">
        <v>0.0</v>
      </c>
    </row>
    <row r="672">
      <c r="A672" s="6">
        <v>187.0</v>
      </c>
      <c r="B672" s="4" t="s">
        <v>2607</v>
      </c>
      <c r="C672" s="4" t="s">
        <v>3217</v>
      </c>
      <c r="D672" s="4" t="s">
        <v>3218</v>
      </c>
      <c r="E672" s="4">
        <v>550228.0</v>
      </c>
      <c r="F672" s="6">
        <v>1.0</v>
      </c>
      <c r="G672" s="4" t="s">
        <v>1021</v>
      </c>
      <c r="H672" s="4" t="s">
        <v>1021</v>
      </c>
      <c r="I672" s="4" t="s">
        <v>1021</v>
      </c>
      <c r="J672" s="4" t="str">
        <f t="shared" si="1"/>
        <v>박경옥9945</v>
      </c>
      <c r="K672" s="3" t="str">
        <f t="shared" si="2"/>
        <v>정상</v>
      </c>
      <c r="L672" s="4">
        <v>35000.0</v>
      </c>
      <c r="M672" s="4">
        <v>35000.0</v>
      </c>
      <c r="N672" s="4">
        <v>0.0</v>
      </c>
    </row>
    <row r="673">
      <c r="A673" s="6">
        <v>807.0</v>
      </c>
      <c r="B673" s="4" t="s">
        <v>1232</v>
      </c>
      <c r="C673" s="4" t="s">
        <v>3219</v>
      </c>
      <c r="D673" s="4" t="s">
        <v>3220</v>
      </c>
      <c r="E673" s="4">
        <v>761025.0</v>
      </c>
      <c r="F673" s="6">
        <v>1.0</v>
      </c>
      <c r="G673" s="4" t="s">
        <v>1021</v>
      </c>
      <c r="H673" s="4" t="s">
        <v>1021</v>
      </c>
      <c r="I673" s="4" t="s">
        <v>1021</v>
      </c>
      <c r="J673" s="4" t="str">
        <f t="shared" si="1"/>
        <v>박귀연4640</v>
      </c>
      <c r="K673" s="3" t="str">
        <f t="shared" si="2"/>
        <v>정상</v>
      </c>
      <c r="L673" s="4">
        <v>35000.0</v>
      </c>
      <c r="M673" s="4">
        <v>35000.0</v>
      </c>
      <c r="N673" s="4">
        <v>0.0</v>
      </c>
    </row>
    <row r="674">
      <c r="A674" s="6">
        <v>321.0</v>
      </c>
      <c r="B674" s="4" t="s">
        <v>1012</v>
      </c>
      <c r="C674" s="4" t="s">
        <v>3221</v>
      </c>
      <c r="D674" s="4" t="s">
        <v>3222</v>
      </c>
      <c r="E674" s="4">
        <v>600304.0</v>
      </c>
      <c r="F674" s="6">
        <v>1.0</v>
      </c>
      <c r="G674" s="4" t="s">
        <v>1021</v>
      </c>
      <c r="H674" s="4" t="s">
        <v>1021</v>
      </c>
      <c r="I674" s="4" t="s">
        <v>1021</v>
      </c>
      <c r="J674" s="4" t="str">
        <f t="shared" si="1"/>
        <v>박귀자8389</v>
      </c>
      <c r="K674" s="3" t="str">
        <f t="shared" si="2"/>
        <v>정상</v>
      </c>
      <c r="L674" s="4">
        <v>35000.0</v>
      </c>
      <c r="M674" s="4">
        <v>35000.0</v>
      </c>
      <c r="N674" s="4">
        <v>0.0</v>
      </c>
    </row>
    <row r="675">
      <c r="A675" s="6">
        <v>718.0</v>
      </c>
      <c r="B675" s="4" t="s">
        <v>2234</v>
      </c>
      <c r="C675" s="4" t="s">
        <v>3223</v>
      </c>
      <c r="D675" s="4" t="s">
        <v>3224</v>
      </c>
      <c r="E675" s="4">
        <v>690911.0</v>
      </c>
      <c r="F675" s="6">
        <v>1.0</v>
      </c>
      <c r="G675" s="4" t="s">
        <v>1021</v>
      </c>
      <c r="H675" s="4" t="s">
        <v>1021</v>
      </c>
      <c r="I675" s="4" t="s">
        <v>1021</v>
      </c>
      <c r="J675" s="4" t="str">
        <f t="shared" si="1"/>
        <v>박낙희8874</v>
      </c>
      <c r="K675" s="3" t="str">
        <f t="shared" si="2"/>
        <v>정상</v>
      </c>
      <c r="L675" s="4">
        <v>35000.0</v>
      </c>
      <c r="M675" s="4">
        <v>35000.0</v>
      </c>
      <c r="N675" s="4">
        <v>0.0</v>
      </c>
    </row>
    <row r="676">
      <c r="A676" s="6">
        <v>1094.0</v>
      </c>
      <c r="B676" s="4" t="s">
        <v>1137</v>
      </c>
      <c r="C676" s="4" t="s">
        <v>3225</v>
      </c>
      <c r="D676" s="4" t="s">
        <v>3226</v>
      </c>
      <c r="E676" s="4">
        <v>600615.0</v>
      </c>
      <c r="F676" s="6">
        <v>1.0</v>
      </c>
      <c r="G676" s="4" t="s">
        <v>1021</v>
      </c>
      <c r="H676" s="4" t="s">
        <v>1021</v>
      </c>
      <c r="I676" s="4" t="s">
        <v>1021</v>
      </c>
      <c r="J676" s="4" t="str">
        <f t="shared" si="1"/>
        <v>박명화9635</v>
      </c>
      <c r="K676" s="3" t="str">
        <f t="shared" si="2"/>
        <v>정상</v>
      </c>
      <c r="L676" s="4">
        <v>35000.0</v>
      </c>
      <c r="M676" s="4">
        <v>35000.0</v>
      </c>
      <c r="N676" s="4">
        <v>0.0</v>
      </c>
    </row>
    <row r="677">
      <c r="A677" s="6">
        <v>939.0</v>
      </c>
      <c r="B677" s="4" t="s">
        <v>1523</v>
      </c>
      <c r="C677" s="4" t="s">
        <v>3227</v>
      </c>
      <c r="D677" s="4" t="s">
        <v>3228</v>
      </c>
      <c r="E677" s="4">
        <v>771116.0</v>
      </c>
      <c r="F677" s="6">
        <v>1.0</v>
      </c>
      <c r="G677" s="4" t="s">
        <v>1021</v>
      </c>
      <c r="H677" s="4" t="s">
        <v>1021</v>
      </c>
      <c r="I677" s="4" t="s">
        <v>1021</v>
      </c>
      <c r="J677" s="4" t="str">
        <f t="shared" si="1"/>
        <v>박미라2808</v>
      </c>
      <c r="K677" s="3" t="str">
        <f t="shared" si="2"/>
        <v>정상</v>
      </c>
      <c r="L677" s="4">
        <v>35000.0</v>
      </c>
      <c r="M677" s="4">
        <v>35000.0</v>
      </c>
      <c r="N677" s="4">
        <v>0.0</v>
      </c>
    </row>
    <row r="678">
      <c r="A678" s="6">
        <v>1193.0</v>
      </c>
      <c r="B678" s="4" t="s">
        <v>1530</v>
      </c>
      <c r="C678" s="4" t="s">
        <v>3229</v>
      </c>
      <c r="D678" s="4" t="s">
        <v>3230</v>
      </c>
      <c r="E678" s="4">
        <v>590901.0</v>
      </c>
      <c r="F678" s="6">
        <v>1.0</v>
      </c>
      <c r="G678" s="4" t="s">
        <v>1021</v>
      </c>
      <c r="H678" s="4" t="s">
        <v>1021</v>
      </c>
      <c r="I678" s="4" t="s">
        <v>1021</v>
      </c>
      <c r="J678" s="4" t="str">
        <f t="shared" si="1"/>
        <v>박미숙9537</v>
      </c>
      <c r="K678" s="3" t="str">
        <f t="shared" si="2"/>
        <v>정상</v>
      </c>
      <c r="L678" s="4">
        <v>35000.0</v>
      </c>
      <c r="M678" s="4">
        <v>35000.0</v>
      </c>
      <c r="N678" s="4">
        <v>0.0</v>
      </c>
    </row>
    <row r="679">
      <c r="A679" s="6">
        <v>1216.0</v>
      </c>
      <c r="B679" s="4" t="s">
        <v>1454</v>
      </c>
      <c r="C679" s="4" t="s">
        <v>2257</v>
      </c>
      <c r="D679" s="4" t="s">
        <v>3231</v>
      </c>
      <c r="E679" s="4">
        <v>610227.0</v>
      </c>
      <c r="F679" s="6">
        <v>1.0</v>
      </c>
      <c r="G679" s="4" t="s">
        <v>1021</v>
      </c>
      <c r="H679" s="4" t="s">
        <v>1021</v>
      </c>
      <c r="I679" s="4" t="s">
        <v>1021</v>
      </c>
      <c r="J679" s="4" t="str">
        <f t="shared" si="1"/>
        <v>박미영4479</v>
      </c>
      <c r="K679" s="3" t="str">
        <f t="shared" si="2"/>
        <v>정상</v>
      </c>
      <c r="L679" s="4">
        <v>35000.0</v>
      </c>
      <c r="M679" s="4">
        <v>35000.0</v>
      </c>
      <c r="N679" s="4">
        <v>0.0</v>
      </c>
    </row>
    <row r="680">
      <c r="A680" s="6">
        <v>252.0</v>
      </c>
      <c r="B680" s="4" t="s">
        <v>1752</v>
      </c>
      <c r="C680" s="4" t="s">
        <v>3232</v>
      </c>
      <c r="D680" s="4" t="s">
        <v>3233</v>
      </c>
      <c r="E680" s="4">
        <v>601014.0</v>
      </c>
      <c r="F680" s="6">
        <v>1.0</v>
      </c>
      <c r="G680" s="4" t="s">
        <v>1021</v>
      </c>
      <c r="H680" s="4" t="s">
        <v>1021</v>
      </c>
      <c r="I680" s="4" t="s">
        <v>1021</v>
      </c>
      <c r="J680" s="4" t="str">
        <f t="shared" si="1"/>
        <v>박미향1729</v>
      </c>
      <c r="K680" s="3" t="str">
        <f t="shared" si="2"/>
        <v>정상</v>
      </c>
      <c r="L680" s="4">
        <v>35000.0</v>
      </c>
      <c r="M680" s="4">
        <v>35000.0</v>
      </c>
      <c r="N680" s="4">
        <v>0.0</v>
      </c>
    </row>
    <row r="681">
      <c r="A681" s="5">
        <v>211.0</v>
      </c>
      <c r="B681" s="3" t="s">
        <v>1566</v>
      </c>
      <c r="C681" s="3" t="s">
        <v>1363</v>
      </c>
      <c r="D681" s="3" t="s">
        <v>3234</v>
      </c>
      <c r="E681" s="3">
        <v>571025.0</v>
      </c>
      <c r="F681" s="5">
        <v>1.0</v>
      </c>
      <c r="G681" s="3" t="s">
        <v>1021</v>
      </c>
      <c r="H681" s="3" t="s">
        <v>1021</v>
      </c>
      <c r="I681" s="3" t="s">
        <v>1021</v>
      </c>
      <c r="J681" s="4" t="str">
        <f t="shared" si="1"/>
        <v>박복숙5056</v>
      </c>
      <c r="K681" s="3" t="str">
        <f t="shared" si="2"/>
        <v>정상</v>
      </c>
      <c r="L681" s="4">
        <v>35000.0</v>
      </c>
      <c r="M681" s="4">
        <v>35000.0</v>
      </c>
      <c r="N681" s="4">
        <v>0.0</v>
      </c>
    </row>
    <row r="682">
      <c r="A682" s="5">
        <v>1003.0</v>
      </c>
      <c r="B682" s="3" t="s">
        <v>1022</v>
      </c>
      <c r="C682" s="3" t="s">
        <v>3235</v>
      </c>
      <c r="D682" s="3" t="s">
        <v>3236</v>
      </c>
      <c r="E682" s="3">
        <v>530309.0</v>
      </c>
      <c r="F682" s="5">
        <v>1.0</v>
      </c>
      <c r="G682" s="3" t="s">
        <v>1021</v>
      </c>
      <c r="H682" s="3" t="s">
        <v>1021</v>
      </c>
      <c r="I682" s="3" t="s">
        <v>1021</v>
      </c>
      <c r="J682" s="4" t="str">
        <f t="shared" si="1"/>
        <v>박선화5598</v>
      </c>
      <c r="K682" s="3" t="str">
        <f t="shared" si="2"/>
        <v>정상</v>
      </c>
      <c r="L682" s="4">
        <v>35000.0</v>
      </c>
      <c r="M682" s="4">
        <v>35000.0</v>
      </c>
      <c r="N682" s="4">
        <v>0.0</v>
      </c>
    </row>
    <row r="683">
      <c r="A683" s="6">
        <v>795.0</v>
      </c>
      <c r="B683" s="4" t="s">
        <v>2932</v>
      </c>
      <c r="C683" s="4" t="s">
        <v>3237</v>
      </c>
      <c r="D683" s="4" t="s">
        <v>3238</v>
      </c>
      <c r="E683" s="4">
        <v>711008.0</v>
      </c>
      <c r="F683" s="6">
        <v>1.0</v>
      </c>
      <c r="G683" s="4" t="s">
        <v>1021</v>
      </c>
      <c r="H683" s="4" t="s">
        <v>1021</v>
      </c>
      <c r="I683" s="4" t="s">
        <v>1021</v>
      </c>
      <c r="J683" s="4" t="str">
        <f t="shared" si="1"/>
        <v>박선희8166</v>
      </c>
      <c r="K683" s="3" t="str">
        <f t="shared" si="2"/>
        <v>정상</v>
      </c>
      <c r="L683" s="4">
        <v>35000.0</v>
      </c>
      <c r="M683" s="4">
        <v>35000.0</v>
      </c>
      <c r="N683" s="4">
        <v>0.0</v>
      </c>
    </row>
    <row r="684">
      <c r="A684" s="6">
        <v>315.0</v>
      </c>
      <c r="B684" s="4" t="s">
        <v>2773</v>
      </c>
      <c r="C684" s="4" t="s">
        <v>3239</v>
      </c>
      <c r="D684" s="4" t="s">
        <v>3240</v>
      </c>
      <c r="E684" s="4">
        <v>720805.0</v>
      </c>
      <c r="F684" s="6">
        <v>1.0</v>
      </c>
      <c r="G684" s="4" t="s">
        <v>1021</v>
      </c>
      <c r="H684" s="4" t="s">
        <v>1021</v>
      </c>
      <c r="I684" s="4" t="s">
        <v>1021</v>
      </c>
      <c r="J684" s="4" t="str">
        <f t="shared" si="1"/>
        <v>박성숙7805</v>
      </c>
      <c r="K684" s="3" t="str">
        <f t="shared" si="2"/>
        <v>정상</v>
      </c>
      <c r="L684" s="4">
        <v>35000.0</v>
      </c>
      <c r="M684" s="4">
        <v>35000.0</v>
      </c>
      <c r="N684" s="4">
        <v>0.0</v>
      </c>
    </row>
    <row r="685">
      <c r="A685" s="5">
        <v>483.0</v>
      </c>
      <c r="B685" s="3" t="s">
        <v>1042</v>
      </c>
      <c r="C685" s="3" t="s">
        <v>3241</v>
      </c>
      <c r="D685" s="3" t="s">
        <v>3242</v>
      </c>
      <c r="E685" s="3">
        <v>850227.0</v>
      </c>
      <c r="F685" s="5">
        <v>1.0</v>
      </c>
      <c r="G685" s="3" t="s">
        <v>1021</v>
      </c>
      <c r="H685" s="3" t="s">
        <v>1021</v>
      </c>
      <c r="I685" s="3" t="s">
        <v>1021</v>
      </c>
      <c r="J685" s="4" t="str">
        <f t="shared" si="1"/>
        <v>박성환2519</v>
      </c>
      <c r="K685" s="3" t="str">
        <f t="shared" si="2"/>
        <v>정상</v>
      </c>
      <c r="L685" s="4">
        <v>35000.0</v>
      </c>
      <c r="M685" s="4">
        <v>35000.0</v>
      </c>
      <c r="N685" s="4">
        <v>0.0</v>
      </c>
    </row>
    <row r="686">
      <c r="A686" s="6">
        <v>1154.0</v>
      </c>
      <c r="B686" s="4" t="s">
        <v>1165</v>
      </c>
      <c r="C686" s="4" t="s">
        <v>3243</v>
      </c>
      <c r="D686" s="4" t="s">
        <v>3244</v>
      </c>
      <c r="E686" s="4">
        <v>830507.0</v>
      </c>
      <c r="F686" s="6">
        <v>1.0</v>
      </c>
      <c r="G686" s="4" t="s">
        <v>1021</v>
      </c>
      <c r="H686" s="4" t="s">
        <v>1021</v>
      </c>
      <c r="I686" s="4" t="s">
        <v>1021</v>
      </c>
      <c r="J686" s="4" t="str">
        <f t="shared" si="1"/>
        <v>박성희9237</v>
      </c>
      <c r="K686" s="3" t="str">
        <f t="shared" si="2"/>
        <v>정상</v>
      </c>
      <c r="L686" s="4">
        <v>35000.0</v>
      </c>
      <c r="M686" s="4">
        <v>35000.0</v>
      </c>
      <c r="N686" s="4">
        <v>0.0</v>
      </c>
    </row>
    <row r="687">
      <c r="A687" s="6">
        <v>261.0</v>
      </c>
      <c r="B687" s="4" t="s">
        <v>1147</v>
      </c>
      <c r="C687" s="4" t="s">
        <v>3245</v>
      </c>
      <c r="D687" s="4" t="s">
        <v>3246</v>
      </c>
      <c r="E687" s="4">
        <v>710427.0</v>
      </c>
      <c r="F687" s="6">
        <v>1.0</v>
      </c>
      <c r="G687" s="4" t="s">
        <v>1021</v>
      </c>
      <c r="H687" s="4" t="s">
        <v>1021</v>
      </c>
      <c r="I687" s="4" t="s">
        <v>1021</v>
      </c>
      <c r="J687" s="4" t="str">
        <f t="shared" si="1"/>
        <v>박순화0025</v>
      </c>
      <c r="K687" s="3" t="str">
        <f t="shared" si="2"/>
        <v>정상</v>
      </c>
      <c r="L687" s="4">
        <v>35000.0</v>
      </c>
      <c r="M687" s="4">
        <v>35000.0</v>
      </c>
      <c r="N687" s="4">
        <v>0.0</v>
      </c>
    </row>
    <row r="688">
      <c r="A688" s="5">
        <v>493.0</v>
      </c>
      <c r="B688" s="3" t="s">
        <v>1027</v>
      </c>
      <c r="C688" s="3" t="s">
        <v>3247</v>
      </c>
      <c r="D688" s="3" t="s">
        <v>3248</v>
      </c>
      <c r="E688" s="3">
        <v>671201.0</v>
      </c>
      <c r="F688" s="5">
        <v>1.0</v>
      </c>
      <c r="G688" s="3" t="s">
        <v>1021</v>
      </c>
      <c r="H688" s="3" t="s">
        <v>1021</v>
      </c>
      <c r="I688" s="3" t="s">
        <v>1021</v>
      </c>
      <c r="J688" s="4" t="str">
        <f t="shared" si="1"/>
        <v>박승진3300</v>
      </c>
      <c r="K688" s="3" t="str">
        <f t="shared" si="2"/>
        <v>정상</v>
      </c>
      <c r="L688" s="4">
        <v>35000.0</v>
      </c>
      <c r="M688" s="4">
        <v>35000.0</v>
      </c>
      <c r="N688" s="4">
        <v>0.0</v>
      </c>
    </row>
    <row r="689">
      <c r="A689" s="6">
        <v>882.0</v>
      </c>
      <c r="B689" s="4" t="s">
        <v>1621</v>
      </c>
      <c r="C689" s="4" t="s">
        <v>3249</v>
      </c>
      <c r="D689" s="4" t="s">
        <v>3250</v>
      </c>
      <c r="E689" s="4">
        <v>550508.0</v>
      </c>
      <c r="F689" s="6">
        <v>1.0</v>
      </c>
      <c r="G689" s="4" t="s">
        <v>1021</v>
      </c>
      <c r="H689" s="4" t="s">
        <v>1021</v>
      </c>
      <c r="I689" s="4" t="s">
        <v>1021</v>
      </c>
      <c r="J689" s="4" t="str">
        <f t="shared" si="1"/>
        <v>박승혜6217</v>
      </c>
      <c r="K689" s="3" t="str">
        <f t="shared" si="2"/>
        <v>정상</v>
      </c>
      <c r="L689" s="4">
        <v>35000.0</v>
      </c>
      <c r="M689" s="4">
        <v>35000.0</v>
      </c>
      <c r="N689" s="4">
        <v>0.0</v>
      </c>
    </row>
    <row r="690">
      <c r="A690" s="6">
        <v>998.0</v>
      </c>
      <c r="B690" s="4" t="s">
        <v>1022</v>
      </c>
      <c r="C690" s="4" t="s">
        <v>3251</v>
      </c>
      <c r="D690" s="4" t="s">
        <v>3252</v>
      </c>
      <c r="E690" s="4">
        <v>750919.0</v>
      </c>
      <c r="F690" s="6">
        <v>1.0</v>
      </c>
      <c r="G690" s="4" t="s">
        <v>1021</v>
      </c>
      <c r="H690" s="4" t="s">
        <v>1021</v>
      </c>
      <c r="I690" s="4" t="s">
        <v>1021</v>
      </c>
      <c r="J690" s="4" t="str">
        <f t="shared" si="1"/>
        <v>박신영3217</v>
      </c>
      <c r="K690" s="3" t="str">
        <f t="shared" si="2"/>
        <v>정상</v>
      </c>
      <c r="L690" s="4">
        <v>35000.0</v>
      </c>
      <c r="M690" s="4">
        <v>35000.0</v>
      </c>
      <c r="N690" s="4">
        <v>0.0</v>
      </c>
    </row>
    <row r="691">
      <c r="A691" s="6">
        <v>1068.0</v>
      </c>
      <c r="B691" s="4" t="s">
        <v>1076</v>
      </c>
      <c r="C691" s="4" t="s">
        <v>3253</v>
      </c>
      <c r="D691" s="4" t="s">
        <v>3254</v>
      </c>
      <c r="E691" s="4">
        <v>700802.0</v>
      </c>
      <c r="F691" s="6">
        <v>1.0</v>
      </c>
      <c r="G691" s="4" t="s">
        <v>1021</v>
      </c>
      <c r="H691" s="4" t="s">
        <v>1021</v>
      </c>
      <c r="I691" s="4" t="s">
        <v>1021</v>
      </c>
      <c r="J691" s="4" t="str">
        <f t="shared" si="1"/>
        <v>박여자5557</v>
      </c>
      <c r="K691" s="3" t="str">
        <f t="shared" si="2"/>
        <v>정상</v>
      </c>
      <c r="L691" s="4">
        <v>35000.0</v>
      </c>
      <c r="M691" s="4">
        <v>35000.0</v>
      </c>
      <c r="N691" s="4">
        <v>0.0</v>
      </c>
    </row>
    <row r="692">
      <c r="A692" s="6">
        <v>964.0</v>
      </c>
      <c r="B692" s="4" t="s">
        <v>1547</v>
      </c>
      <c r="C692" s="4" t="s">
        <v>3255</v>
      </c>
      <c r="D692" s="4" t="s">
        <v>3256</v>
      </c>
      <c r="E692" s="4">
        <v>590727.0</v>
      </c>
      <c r="F692" s="6">
        <v>1.0</v>
      </c>
      <c r="G692" s="4" t="s">
        <v>1021</v>
      </c>
      <c r="H692" s="4" t="s">
        <v>1021</v>
      </c>
      <c r="I692" s="4" t="s">
        <v>1021</v>
      </c>
      <c r="J692" s="4" t="str">
        <f t="shared" si="1"/>
        <v>박연희3584</v>
      </c>
      <c r="K692" s="3" t="str">
        <f t="shared" si="2"/>
        <v>정상</v>
      </c>
      <c r="L692" s="4">
        <v>35000.0</v>
      </c>
      <c r="M692" s="4">
        <v>35000.0</v>
      </c>
      <c r="N692" s="4">
        <v>0.0</v>
      </c>
    </row>
    <row r="693">
      <c r="A693" s="6">
        <v>721.0</v>
      </c>
      <c r="B693" s="4" t="s">
        <v>2234</v>
      </c>
      <c r="C693" s="4" t="s">
        <v>3257</v>
      </c>
      <c r="D693" s="4" t="s">
        <v>3258</v>
      </c>
      <c r="E693" s="4">
        <v>650830.0</v>
      </c>
      <c r="F693" s="6">
        <v>1.0</v>
      </c>
      <c r="G693" s="4" t="s">
        <v>1021</v>
      </c>
      <c r="H693" s="4" t="s">
        <v>1021</v>
      </c>
      <c r="I693" s="4" t="s">
        <v>1021</v>
      </c>
      <c r="J693" s="4" t="str">
        <f t="shared" si="1"/>
        <v>박영미8775</v>
      </c>
      <c r="K693" s="3" t="str">
        <f t="shared" si="2"/>
        <v>정상</v>
      </c>
      <c r="L693" s="4">
        <v>35000.0</v>
      </c>
      <c r="M693" s="4">
        <v>35000.0</v>
      </c>
      <c r="N693" s="4">
        <v>0.0</v>
      </c>
    </row>
    <row r="694">
      <c r="A694" s="6">
        <v>1231.0</v>
      </c>
      <c r="B694" s="4" t="s">
        <v>1209</v>
      </c>
      <c r="C694" s="4" t="s">
        <v>3259</v>
      </c>
      <c r="D694" s="4" t="s">
        <v>3260</v>
      </c>
      <c r="E694" s="4">
        <v>800315.0</v>
      </c>
      <c r="F694" s="6">
        <v>1.0</v>
      </c>
      <c r="G694" s="4" t="s">
        <v>1021</v>
      </c>
      <c r="H694" s="4" t="s">
        <v>1021</v>
      </c>
      <c r="I694" s="4" t="s">
        <v>1021</v>
      </c>
      <c r="J694" s="4" t="str">
        <f t="shared" si="1"/>
        <v>박영춘4542</v>
      </c>
      <c r="K694" s="3" t="str">
        <f t="shared" si="2"/>
        <v>정상</v>
      </c>
      <c r="L694" s="4">
        <v>35000.0</v>
      </c>
      <c r="M694" s="4">
        <v>35000.0</v>
      </c>
      <c r="N694" s="4">
        <v>0.0</v>
      </c>
    </row>
    <row r="695">
      <c r="A695" s="6">
        <v>842.0</v>
      </c>
      <c r="B695" s="4" t="s">
        <v>1588</v>
      </c>
      <c r="C695" s="4" t="s">
        <v>3261</v>
      </c>
      <c r="D695" s="4" t="s">
        <v>3262</v>
      </c>
      <c r="E695" s="4">
        <v>460118.0</v>
      </c>
      <c r="F695" s="6">
        <v>1.0</v>
      </c>
      <c r="G695" s="4" t="s">
        <v>1021</v>
      </c>
      <c r="H695" s="4" t="s">
        <v>1021</v>
      </c>
      <c r="I695" s="4" t="s">
        <v>1021</v>
      </c>
      <c r="J695" s="4" t="str">
        <f t="shared" si="1"/>
        <v>박옥희3265</v>
      </c>
      <c r="K695" s="3" t="str">
        <f t="shared" si="2"/>
        <v>정상</v>
      </c>
      <c r="L695" s="4">
        <v>35000.0</v>
      </c>
      <c r="M695" s="4">
        <v>35000.0</v>
      </c>
      <c r="N695" s="4">
        <v>0.0</v>
      </c>
    </row>
    <row r="696">
      <c r="A696" s="6">
        <v>401.0</v>
      </c>
      <c r="B696" s="4" t="s">
        <v>1195</v>
      </c>
      <c r="C696" s="4" t="s">
        <v>3263</v>
      </c>
      <c r="D696" s="4" t="s">
        <v>3264</v>
      </c>
      <c r="E696" s="4">
        <v>470920.0</v>
      </c>
      <c r="F696" s="6">
        <v>1.0</v>
      </c>
      <c r="G696" s="4" t="s">
        <v>1021</v>
      </c>
      <c r="H696" s="4" t="s">
        <v>1021</v>
      </c>
      <c r="I696" s="4" t="s">
        <v>1021</v>
      </c>
      <c r="J696" s="4" t="str">
        <f t="shared" si="1"/>
        <v>박용옥3343</v>
      </c>
      <c r="K696" s="3" t="str">
        <f t="shared" si="2"/>
        <v>정상</v>
      </c>
      <c r="L696" s="4">
        <v>35000.0</v>
      </c>
      <c r="M696" s="4">
        <v>35000.0</v>
      </c>
      <c r="N696" s="4">
        <v>0.0</v>
      </c>
    </row>
    <row r="697">
      <c r="A697" s="6">
        <v>462.0</v>
      </c>
      <c r="B697" s="4" t="s">
        <v>1626</v>
      </c>
      <c r="C697" s="4" t="s">
        <v>3265</v>
      </c>
      <c r="D697" s="4" t="s">
        <v>3266</v>
      </c>
      <c r="E697" s="4">
        <v>621105.0</v>
      </c>
      <c r="F697" s="6">
        <v>1.0</v>
      </c>
      <c r="G697" s="4" t="s">
        <v>1021</v>
      </c>
      <c r="H697" s="4" t="s">
        <v>1021</v>
      </c>
      <c r="I697" s="4" t="s">
        <v>1021</v>
      </c>
      <c r="J697" s="4" t="str">
        <f t="shared" si="1"/>
        <v>박은미2639</v>
      </c>
      <c r="K697" s="3" t="str">
        <f t="shared" si="2"/>
        <v>정상</v>
      </c>
      <c r="L697" s="4">
        <v>35000.0</v>
      </c>
      <c r="M697" s="4">
        <v>35000.0</v>
      </c>
      <c r="N697" s="4">
        <v>0.0</v>
      </c>
    </row>
    <row r="698">
      <c r="A698" s="5">
        <v>543.0</v>
      </c>
      <c r="B698" s="3" t="s">
        <v>3267</v>
      </c>
      <c r="C698" s="3" t="s">
        <v>3268</v>
      </c>
      <c r="D698" s="3" t="s">
        <v>3269</v>
      </c>
      <c r="E698" s="3">
        <v>660222.0</v>
      </c>
      <c r="F698" s="5">
        <v>1.0</v>
      </c>
      <c r="G698" s="3" t="s">
        <v>1021</v>
      </c>
      <c r="H698" s="3" t="s">
        <v>1021</v>
      </c>
      <c r="I698" s="3" t="s">
        <v>1021</v>
      </c>
      <c r="J698" s="4" t="str">
        <f t="shared" si="1"/>
        <v>박은숙4521</v>
      </c>
      <c r="K698" s="3" t="str">
        <f t="shared" si="2"/>
        <v>정상</v>
      </c>
      <c r="L698" s="4">
        <v>35000.0</v>
      </c>
      <c r="M698" s="4">
        <v>35000.0</v>
      </c>
      <c r="N698" s="4">
        <v>0.0</v>
      </c>
      <c r="O698" s="9"/>
      <c r="P698" s="9"/>
      <c r="Q698" s="9"/>
    </row>
    <row r="699">
      <c r="A699" s="6">
        <v>167.0</v>
      </c>
      <c r="B699" s="4" t="s">
        <v>1287</v>
      </c>
      <c r="C699" s="4" t="s">
        <v>3270</v>
      </c>
      <c r="D699" s="4" t="s">
        <v>3271</v>
      </c>
      <c r="E699" s="4">
        <v>861205.0</v>
      </c>
      <c r="F699" s="6">
        <v>1.0</v>
      </c>
      <c r="G699" s="4" t="s">
        <v>1021</v>
      </c>
      <c r="H699" s="4" t="s">
        <v>1021</v>
      </c>
      <c r="I699" s="4" t="s">
        <v>1021</v>
      </c>
      <c r="J699" s="4" t="str">
        <f t="shared" si="1"/>
        <v>박은총4891</v>
      </c>
      <c r="K699" s="3" t="str">
        <f t="shared" si="2"/>
        <v>정상</v>
      </c>
      <c r="L699" s="4">
        <v>35000.0</v>
      </c>
      <c r="M699" s="4">
        <v>35000.0</v>
      </c>
      <c r="N699" s="4">
        <v>0.0</v>
      </c>
      <c r="O699" s="9"/>
      <c r="P699" s="9"/>
      <c r="Q699" s="9"/>
    </row>
    <row r="700">
      <c r="A700" s="6">
        <v>662.0</v>
      </c>
      <c r="B700" s="4" t="s">
        <v>1100</v>
      </c>
      <c r="C700" s="4" t="s">
        <v>3272</v>
      </c>
      <c r="D700" s="4" t="s">
        <v>3273</v>
      </c>
      <c r="E700" s="4">
        <v>810126.0</v>
      </c>
      <c r="F700" s="6">
        <v>1.0</v>
      </c>
      <c r="G700" s="4" t="s">
        <v>1021</v>
      </c>
      <c r="H700" s="4" t="s">
        <v>1021</v>
      </c>
      <c r="I700" s="4" t="s">
        <v>1021</v>
      </c>
      <c r="J700" s="4" t="str">
        <f t="shared" si="1"/>
        <v>박은혜0302</v>
      </c>
      <c r="K700" s="3" t="str">
        <f t="shared" si="2"/>
        <v>정상</v>
      </c>
      <c r="L700" s="4">
        <v>35000.0</v>
      </c>
      <c r="M700" s="4">
        <v>35000.0</v>
      </c>
      <c r="N700" s="4">
        <v>0.0</v>
      </c>
    </row>
    <row r="701">
      <c r="A701" s="6">
        <v>1139.0</v>
      </c>
      <c r="B701" s="4" t="s">
        <v>1165</v>
      </c>
      <c r="C701" s="4" t="s">
        <v>3274</v>
      </c>
      <c r="D701" s="4" t="s">
        <v>3275</v>
      </c>
      <c r="E701" s="4">
        <v>640415.0</v>
      </c>
      <c r="F701" s="6">
        <v>1.0</v>
      </c>
      <c r="G701" s="4" t="s">
        <v>1021</v>
      </c>
      <c r="H701" s="4" t="s">
        <v>1021</v>
      </c>
      <c r="I701" s="4" t="s">
        <v>1021</v>
      </c>
      <c r="J701" s="4" t="str">
        <f t="shared" si="1"/>
        <v>박인자7585</v>
      </c>
      <c r="K701" s="3" t="str">
        <f t="shared" si="2"/>
        <v>정상</v>
      </c>
      <c r="L701" s="4">
        <v>35000.0</v>
      </c>
      <c r="M701" s="4">
        <v>35000.0</v>
      </c>
      <c r="N701" s="4">
        <v>0.0</v>
      </c>
    </row>
    <row r="702">
      <c r="A702" s="5">
        <v>946.0</v>
      </c>
      <c r="B702" s="3" t="s">
        <v>1631</v>
      </c>
      <c r="C702" s="3" t="s">
        <v>3276</v>
      </c>
      <c r="D702" s="3" t="s">
        <v>3277</v>
      </c>
      <c r="E702" s="3">
        <v>660319.0</v>
      </c>
      <c r="F702" s="5">
        <v>1.0</v>
      </c>
      <c r="G702" s="3" t="s">
        <v>1021</v>
      </c>
      <c r="H702" s="3" t="s">
        <v>1021</v>
      </c>
      <c r="I702" s="3" t="s">
        <v>1021</v>
      </c>
      <c r="J702" s="4" t="str">
        <f t="shared" si="1"/>
        <v>박정민6603</v>
      </c>
      <c r="K702" s="3" t="str">
        <f t="shared" si="2"/>
        <v>정상</v>
      </c>
      <c r="L702" s="4">
        <v>35000.0</v>
      </c>
      <c r="M702" s="4">
        <v>35000.0</v>
      </c>
      <c r="N702" s="4">
        <v>0.0</v>
      </c>
    </row>
    <row r="703">
      <c r="A703" s="6">
        <v>184.0</v>
      </c>
      <c r="B703" s="4" t="s">
        <v>2607</v>
      </c>
      <c r="C703" s="4" t="s">
        <v>3278</v>
      </c>
      <c r="D703" s="4" t="s">
        <v>3279</v>
      </c>
      <c r="E703" s="4">
        <v>490318.0</v>
      </c>
      <c r="F703" s="6">
        <v>1.0</v>
      </c>
      <c r="G703" s="4" t="s">
        <v>1021</v>
      </c>
      <c r="H703" s="4" t="s">
        <v>1021</v>
      </c>
      <c r="I703" s="4" t="s">
        <v>1021</v>
      </c>
      <c r="J703" s="4" t="str">
        <f t="shared" si="1"/>
        <v>박정수1427</v>
      </c>
      <c r="K703" s="3" t="str">
        <f t="shared" si="2"/>
        <v>정상</v>
      </c>
      <c r="L703" s="4">
        <v>35000.0</v>
      </c>
      <c r="M703" s="4">
        <v>35000.0</v>
      </c>
      <c r="N703" s="4">
        <v>0.0</v>
      </c>
    </row>
    <row r="704">
      <c r="A704" s="6">
        <v>625.0</v>
      </c>
      <c r="B704" s="4" t="s">
        <v>1142</v>
      </c>
      <c r="C704" s="4" t="s">
        <v>3280</v>
      </c>
      <c r="D704" s="4" t="s">
        <v>3281</v>
      </c>
      <c r="E704" s="4">
        <v>611027.0</v>
      </c>
      <c r="F704" s="6">
        <v>1.0</v>
      </c>
      <c r="G704" s="4" t="s">
        <v>1021</v>
      </c>
      <c r="H704" s="4" t="s">
        <v>1021</v>
      </c>
      <c r="I704" s="4" t="s">
        <v>1021</v>
      </c>
      <c r="J704" s="4" t="str">
        <f t="shared" si="1"/>
        <v>박정순4583</v>
      </c>
      <c r="K704" s="3" t="str">
        <f t="shared" si="2"/>
        <v>정상</v>
      </c>
      <c r="L704" s="4">
        <v>35000.0</v>
      </c>
      <c r="M704" s="4">
        <v>35000.0</v>
      </c>
      <c r="N704" s="4">
        <v>0.0</v>
      </c>
    </row>
    <row r="705">
      <c r="A705" s="6">
        <v>468.0</v>
      </c>
      <c r="B705" s="4" t="s">
        <v>1808</v>
      </c>
      <c r="C705" s="4" t="s">
        <v>2179</v>
      </c>
      <c r="D705" s="4" t="s">
        <v>3282</v>
      </c>
      <c r="E705" s="4">
        <v>560822.0</v>
      </c>
      <c r="F705" s="6">
        <v>1.0</v>
      </c>
      <c r="G705" s="4" t="s">
        <v>1021</v>
      </c>
      <c r="H705" s="4" t="s">
        <v>1021</v>
      </c>
      <c r="I705" s="4" t="s">
        <v>1021</v>
      </c>
      <c r="J705" s="4" t="str">
        <f t="shared" si="1"/>
        <v>박종숙1623</v>
      </c>
      <c r="K705" s="3" t="str">
        <f t="shared" si="2"/>
        <v>정상</v>
      </c>
      <c r="L705" s="4">
        <v>35000.0</v>
      </c>
      <c r="M705" s="4">
        <v>35000.0</v>
      </c>
      <c r="N705" s="4">
        <v>0.0</v>
      </c>
    </row>
    <row r="706">
      <c r="A706" s="6">
        <v>456.0</v>
      </c>
      <c r="B706" s="4" t="s">
        <v>1626</v>
      </c>
      <c r="C706" s="4" t="s">
        <v>3283</v>
      </c>
      <c r="D706" s="4" t="s">
        <v>3284</v>
      </c>
      <c r="E706" s="4">
        <v>450717.0</v>
      </c>
      <c r="F706" s="6">
        <v>1.0</v>
      </c>
      <c r="G706" s="4" t="s">
        <v>1021</v>
      </c>
      <c r="H706" s="4" t="s">
        <v>1021</v>
      </c>
      <c r="I706" s="4" t="s">
        <v>1021</v>
      </c>
      <c r="J706" s="4" t="str">
        <f t="shared" si="1"/>
        <v>박춘옥8745</v>
      </c>
      <c r="K706" s="3" t="str">
        <f t="shared" si="2"/>
        <v>정상</v>
      </c>
      <c r="L706" s="4">
        <v>35000.0</v>
      </c>
      <c r="M706" s="4">
        <v>35000.0</v>
      </c>
      <c r="N706" s="4">
        <v>0.0</v>
      </c>
    </row>
    <row r="707">
      <c r="A707" s="6">
        <v>649.0</v>
      </c>
      <c r="B707" s="4" t="s">
        <v>1415</v>
      </c>
      <c r="C707" s="4" t="s">
        <v>3285</v>
      </c>
      <c r="D707" s="4" t="s">
        <v>3286</v>
      </c>
      <c r="E707" s="4">
        <v>610907.0</v>
      </c>
      <c r="F707" s="6">
        <v>1.0</v>
      </c>
      <c r="G707" s="4" t="s">
        <v>1021</v>
      </c>
      <c r="H707" s="4" t="s">
        <v>1021</v>
      </c>
      <c r="I707" s="4" t="s">
        <v>1021</v>
      </c>
      <c r="J707" s="4" t="str">
        <f t="shared" si="1"/>
        <v>박해경5485</v>
      </c>
      <c r="K707" s="3" t="str">
        <f t="shared" si="2"/>
        <v>정상</v>
      </c>
      <c r="L707" s="4">
        <v>35000.0</v>
      </c>
      <c r="M707" s="4">
        <v>35000.0</v>
      </c>
      <c r="N707" s="4">
        <v>0.0</v>
      </c>
    </row>
    <row r="708">
      <c r="A708" s="6">
        <v>191.0</v>
      </c>
      <c r="B708" s="4" t="s">
        <v>1282</v>
      </c>
      <c r="C708" s="4" t="s">
        <v>3287</v>
      </c>
      <c r="D708" s="4" t="s">
        <v>3288</v>
      </c>
      <c r="E708" s="4">
        <v>720825.0</v>
      </c>
      <c r="F708" s="6">
        <v>1.0</v>
      </c>
      <c r="G708" s="4" t="s">
        <v>1021</v>
      </c>
      <c r="H708" s="4" t="s">
        <v>1021</v>
      </c>
      <c r="I708" s="4" t="s">
        <v>1021</v>
      </c>
      <c r="J708" s="4" t="str">
        <f t="shared" si="1"/>
        <v>박현숙7845</v>
      </c>
      <c r="K708" s="3" t="str">
        <f t="shared" si="2"/>
        <v>정상</v>
      </c>
      <c r="L708" s="4">
        <v>35000.0</v>
      </c>
      <c r="M708" s="4">
        <v>35000.0</v>
      </c>
      <c r="N708" s="4">
        <v>0.0</v>
      </c>
    </row>
    <row r="709">
      <c r="A709" s="5">
        <v>701.0</v>
      </c>
      <c r="B709" s="3" t="s">
        <v>2078</v>
      </c>
      <c r="C709" s="3" t="s">
        <v>3289</v>
      </c>
      <c r="D709" s="3" t="s">
        <v>3290</v>
      </c>
      <c r="E709" s="3">
        <v>740629.0</v>
      </c>
      <c r="F709" s="5">
        <v>1.0</v>
      </c>
      <c r="G709" s="3" t="s">
        <v>1021</v>
      </c>
      <c r="H709" s="3" t="s">
        <v>1021</v>
      </c>
      <c r="I709" s="3" t="s">
        <v>1021</v>
      </c>
      <c r="J709" s="4" t="str">
        <f t="shared" si="1"/>
        <v>박현정8936</v>
      </c>
      <c r="K709" s="3" t="str">
        <f t="shared" si="2"/>
        <v>정상</v>
      </c>
      <c r="L709" s="4">
        <v>35000.0</v>
      </c>
      <c r="M709" s="4">
        <v>35000.0</v>
      </c>
      <c r="N709" s="4">
        <v>0.0</v>
      </c>
    </row>
    <row r="710">
      <c r="A710" s="5">
        <v>368.0</v>
      </c>
      <c r="B710" s="3" t="s">
        <v>1086</v>
      </c>
      <c r="C710" s="3" t="s">
        <v>3291</v>
      </c>
      <c r="D710" s="3" t="s">
        <v>3292</v>
      </c>
      <c r="E710" s="3">
        <v>670304.0</v>
      </c>
      <c r="F710" s="5">
        <v>1.0</v>
      </c>
      <c r="G710" s="3" t="s">
        <v>1021</v>
      </c>
      <c r="H710" s="3" t="s">
        <v>1021</v>
      </c>
      <c r="I710" s="3" t="s">
        <v>1021</v>
      </c>
      <c r="J710" s="4" t="str">
        <f t="shared" si="1"/>
        <v>박혜원0369</v>
      </c>
      <c r="K710" s="3" t="str">
        <f t="shared" si="2"/>
        <v>정상</v>
      </c>
      <c r="L710" s="4">
        <v>35000.0</v>
      </c>
      <c r="M710" s="4">
        <v>35000.0</v>
      </c>
      <c r="N710" s="4">
        <v>0.0</v>
      </c>
    </row>
    <row r="711">
      <c r="A711" s="6">
        <v>466.0</v>
      </c>
      <c r="B711" s="4" t="s">
        <v>1808</v>
      </c>
      <c r="C711" s="4" t="s">
        <v>3291</v>
      </c>
      <c r="D711" s="4" t="s">
        <v>3293</v>
      </c>
      <c r="E711" s="4">
        <v>590826.0</v>
      </c>
      <c r="F711" s="6">
        <v>1.0</v>
      </c>
      <c r="G711" s="4" t="s">
        <v>1021</v>
      </c>
      <c r="H711" s="4" t="s">
        <v>1021</v>
      </c>
      <c r="I711" s="4" t="s">
        <v>1021</v>
      </c>
      <c r="J711" s="4" t="str">
        <f t="shared" si="1"/>
        <v>박혜원8856</v>
      </c>
      <c r="K711" s="3" t="str">
        <f t="shared" si="2"/>
        <v>정상</v>
      </c>
      <c r="L711" s="4">
        <v>35000.0</v>
      </c>
      <c r="M711" s="4">
        <v>35000.0</v>
      </c>
      <c r="N711" s="4">
        <v>0.0</v>
      </c>
    </row>
    <row r="712">
      <c r="A712" s="6">
        <v>1097.0</v>
      </c>
      <c r="B712" s="4" t="s">
        <v>1137</v>
      </c>
      <c r="C712" s="4" t="s">
        <v>3294</v>
      </c>
      <c r="D712" s="4" t="s">
        <v>3295</v>
      </c>
      <c r="E712" s="4">
        <v>690905.0</v>
      </c>
      <c r="F712" s="6">
        <v>1.0</v>
      </c>
      <c r="G712" s="4" t="s">
        <v>1021</v>
      </c>
      <c r="H712" s="4" t="s">
        <v>1021</v>
      </c>
      <c r="I712" s="4" t="s">
        <v>1021</v>
      </c>
      <c r="J712" s="4" t="str">
        <f t="shared" si="1"/>
        <v>박혜주1001</v>
      </c>
      <c r="K712" s="3" t="str">
        <f t="shared" si="2"/>
        <v>정상</v>
      </c>
      <c r="L712" s="4">
        <v>35000.0</v>
      </c>
      <c r="M712" s="4">
        <v>35000.0</v>
      </c>
      <c r="N712" s="4">
        <v>0.0</v>
      </c>
    </row>
    <row r="713">
      <c r="A713" s="6">
        <v>912.0</v>
      </c>
      <c r="B713" s="4" t="s">
        <v>1872</v>
      </c>
      <c r="C713" s="4" t="s">
        <v>3296</v>
      </c>
      <c r="D713" s="4" t="s">
        <v>3297</v>
      </c>
      <c r="E713" s="4">
        <v>670110.0</v>
      </c>
      <c r="F713" s="6">
        <v>1.0</v>
      </c>
      <c r="G713" s="4" t="s">
        <v>1021</v>
      </c>
      <c r="H713" s="4" t="s">
        <v>1021</v>
      </c>
      <c r="I713" s="4" t="s">
        <v>1021</v>
      </c>
      <c r="J713" s="4" t="str">
        <f t="shared" si="1"/>
        <v>박화숙4903</v>
      </c>
      <c r="K713" s="3" t="str">
        <f t="shared" si="2"/>
        <v>정상</v>
      </c>
      <c r="L713" s="4">
        <v>35000.0</v>
      </c>
      <c r="M713" s="4">
        <v>35000.0</v>
      </c>
      <c r="N713" s="4">
        <v>0.0</v>
      </c>
    </row>
    <row r="714">
      <c r="A714" s="6">
        <v>487.0</v>
      </c>
      <c r="B714" s="4" t="s">
        <v>1027</v>
      </c>
      <c r="C714" s="4" t="s">
        <v>3298</v>
      </c>
      <c r="D714" s="4" t="s">
        <v>3299</v>
      </c>
      <c r="E714" s="4">
        <v>650409.0</v>
      </c>
      <c r="F714" s="6">
        <v>1.0</v>
      </c>
      <c r="G714" s="4" t="s">
        <v>1021</v>
      </c>
      <c r="H714" s="4" t="s">
        <v>1021</v>
      </c>
      <c r="I714" s="4" t="s">
        <v>1021</v>
      </c>
      <c r="J714" s="4" t="str">
        <f t="shared" si="1"/>
        <v>박희영5696</v>
      </c>
      <c r="K714" s="3" t="str">
        <f t="shared" si="2"/>
        <v>정상</v>
      </c>
      <c r="L714" s="4">
        <v>35000.0</v>
      </c>
      <c r="M714" s="4">
        <v>35000.0</v>
      </c>
      <c r="N714" s="4">
        <v>0.0</v>
      </c>
    </row>
    <row r="715">
      <c r="A715" s="6">
        <v>1189.0</v>
      </c>
      <c r="B715" s="4" t="s">
        <v>1471</v>
      </c>
      <c r="C715" s="4" t="s">
        <v>3300</v>
      </c>
      <c r="D715" s="4" t="s">
        <v>3301</v>
      </c>
      <c r="E715" s="4">
        <v>500130.0</v>
      </c>
      <c r="F715" s="6">
        <v>1.0</v>
      </c>
      <c r="G715" s="4" t="s">
        <v>1021</v>
      </c>
      <c r="H715" s="4" t="s">
        <v>1021</v>
      </c>
      <c r="I715" s="4" t="s">
        <v>1021</v>
      </c>
      <c r="J715" s="4" t="str">
        <f t="shared" si="1"/>
        <v>박희옥6649</v>
      </c>
      <c r="K715" s="3" t="str">
        <f t="shared" si="2"/>
        <v>정상</v>
      </c>
      <c r="L715" s="4">
        <v>35000.0</v>
      </c>
      <c r="M715" s="4">
        <v>35000.0</v>
      </c>
      <c r="N715" s="4">
        <v>0.0</v>
      </c>
    </row>
    <row r="716">
      <c r="A716" s="6">
        <v>529.0</v>
      </c>
      <c r="B716" s="4" t="s">
        <v>1789</v>
      </c>
      <c r="C716" s="4" t="s">
        <v>3302</v>
      </c>
      <c r="D716" s="4" t="s">
        <v>3303</v>
      </c>
      <c r="E716" s="4">
        <v>590618.0</v>
      </c>
      <c r="F716" s="6">
        <v>1.0</v>
      </c>
      <c r="G716" s="4" t="s">
        <v>1021</v>
      </c>
      <c r="H716" s="4" t="s">
        <v>1021</v>
      </c>
      <c r="I716" s="4" t="s">
        <v>1021</v>
      </c>
      <c r="J716" s="4" t="str">
        <f t="shared" si="1"/>
        <v>박희재6164</v>
      </c>
      <c r="K716" s="3" t="str">
        <f t="shared" si="2"/>
        <v>정상</v>
      </c>
      <c r="L716" s="4">
        <v>35000.0</v>
      </c>
      <c r="M716" s="4">
        <v>35000.0</v>
      </c>
      <c r="N716" s="4">
        <v>0.0</v>
      </c>
    </row>
    <row r="717">
      <c r="A717" s="6">
        <v>406.0</v>
      </c>
      <c r="B717" s="4" t="s">
        <v>1195</v>
      </c>
      <c r="C717" s="4" t="s">
        <v>3304</v>
      </c>
      <c r="D717" s="4" t="s">
        <v>3305</v>
      </c>
      <c r="E717" s="4">
        <v>641013.0</v>
      </c>
      <c r="F717" s="6">
        <v>1.0</v>
      </c>
      <c r="G717" s="4" t="s">
        <v>1021</v>
      </c>
      <c r="H717" s="4" t="s">
        <v>1021</v>
      </c>
      <c r="I717" s="4" t="s">
        <v>1021</v>
      </c>
      <c r="J717" s="4" t="str">
        <f t="shared" si="1"/>
        <v>방옥희0900</v>
      </c>
      <c r="K717" s="3" t="str">
        <f t="shared" si="2"/>
        <v>정상</v>
      </c>
      <c r="L717" s="4">
        <v>35000.0</v>
      </c>
      <c r="M717" s="4">
        <v>35000.0</v>
      </c>
      <c r="N717" s="4">
        <v>0.0</v>
      </c>
    </row>
    <row r="718">
      <c r="A718" s="5">
        <v>1223.0</v>
      </c>
      <c r="B718" s="3" t="s">
        <v>1071</v>
      </c>
      <c r="C718" s="3" t="s">
        <v>2597</v>
      </c>
      <c r="D718" s="3" t="s">
        <v>3306</v>
      </c>
      <c r="E718" s="3">
        <v>740211.0</v>
      </c>
      <c r="F718" s="5">
        <v>1.0</v>
      </c>
      <c r="G718" s="3" t="s">
        <v>1021</v>
      </c>
      <c r="H718" s="3" t="s">
        <v>1021</v>
      </c>
      <c r="I718" s="3" t="s">
        <v>1021</v>
      </c>
      <c r="J718" s="4" t="str">
        <f t="shared" si="1"/>
        <v>배경희7482</v>
      </c>
      <c r="K718" s="3" t="str">
        <f t="shared" si="2"/>
        <v>정상</v>
      </c>
      <c r="L718" s="4">
        <v>35000.0</v>
      </c>
      <c r="M718" s="4">
        <v>35000.0</v>
      </c>
      <c r="N718" s="4">
        <v>0.0</v>
      </c>
    </row>
    <row r="719">
      <c r="A719" s="6">
        <v>137.0</v>
      </c>
      <c r="B719" s="4" t="s">
        <v>1204</v>
      </c>
      <c r="C719" s="4" t="s">
        <v>3307</v>
      </c>
      <c r="D719" s="4" t="s">
        <v>3308</v>
      </c>
      <c r="E719" s="4">
        <v>600722.0</v>
      </c>
      <c r="F719" s="6">
        <v>1.0</v>
      </c>
      <c r="G719" s="4" t="s">
        <v>1021</v>
      </c>
      <c r="H719" s="4" t="s">
        <v>1021</v>
      </c>
      <c r="I719" s="4" t="s">
        <v>1021</v>
      </c>
      <c r="J719" s="4" t="str">
        <f t="shared" si="1"/>
        <v>배말남2928</v>
      </c>
      <c r="K719" s="3" t="str">
        <f t="shared" si="2"/>
        <v>정상</v>
      </c>
      <c r="L719" s="4">
        <v>35000.0</v>
      </c>
      <c r="M719" s="4">
        <v>35000.0</v>
      </c>
      <c r="N719" s="4">
        <v>0.0</v>
      </c>
    </row>
    <row r="720">
      <c r="A720" s="5">
        <v>995.0</v>
      </c>
      <c r="B720" s="3" t="s">
        <v>1022</v>
      </c>
      <c r="C720" s="3" t="s">
        <v>3309</v>
      </c>
      <c r="D720" s="3" t="s">
        <v>3310</v>
      </c>
      <c r="E720" s="3">
        <v>570223.0</v>
      </c>
      <c r="F720" s="5">
        <v>1.0</v>
      </c>
      <c r="G720" s="3" t="s">
        <v>1021</v>
      </c>
      <c r="H720" s="3" t="s">
        <v>1021</v>
      </c>
      <c r="I720" s="3" t="s">
        <v>1021</v>
      </c>
      <c r="J720" s="4" t="str">
        <f t="shared" si="1"/>
        <v>배재국5980</v>
      </c>
      <c r="K720" s="3" t="str">
        <f t="shared" si="2"/>
        <v>정상</v>
      </c>
      <c r="L720" s="4">
        <v>35000.0</v>
      </c>
      <c r="M720" s="4">
        <v>35000.0</v>
      </c>
      <c r="N720" s="4">
        <v>0.0</v>
      </c>
    </row>
    <row r="721">
      <c r="A721" s="6">
        <v>276.0</v>
      </c>
      <c r="B721" s="4" t="s">
        <v>1081</v>
      </c>
      <c r="C721" s="4" t="s">
        <v>3311</v>
      </c>
      <c r="D721" s="4" t="s">
        <v>3312</v>
      </c>
      <c r="E721" s="4">
        <v>810220.0</v>
      </c>
      <c r="F721" s="6">
        <v>1.0</v>
      </c>
      <c r="G721" s="4" t="s">
        <v>1021</v>
      </c>
      <c r="H721" s="4" t="s">
        <v>1021</v>
      </c>
      <c r="I721" s="4" t="s">
        <v>1021</v>
      </c>
      <c r="J721" s="4" t="str">
        <f t="shared" si="1"/>
        <v>배주연1619</v>
      </c>
      <c r="K721" s="3" t="str">
        <f t="shared" si="2"/>
        <v>정상</v>
      </c>
      <c r="L721" s="4">
        <v>35000.0</v>
      </c>
      <c r="M721" s="4">
        <v>35000.0</v>
      </c>
      <c r="N721" s="4">
        <v>0.0</v>
      </c>
    </row>
    <row r="722">
      <c r="A722" s="6">
        <v>1235.0</v>
      </c>
      <c r="B722" s="4" t="s">
        <v>1209</v>
      </c>
      <c r="C722" s="4" t="s">
        <v>3313</v>
      </c>
      <c r="D722" s="4" t="s">
        <v>3314</v>
      </c>
      <c r="E722" s="4">
        <v>730821.0</v>
      </c>
      <c r="F722" s="6">
        <v>1.0</v>
      </c>
      <c r="G722" s="4" t="s">
        <v>1021</v>
      </c>
      <c r="H722" s="4" t="s">
        <v>1021</v>
      </c>
      <c r="I722" s="4" t="s">
        <v>1021</v>
      </c>
      <c r="J722" s="4" t="str">
        <f t="shared" si="1"/>
        <v>백진이9609</v>
      </c>
      <c r="K722" s="3" t="str">
        <f t="shared" si="2"/>
        <v>정상</v>
      </c>
      <c r="L722" s="4">
        <v>35000.0</v>
      </c>
      <c r="M722" s="4">
        <v>35000.0</v>
      </c>
      <c r="N722" s="4">
        <v>0.0</v>
      </c>
    </row>
    <row r="723">
      <c r="A723" s="5">
        <v>382.0</v>
      </c>
      <c r="B723" s="3" t="s">
        <v>1761</v>
      </c>
      <c r="C723" s="3" t="s">
        <v>3315</v>
      </c>
      <c r="D723" s="3" t="s">
        <v>3316</v>
      </c>
      <c r="E723" s="3">
        <v>570812.0</v>
      </c>
      <c r="F723" s="5">
        <v>1.0</v>
      </c>
      <c r="G723" s="3" t="s">
        <v>1021</v>
      </c>
      <c r="H723" s="3" t="s">
        <v>1021</v>
      </c>
      <c r="I723" s="3" t="s">
        <v>1021</v>
      </c>
      <c r="J723" s="4" t="str">
        <f t="shared" si="1"/>
        <v>변수만4051</v>
      </c>
      <c r="K723" s="3" t="str">
        <f t="shared" si="2"/>
        <v>정상</v>
      </c>
      <c r="L723" s="4">
        <v>35000.0</v>
      </c>
      <c r="M723" s="4">
        <v>35000.0</v>
      </c>
      <c r="N723" s="4">
        <v>0.0</v>
      </c>
    </row>
    <row r="724">
      <c r="A724" s="5">
        <v>1037.0</v>
      </c>
      <c r="B724" s="3" t="s">
        <v>1062</v>
      </c>
      <c r="C724" s="3" t="s">
        <v>3317</v>
      </c>
      <c r="D724" s="3" t="s">
        <v>3318</v>
      </c>
      <c r="E724" s="3">
        <v>570715.0</v>
      </c>
      <c r="F724" s="5">
        <v>1.0</v>
      </c>
      <c r="G724" s="3" t="s">
        <v>1021</v>
      </c>
      <c r="H724" s="3" t="s">
        <v>1021</v>
      </c>
      <c r="I724" s="3" t="s">
        <v>1021</v>
      </c>
      <c r="J724" s="4" t="str">
        <f t="shared" si="1"/>
        <v>서경숙9696</v>
      </c>
      <c r="K724" s="3" t="str">
        <f t="shared" si="2"/>
        <v>정상</v>
      </c>
      <c r="L724" s="4">
        <v>35000.0</v>
      </c>
      <c r="M724" s="4">
        <v>35000.0</v>
      </c>
      <c r="N724" s="4">
        <v>0.0</v>
      </c>
    </row>
    <row r="725">
      <c r="A725" s="6">
        <v>508.0</v>
      </c>
      <c r="B725" s="4" t="s">
        <v>1095</v>
      </c>
      <c r="C725" s="4" t="s">
        <v>3319</v>
      </c>
      <c r="D725" s="4" t="s">
        <v>3320</v>
      </c>
      <c r="E725" s="4">
        <v>691211.0</v>
      </c>
      <c r="F725" s="6">
        <v>1.0</v>
      </c>
      <c r="G725" s="4" t="s">
        <v>1021</v>
      </c>
      <c r="H725" s="4" t="s">
        <v>1021</v>
      </c>
      <c r="I725" s="4" t="s">
        <v>1021</v>
      </c>
      <c r="J725" s="4" t="str">
        <f t="shared" si="1"/>
        <v>서병철2033</v>
      </c>
      <c r="K725" s="3" t="str">
        <f t="shared" si="2"/>
        <v>정상</v>
      </c>
      <c r="L725" s="4">
        <v>35000.0</v>
      </c>
      <c r="M725" s="4">
        <v>35000.0</v>
      </c>
      <c r="N725" s="4">
        <v>0.0</v>
      </c>
    </row>
    <row r="726">
      <c r="A726" s="6">
        <v>1010.0</v>
      </c>
      <c r="B726" s="4" t="s">
        <v>1269</v>
      </c>
      <c r="C726" s="4" t="s">
        <v>3321</v>
      </c>
      <c r="D726" s="4" t="s">
        <v>3322</v>
      </c>
      <c r="E726" s="4">
        <v>570119.0</v>
      </c>
      <c r="F726" s="6">
        <v>1.0</v>
      </c>
      <c r="G726" s="4" t="s">
        <v>1021</v>
      </c>
      <c r="H726" s="4" t="s">
        <v>1021</v>
      </c>
      <c r="I726" s="4" t="s">
        <v>1021</v>
      </c>
      <c r="J726" s="4" t="str">
        <f t="shared" si="1"/>
        <v>서영자2746</v>
      </c>
      <c r="K726" s="3" t="str">
        <f t="shared" si="2"/>
        <v>정상</v>
      </c>
      <c r="L726" s="4">
        <v>35000.0</v>
      </c>
      <c r="M726" s="4">
        <v>35000.0</v>
      </c>
      <c r="N726" s="4">
        <v>0.0</v>
      </c>
    </row>
    <row r="727">
      <c r="A727" s="6">
        <v>608.0</v>
      </c>
      <c r="B727" s="4" t="s">
        <v>1219</v>
      </c>
      <c r="C727" s="4" t="s">
        <v>3323</v>
      </c>
      <c r="D727" s="4" t="s">
        <v>3324</v>
      </c>
      <c r="E727" s="4">
        <v>660112.0</v>
      </c>
      <c r="F727" s="6">
        <v>1.0</v>
      </c>
      <c r="G727" s="4" t="s">
        <v>1021</v>
      </c>
      <c r="H727" s="4" t="s">
        <v>1021</v>
      </c>
      <c r="I727" s="4" t="s">
        <v>1021</v>
      </c>
      <c r="J727" s="4" t="str">
        <f t="shared" si="1"/>
        <v>서혜영8798</v>
      </c>
      <c r="K727" s="3" t="str">
        <f t="shared" si="2"/>
        <v>정상</v>
      </c>
      <c r="L727" s="4">
        <v>35000.0</v>
      </c>
      <c r="M727" s="4">
        <v>35000.0</v>
      </c>
      <c r="N727" s="4">
        <v>0.0</v>
      </c>
    </row>
    <row r="728">
      <c r="A728" s="6">
        <v>190.0</v>
      </c>
      <c r="B728" s="4" t="s">
        <v>1282</v>
      </c>
      <c r="C728" s="4" t="s">
        <v>3325</v>
      </c>
      <c r="D728" s="4" t="s">
        <v>3326</v>
      </c>
      <c r="E728" s="4">
        <v>610428.0</v>
      </c>
      <c r="F728" s="6">
        <v>1.0</v>
      </c>
      <c r="G728" s="4" t="s">
        <v>1021</v>
      </c>
      <c r="H728" s="4" t="s">
        <v>1021</v>
      </c>
      <c r="I728" s="4" t="s">
        <v>1021</v>
      </c>
      <c r="J728" s="4" t="str">
        <f t="shared" si="1"/>
        <v>석명자2664</v>
      </c>
      <c r="K728" s="3" t="str">
        <f t="shared" si="2"/>
        <v>정상</v>
      </c>
      <c r="L728" s="4">
        <v>35000.0</v>
      </c>
      <c r="M728" s="4">
        <v>35000.0</v>
      </c>
      <c r="N728" s="4">
        <v>0.0</v>
      </c>
    </row>
    <row r="729">
      <c r="A729" s="5">
        <v>565.0</v>
      </c>
      <c r="B729" s="3" t="s">
        <v>1255</v>
      </c>
      <c r="C729" s="3" t="s">
        <v>3327</v>
      </c>
      <c r="D729" s="3" t="s">
        <v>3328</v>
      </c>
      <c r="E729" s="3">
        <v>650106.0</v>
      </c>
      <c r="F729" s="5">
        <v>1.0</v>
      </c>
      <c r="G729" s="3" t="s">
        <v>1021</v>
      </c>
      <c r="H729" s="3" t="s">
        <v>1021</v>
      </c>
      <c r="I729" s="3" t="s">
        <v>1021</v>
      </c>
      <c r="J729" s="4" t="str">
        <f t="shared" si="1"/>
        <v>석주회9467</v>
      </c>
      <c r="K729" s="3" t="str">
        <f t="shared" si="2"/>
        <v>정상</v>
      </c>
      <c r="L729" s="4">
        <v>35000.0</v>
      </c>
      <c r="M729" s="4">
        <v>35000.0</v>
      </c>
      <c r="N729" s="4">
        <v>0.0</v>
      </c>
    </row>
    <row r="730">
      <c r="A730" s="6">
        <v>234.0</v>
      </c>
      <c r="B730" s="4" t="s">
        <v>1933</v>
      </c>
      <c r="C730" s="4" t="s">
        <v>3329</v>
      </c>
      <c r="D730" s="4" t="s">
        <v>3330</v>
      </c>
      <c r="E730" s="4">
        <v>710304.0</v>
      </c>
      <c r="F730" s="6">
        <v>1.0</v>
      </c>
      <c r="G730" s="4" t="s">
        <v>1021</v>
      </c>
      <c r="H730" s="4" t="s">
        <v>1021</v>
      </c>
      <c r="I730" s="4" t="s">
        <v>1021</v>
      </c>
      <c r="J730" s="4" t="str">
        <f t="shared" si="1"/>
        <v>성은숙2525</v>
      </c>
      <c r="K730" s="3" t="str">
        <f t="shared" si="2"/>
        <v>정상</v>
      </c>
      <c r="L730" s="4">
        <v>35000.0</v>
      </c>
      <c r="M730" s="4">
        <v>35000.0</v>
      </c>
      <c r="N730" s="4">
        <v>0.0</v>
      </c>
    </row>
    <row r="731">
      <c r="A731" s="6">
        <v>523.0</v>
      </c>
      <c r="B731" s="4" t="s">
        <v>2862</v>
      </c>
      <c r="C731" s="4" t="s">
        <v>3331</v>
      </c>
      <c r="D731" s="4" t="s">
        <v>3332</v>
      </c>
      <c r="E731" s="4">
        <v>530828.0</v>
      </c>
      <c r="F731" s="6">
        <v>1.0</v>
      </c>
      <c r="G731" s="4" t="s">
        <v>1021</v>
      </c>
      <c r="H731" s="4" t="s">
        <v>1021</v>
      </c>
      <c r="I731" s="4" t="s">
        <v>1021</v>
      </c>
      <c r="J731" s="4" t="str">
        <f t="shared" si="1"/>
        <v>성평희0086</v>
      </c>
      <c r="K731" s="3" t="str">
        <f t="shared" si="2"/>
        <v>정상</v>
      </c>
      <c r="L731" s="4">
        <v>35000.0</v>
      </c>
      <c r="M731" s="4">
        <v>35000.0</v>
      </c>
      <c r="N731" s="4">
        <v>0.0</v>
      </c>
    </row>
    <row r="732">
      <c r="A732" s="6">
        <v>677.0</v>
      </c>
      <c r="B732" s="4" t="s">
        <v>1214</v>
      </c>
      <c r="C732" s="4" t="s">
        <v>3333</v>
      </c>
      <c r="D732" s="4" t="s">
        <v>3334</v>
      </c>
      <c r="E732" s="4">
        <v>620826.0</v>
      </c>
      <c r="F732" s="6">
        <v>1.0</v>
      </c>
      <c r="G732" s="4" t="s">
        <v>1021</v>
      </c>
      <c r="H732" s="4" t="s">
        <v>1021</v>
      </c>
      <c r="I732" s="4" t="s">
        <v>1021</v>
      </c>
      <c r="J732" s="4" t="str">
        <f t="shared" si="1"/>
        <v>송경자5154</v>
      </c>
      <c r="K732" s="3" t="str">
        <f t="shared" si="2"/>
        <v>정상</v>
      </c>
      <c r="L732" s="4">
        <v>35000.0</v>
      </c>
      <c r="M732" s="4">
        <v>35000.0</v>
      </c>
      <c r="N732" s="4">
        <v>0.0</v>
      </c>
    </row>
    <row r="733">
      <c r="A733" s="6">
        <v>385.0</v>
      </c>
      <c r="B733" s="4" t="s">
        <v>1761</v>
      </c>
      <c r="C733" s="4" t="s">
        <v>3335</v>
      </c>
      <c r="D733" s="4" t="s">
        <v>3336</v>
      </c>
      <c r="E733" s="4">
        <v>720717.0</v>
      </c>
      <c r="F733" s="6">
        <v>1.0</v>
      </c>
      <c r="G733" s="4" t="s">
        <v>1021</v>
      </c>
      <c r="H733" s="4" t="s">
        <v>1021</v>
      </c>
      <c r="I733" s="4" t="s">
        <v>1021</v>
      </c>
      <c r="J733" s="4" t="str">
        <f t="shared" si="1"/>
        <v>송문희8369</v>
      </c>
      <c r="K733" s="3" t="str">
        <f t="shared" si="2"/>
        <v>정상</v>
      </c>
      <c r="L733" s="4">
        <v>35000.0</v>
      </c>
      <c r="M733" s="4">
        <v>35000.0</v>
      </c>
      <c r="N733" s="4">
        <v>0.0</v>
      </c>
    </row>
    <row r="734">
      <c r="A734" s="5">
        <v>317.0</v>
      </c>
      <c r="B734" s="3" t="s">
        <v>2773</v>
      </c>
      <c r="C734" s="3" t="s">
        <v>3337</v>
      </c>
      <c r="D734" s="3" t="s">
        <v>3338</v>
      </c>
      <c r="E734" s="3">
        <v>860809.0</v>
      </c>
      <c r="F734" s="5">
        <v>1.0</v>
      </c>
      <c r="G734" s="3" t="s">
        <v>1021</v>
      </c>
      <c r="H734" s="3" t="s">
        <v>1021</v>
      </c>
      <c r="I734" s="3" t="s">
        <v>1021</v>
      </c>
      <c r="J734" s="4" t="str">
        <f t="shared" si="1"/>
        <v>송별님2714</v>
      </c>
      <c r="K734" s="3" t="str">
        <f t="shared" si="2"/>
        <v>정상</v>
      </c>
      <c r="L734" s="4">
        <v>35000.0</v>
      </c>
      <c r="M734" s="4">
        <v>35000.0</v>
      </c>
      <c r="N734" s="4">
        <v>0.0</v>
      </c>
    </row>
    <row r="735">
      <c r="A735" s="6">
        <v>804.0</v>
      </c>
      <c r="B735" s="4" t="s">
        <v>1232</v>
      </c>
      <c r="C735" s="4" t="s">
        <v>3339</v>
      </c>
      <c r="D735" s="4" t="s">
        <v>3340</v>
      </c>
      <c r="E735" s="4">
        <v>541224.0</v>
      </c>
      <c r="F735" s="6">
        <v>1.0</v>
      </c>
      <c r="G735" s="4" t="s">
        <v>1021</v>
      </c>
      <c r="H735" s="4" t="s">
        <v>1021</v>
      </c>
      <c r="I735" s="4" t="s">
        <v>1021</v>
      </c>
      <c r="J735" s="4" t="str">
        <f t="shared" si="1"/>
        <v>송영례3433</v>
      </c>
      <c r="K735" s="3" t="str">
        <f t="shared" si="2"/>
        <v>정상</v>
      </c>
      <c r="L735" s="4">
        <v>35000.0</v>
      </c>
      <c r="M735" s="4">
        <v>35000.0</v>
      </c>
      <c r="N735" s="4">
        <v>0.0</v>
      </c>
    </row>
    <row r="736">
      <c r="A736" s="5">
        <v>757.0</v>
      </c>
      <c r="B736" s="3" t="s">
        <v>2156</v>
      </c>
      <c r="C736" s="3" t="s">
        <v>3341</v>
      </c>
      <c r="D736" s="3" t="s">
        <v>3342</v>
      </c>
      <c r="E736" s="3">
        <v>830220.0</v>
      </c>
      <c r="F736" s="5">
        <v>1.0</v>
      </c>
      <c r="G736" s="3" t="s">
        <v>1021</v>
      </c>
      <c r="H736" s="3" t="s">
        <v>1021</v>
      </c>
      <c r="I736" s="3" t="s">
        <v>1021</v>
      </c>
      <c r="J736" s="4" t="str">
        <f t="shared" si="1"/>
        <v>송영훈2030</v>
      </c>
      <c r="K736" s="3" t="str">
        <f t="shared" si="2"/>
        <v>정상</v>
      </c>
      <c r="L736" s="4">
        <v>35000.0</v>
      </c>
      <c r="M736" s="4">
        <v>35000.0</v>
      </c>
      <c r="N736" s="4">
        <v>0.0</v>
      </c>
    </row>
    <row r="737">
      <c r="A737" s="6">
        <v>869.0</v>
      </c>
      <c r="B737" s="4" t="s">
        <v>1621</v>
      </c>
      <c r="C737" s="4" t="s">
        <v>3343</v>
      </c>
      <c r="D737" s="4" t="s">
        <v>3344</v>
      </c>
      <c r="E737" s="4">
        <v>590123.0</v>
      </c>
      <c r="F737" s="6">
        <v>1.0</v>
      </c>
      <c r="G737" s="4" t="s">
        <v>1021</v>
      </c>
      <c r="H737" s="4" t="s">
        <v>1021</v>
      </c>
      <c r="I737" s="4" t="s">
        <v>1021</v>
      </c>
      <c r="J737" s="4" t="str">
        <f t="shared" si="1"/>
        <v>송종희7507</v>
      </c>
      <c r="K737" s="3" t="str">
        <f t="shared" si="2"/>
        <v>정상</v>
      </c>
      <c r="L737" s="4">
        <v>35000.0</v>
      </c>
      <c r="M737" s="4">
        <v>35000.0</v>
      </c>
      <c r="N737" s="4">
        <v>0.0</v>
      </c>
    </row>
    <row r="738">
      <c r="A738" s="5">
        <v>1143.0</v>
      </c>
      <c r="B738" s="3" t="s">
        <v>1165</v>
      </c>
      <c r="C738" s="3" t="s">
        <v>3345</v>
      </c>
      <c r="D738" s="3" t="s">
        <v>3346</v>
      </c>
      <c r="E738" s="3">
        <v>610519.0</v>
      </c>
      <c r="F738" s="5">
        <v>1.0</v>
      </c>
      <c r="G738" s="3" t="s">
        <v>1021</v>
      </c>
      <c r="H738" s="3" t="s">
        <v>1021</v>
      </c>
      <c r="I738" s="3" t="s">
        <v>1021</v>
      </c>
      <c r="J738" s="4" t="str">
        <f t="shared" si="1"/>
        <v>송차선0269</v>
      </c>
      <c r="K738" s="3" t="str">
        <f t="shared" si="2"/>
        <v>정상</v>
      </c>
      <c r="L738" s="4">
        <v>35000.0</v>
      </c>
      <c r="M738" s="4">
        <v>35000.0</v>
      </c>
      <c r="N738" s="4">
        <v>0.0</v>
      </c>
    </row>
    <row r="739">
      <c r="A739" s="5">
        <v>505.0</v>
      </c>
      <c r="B739" s="3" t="s">
        <v>1095</v>
      </c>
      <c r="C739" s="3" t="s">
        <v>3347</v>
      </c>
      <c r="D739" s="3" t="s">
        <v>3348</v>
      </c>
      <c r="E739" s="3">
        <v>630720.0</v>
      </c>
      <c r="F739" s="5">
        <v>1.0</v>
      </c>
      <c r="G739" s="3" t="s">
        <v>1021</v>
      </c>
      <c r="H739" s="3" t="s">
        <v>1021</v>
      </c>
      <c r="I739" s="3" t="s">
        <v>1021</v>
      </c>
      <c r="J739" s="4" t="str">
        <f t="shared" si="1"/>
        <v>송혜정3689</v>
      </c>
      <c r="K739" s="3" t="str">
        <f t="shared" si="2"/>
        <v>정상</v>
      </c>
      <c r="L739" s="4">
        <v>35000.0</v>
      </c>
      <c r="M739" s="4">
        <v>35000.0</v>
      </c>
      <c r="N739" s="4">
        <v>0.0</v>
      </c>
    </row>
    <row r="740">
      <c r="A740" s="6">
        <v>143.0</v>
      </c>
      <c r="B740" s="4" t="s">
        <v>996</v>
      </c>
      <c r="C740" s="4" t="s">
        <v>3349</v>
      </c>
      <c r="D740" s="4" t="s">
        <v>3350</v>
      </c>
      <c r="E740" s="4">
        <v>641101.0</v>
      </c>
      <c r="F740" s="6">
        <v>1.0</v>
      </c>
      <c r="G740" s="4" t="s">
        <v>1021</v>
      </c>
      <c r="H740" s="4" t="s">
        <v>1021</v>
      </c>
      <c r="I740" s="4" t="s">
        <v>1021</v>
      </c>
      <c r="J740" s="4" t="str">
        <f t="shared" si="1"/>
        <v>송희규3131</v>
      </c>
      <c r="K740" s="3" t="str">
        <f t="shared" si="2"/>
        <v>정상</v>
      </c>
      <c r="L740" s="4">
        <v>35000.0</v>
      </c>
      <c r="M740" s="4">
        <v>35000.0</v>
      </c>
      <c r="N740" s="4">
        <v>0.0</v>
      </c>
    </row>
    <row r="741">
      <c r="A741" s="5">
        <v>540.0</v>
      </c>
      <c r="B741" s="3" t="s">
        <v>1713</v>
      </c>
      <c r="C741" s="3" t="s">
        <v>3351</v>
      </c>
      <c r="D741" s="3" t="s">
        <v>3352</v>
      </c>
      <c r="E741" s="3">
        <v>610307.0</v>
      </c>
      <c r="F741" s="5">
        <v>1.0</v>
      </c>
      <c r="G741" s="3" t="s">
        <v>1021</v>
      </c>
      <c r="H741" s="3" t="s">
        <v>1021</v>
      </c>
      <c r="I741" s="3" t="s">
        <v>1021</v>
      </c>
      <c r="J741" s="4" t="str">
        <f t="shared" si="1"/>
        <v>신동건9091</v>
      </c>
      <c r="K741" s="3" t="str">
        <f t="shared" si="2"/>
        <v>정상</v>
      </c>
      <c r="L741" s="4">
        <v>35000.0</v>
      </c>
      <c r="M741" s="4">
        <v>35000.0</v>
      </c>
      <c r="N741" s="4">
        <v>0.0</v>
      </c>
    </row>
    <row r="742">
      <c r="A742" s="5">
        <v>450.0</v>
      </c>
      <c r="B742" s="3" t="s">
        <v>1626</v>
      </c>
      <c r="C742" s="3" t="s">
        <v>3353</v>
      </c>
      <c r="D742" s="3" t="s">
        <v>3354</v>
      </c>
      <c r="E742" s="3">
        <v>651229.0</v>
      </c>
      <c r="F742" s="5">
        <v>1.0</v>
      </c>
      <c r="G742" s="3" t="s">
        <v>1021</v>
      </c>
      <c r="H742" s="3" t="s">
        <v>1021</v>
      </c>
      <c r="I742" s="3" t="s">
        <v>1021</v>
      </c>
      <c r="J742" s="4" t="str">
        <f t="shared" si="1"/>
        <v>신성숙5379</v>
      </c>
      <c r="K742" s="3" t="str">
        <f t="shared" si="2"/>
        <v>정상</v>
      </c>
      <c r="L742" s="4">
        <v>35000.0</v>
      </c>
      <c r="M742" s="4">
        <v>35000.0</v>
      </c>
      <c r="N742" s="4">
        <v>0.0</v>
      </c>
    </row>
    <row r="743">
      <c r="A743" s="5">
        <v>693.0</v>
      </c>
      <c r="B743" s="3" t="s">
        <v>1245</v>
      </c>
      <c r="C743" s="3" t="s">
        <v>2865</v>
      </c>
      <c r="D743" s="3" t="s">
        <v>3355</v>
      </c>
      <c r="E743" s="3">
        <v>720217.0</v>
      </c>
      <c r="F743" s="5">
        <v>1.0</v>
      </c>
      <c r="G743" s="3" t="s">
        <v>1021</v>
      </c>
      <c r="H743" s="3" t="s">
        <v>1021</v>
      </c>
      <c r="I743" s="3" t="s">
        <v>1021</v>
      </c>
      <c r="J743" s="4" t="str">
        <f t="shared" si="1"/>
        <v>신영혜1409</v>
      </c>
      <c r="K743" s="3" t="str">
        <f t="shared" si="2"/>
        <v>정상</v>
      </c>
      <c r="L743" s="4">
        <v>35000.0</v>
      </c>
      <c r="M743" s="4">
        <v>35000.0</v>
      </c>
      <c r="N743" s="4">
        <v>0.0</v>
      </c>
    </row>
    <row r="744">
      <c r="A744" s="5">
        <v>761.0</v>
      </c>
      <c r="B744" s="3" t="s">
        <v>1292</v>
      </c>
      <c r="C744" s="3" t="s">
        <v>3356</v>
      </c>
      <c r="D744" s="3" t="s">
        <v>3357</v>
      </c>
      <c r="E744" s="3">
        <v>741208.0</v>
      </c>
      <c r="F744" s="5">
        <v>1.0</v>
      </c>
      <c r="G744" s="3" t="s">
        <v>1021</v>
      </c>
      <c r="H744" s="3" t="s">
        <v>1021</v>
      </c>
      <c r="I744" s="3" t="s">
        <v>1021</v>
      </c>
      <c r="J744" s="4" t="str">
        <f t="shared" si="1"/>
        <v>신예성7505</v>
      </c>
      <c r="K744" s="3" t="str">
        <f t="shared" si="2"/>
        <v>정상</v>
      </c>
      <c r="L744" s="4">
        <v>35000.0</v>
      </c>
      <c r="M744" s="4">
        <v>35000.0</v>
      </c>
      <c r="N744" s="4">
        <v>0.0</v>
      </c>
    </row>
    <row r="745">
      <c r="A745" s="5">
        <v>1205.0</v>
      </c>
      <c r="B745" s="3" t="s">
        <v>1454</v>
      </c>
      <c r="C745" s="3" t="s">
        <v>3358</v>
      </c>
      <c r="D745" s="3" t="s">
        <v>3359</v>
      </c>
      <c r="E745" s="3">
        <v>550703.0</v>
      </c>
      <c r="F745" s="5">
        <v>1.0</v>
      </c>
      <c r="G745" s="3" t="s">
        <v>1021</v>
      </c>
      <c r="H745" s="3" t="s">
        <v>1021</v>
      </c>
      <c r="I745" s="3" t="s">
        <v>1021</v>
      </c>
      <c r="J745" s="4" t="str">
        <f t="shared" si="1"/>
        <v>신정자9196</v>
      </c>
      <c r="K745" s="3" t="str">
        <f t="shared" si="2"/>
        <v>정상</v>
      </c>
      <c r="L745" s="4">
        <v>35000.0</v>
      </c>
      <c r="M745" s="4">
        <v>35000.0</v>
      </c>
      <c r="N745" s="4">
        <v>0.0</v>
      </c>
    </row>
    <row r="746">
      <c r="A746" s="6">
        <v>345.0</v>
      </c>
      <c r="B746" s="4" t="s">
        <v>1052</v>
      </c>
      <c r="C746" s="4" t="s">
        <v>3360</v>
      </c>
      <c r="D746" s="4" t="s">
        <v>3361</v>
      </c>
      <c r="E746" s="4">
        <v>790925.0</v>
      </c>
      <c r="F746" s="6">
        <v>1.0</v>
      </c>
      <c r="G746" s="4" t="s">
        <v>1021</v>
      </c>
      <c r="H746" s="4" t="s">
        <v>1021</v>
      </c>
      <c r="I746" s="4" t="s">
        <v>1021</v>
      </c>
      <c r="J746" s="4" t="str">
        <f t="shared" si="1"/>
        <v>신한음1429</v>
      </c>
      <c r="K746" s="3" t="str">
        <f t="shared" si="2"/>
        <v>정상</v>
      </c>
      <c r="L746" s="4">
        <v>35000.0</v>
      </c>
      <c r="M746" s="4">
        <v>35000.0</v>
      </c>
      <c r="N746" s="4">
        <v>0.0</v>
      </c>
    </row>
    <row r="747">
      <c r="A747" s="6">
        <v>1221.0</v>
      </c>
      <c r="B747" s="4" t="s">
        <v>1071</v>
      </c>
      <c r="C747" s="4" t="s">
        <v>3362</v>
      </c>
      <c r="D747" s="4" t="s">
        <v>3363</v>
      </c>
      <c r="E747" s="4">
        <v>710115.0</v>
      </c>
      <c r="F747" s="6">
        <v>1.0</v>
      </c>
      <c r="G747" s="4" t="s">
        <v>1021</v>
      </c>
      <c r="H747" s="4" t="s">
        <v>1021</v>
      </c>
      <c r="I747" s="4" t="s">
        <v>1021</v>
      </c>
      <c r="J747" s="4" t="str">
        <f t="shared" si="1"/>
        <v>심영미6528</v>
      </c>
      <c r="K747" s="3" t="str">
        <f t="shared" si="2"/>
        <v>정상</v>
      </c>
      <c r="L747" s="4">
        <v>35000.0</v>
      </c>
      <c r="M747" s="4">
        <v>35000.0</v>
      </c>
      <c r="N747" s="4">
        <v>0.0</v>
      </c>
    </row>
    <row r="748">
      <c r="A748" s="6">
        <v>726.0</v>
      </c>
      <c r="B748" s="4" t="s">
        <v>1335</v>
      </c>
      <c r="C748" s="4" t="s">
        <v>3364</v>
      </c>
      <c r="D748" s="4" t="s">
        <v>3365</v>
      </c>
      <c r="E748" s="4">
        <v>551114.0</v>
      </c>
      <c r="F748" s="6">
        <v>1.0</v>
      </c>
      <c r="G748" s="4" t="s">
        <v>1021</v>
      </c>
      <c r="H748" s="4" t="s">
        <v>1021</v>
      </c>
      <c r="I748" s="4" t="s">
        <v>1021</v>
      </c>
      <c r="J748" s="4" t="str">
        <f t="shared" si="1"/>
        <v>심점숙2140</v>
      </c>
      <c r="K748" s="3" t="str">
        <f t="shared" si="2"/>
        <v>정상</v>
      </c>
      <c r="L748" s="4">
        <v>35000.0</v>
      </c>
      <c r="M748" s="4">
        <v>35000.0</v>
      </c>
      <c r="N748" s="4">
        <v>0.0</v>
      </c>
    </row>
    <row r="749">
      <c r="A749" s="6">
        <v>518.0</v>
      </c>
      <c r="B749" s="4" t="s">
        <v>1349</v>
      </c>
      <c r="C749" s="4" t="s">
        <v>3366</v>
      </c>
      <c r="D749" s="4" t="s">
        <v>3367</v>
      </c>
      <c r="E749" s="4">
        <v>560103.0</v>
      </c>
      <c r="F749" s="6">
        <v>1.0</v>
      </c>
      <c r="G749" s="4" t="s">
        <v>1021</v>
      </c>
      <c r="H749" s="4" t="s">
        <v>1021</v>
      </c>
      <c r="I749" s="4" t="s">
        <v>1021</v>
      </c>
      <c r="J749" s="4" t="str">
        <f t="shared" si="1"/>
        <v>심혜자0757</v>
      </c>
      <c r="K749" s="3" t="str">
        <f t="shared" si="2"/>
        <v>정상</v>
      </c>
      <c r="L749" s="4">
        <v>35000.0</v>
      </c>
      <c r="M749" s="4">
        <v>35000.0</v>
      </c>
      <c r="N749" s="4">
        <v>0.0</v>
      </c>
    </row>
    <row r="750">
      <c r="A750" s="6">
        <v>965.0</v>
      </c>
      <c r="B750" s="4" t="s">
        <v>1547</v>
      </c>
      <c r="C750" s="4" t="s">
        <v>3368</v>
      </c>
      <c r="D750" s="4" t="s">
        <v>3369</v>
      </c>
      <c r="E750" s="4">
        <v>660925.0</v>
      </c>
      <c r="F750" s="6">
        <v>1.0</v>
      </c>
      <c r="G750" s="4" t="s">
        <v>1021</v>
      </c>
      <c r="H750" s="4" t="s">
        <v>1021</v>
      </c>
      <c r="I750" s="4" t="s">
        <v>1021</v>
      </c>
      <c r="J750" s="4" t="str">
        <f t="shared" si="1"/>
        <v>안승덕2135</v>
      </c>
      <c r="K750" s="3" t="str">
        <f t="shared" si="2"/>
        <v>정상</v>
      </c>
      <c r="L750" s="4">
        <v>35000.0</v>
      </c>
      <c r="M750" s="4">
        <v>35000.0</v>
      </c>
      <c r="N750" s="4">
        <v>0.0</v>
      </c>
    </row>
    <row r="751">
      <c r="A751" s="6">
        <v>162.0</v>
      </c>
      <c r="B751" s="4" t="s">
        <v>1287</v>
      </c>
      <c r="C751" s="4" t="s">
        <v>3370</v>
      </c>
      <c r="D751" s="4" t="s">
        <v>3371</v>
      </c>
      <c r="E751" s="4">
        <v>600308.0</v>
      </c>
      <c r="F751" s="6">
        <v>1.0</v>
      </c>
      <c r="G751" s="4" t="s">
        <v>1021</v>
      </c>
      <c r="H751" s="4" t="s">
        <v>1021</v>
      </c>
      <c r="I751" s="4" t="s">
        <v>1021</v>
      </c>
      <c r="J751" s="4" t="str">
        <f t="shared" si="1"/>
        <v>안영미4151</v>
      </c>
      <c r="K751" s="3" t="str">
        <f t="shared" si="2"/>
        <v>정상</v>
      </c>
      <c r="L751" s="4">
        <v>35000.0</v>
      </c>
      <c r="M751" s="4">
        <v>35000.0</v>
      </c>
      <c r="N751" s="4">
        <v>0.0</v>
      </c>
    </row>
    <row r="752">
      <c r="A752" s="6">
        <v>284.0</v>
      </c>
      <c r="B752" s="4" t="s">
        <v>2267</v>
      </c>
      <c r="C752" s="4" t="s">
        <v>3372</v>
      </c>
      <c r="D752" s="4" t="s">
        <v>3373</v>
      </c>
      <c r="E752" s="4">
        <v>760126.0</v>
      </c>
      <c r="F752" s="6">
        <v>1.0</v>
      </c>
      <c r="G752" s="4" t="s">
        <v>1021</v>
      </c>
      <c r="H752" s="4" t="s">
        <v>1021</v>
      </c>
      <c r="I752" s="4" t="s">
        <v>1021</v>
      </c>
      <c r="J752" s="4" t="str">
        <f t="shared" si="1"/>
        <v>안예리1045</v>
      </c>
      <c r="K752" s="3" t="str">
        <f t="shared" si="2"/>
        <v>정상</v>
      </c>
      <c r="L752" s="4">
        <v>35000.0</v>
      </c>
      <c r="M752" s="4">
        <v>35000.0</v>
      </c>
      <c r="N752" s="4">
        <v>0.0</v>
      </c>
    </row>
    <row r="753">
      <c r="A753" s="6">
        <v>272.0</v>
      </c>
      <c r="B753" s="4" t="s">
        <v>1081</v>
      </c>
      <c r="C753" s="4" t="s">
        <v>3374</v>
      </c>
      <c r="D753" s="4" t="s">
        <v>3375</v>
      </c>
      <c r="E753" s="4">
        <v>640928.0</v>
      </c>
      <c r="F753" s="6">
        <v>1.0</v>
      </c>
      <c r="G753" s="4" t="s">
        <v>1021</v>
      </c>
      <c r="H753" s="4" t="s">
        <v>1021</v>
      </c>
      <c r="I753" s="4" t="s">
        <v>1021</v>
      </c>
      <c r="J753" s="4" t="str">
        <f t="shared" si="1"/>
        <v>안유인1502</v>
      </c>
      <c r="K753" s="3" t="str">
        <f t="shared" si="2"/>
        <v>정상</v>
      </c>
      <c r="L753" s="4">
        <v>35000.0</v>
      </c>
      <c r="M753" s="4">
        <v>35000.0</v>
      </c>
      <c r="N753" s="4">
        <v>0.0</v>
      </c>
    </row>
    <row r="754">
      <c r="A754" s="6">
        <v>961.0</v>
      </c>
      <c r="B754" s="4" t="s">
        <v>1547</v>
      </c>
      <c r="C754" s="4" t="s">
        <v>1043</v>
      </c>
      <c r="D754" s="4" t="s">
        <v>3376</v>
      </c>
      <c r="E754" s="4">
        <v>680602.0</v>
      </c>
      <c r="F754" s="6">
        <v>1.0</v>
      </c>
      <c r="G754" s="4" t="s">
        <v>1021</v>
      </c>
      <c r="H754" s="4" t="s">
        <v>1021</v>
      </c>
      <c r="I754" s="4" t="s">
        <v>1021</v>
      </c>
      <c r="J754" s="4" t="str">
        <f t="shared" si="1"/>
        <v>안은숙7295</v>
      </c>
      <c r="K754" s="3" t="str">
        <f t="shared" si="2"/>
        <v>정상</v>
      </c>
      <c r="L754" s="4">
        <v>35000.0</v>
      </c>
      <c r="M754" s="4">
        <v>35000.0</v>
      </c>
      <c r="N754" s="4">
        <v>0.0</v>
      </c>
    </row>
    <row r="755">
      <c r="A755" s="6">
        <v>935.0</v>
      </c>
      <c r="B755" s="4" t="s">
        <v>1523</v>
      </c>
      <c r="C755" s="4" t="s">
        <v>3377</v>
      </c>
      <c r="D755" s="4" t="s">
        <v>3378</v>
      </c>
      <c r="E755" s="4">
        <v>610505.0</v>
      </c>
      <c r="F755" s="6">
        <v>1.0</v>
      </c>
      <c r="G755" s="4" t="s">
        <v>1021</v>
      </c>
      <c r="H755" s="4" t="s">
        <v>1021</v>
      </c>
      <c r="I755" s="4" t="s">
        <v>1021</v>
      </c>
      <c r="J755" s="4" t="str">
        <f t="shared" si="1"/>
        <v>안종희1296</v>
      </c>
      <c r="K755" s="3" t="str">
        <f t="shared" si="2"/>
        <v>정상</v>
      </c>
      <c r="L755" s="4">
        <v>35000.0</v>
      </c>
      <c r="M755" s="4">
        <v>35000.0</v>
      </c>
      <c r="N755" s="4">
        <v>0.0</v>
      </c>
    </row>
    <row r="756">
      <c r="A756" s="6">
        <v>956.0</v>
      </c>
      <c r="B756" s="4" t="s">
        <v>1547</v>
      </c>
      <c r="C756" s="4" t="s">
        <v>3379</v>
      </c>
      <c r="D756" s="4" t="s">
        <v>3380</v>
      </c>
      <c r="E756" s="4">
        <v>521223.0</v>
      </c>
      <c r="F756" s="6">
        <v>1.0</v>
      </c>
      <c r="G756" s="4" t="s">
        <v>1021</v>
      </c>
      <c r="H756" s="4" t="s">
        <v>1021</v>
      </c>
      <c r="I756" s="4" t="s">
        <v>1021</v>
      </c>
      <c r="J756" s="4" t="str">
        <f t="shared" si="1"/>
        <v>안혜경4924</v>
      </c>
      <c r="K756" s="3" t="str">
        <f t="shared" si="2"/>
        <v>정상</v>
      </c>
      <c r="L756" s="4">
        <v>35000.0</v>
      </c>
      <c r="M756" s="4">
        <v>35000.0</v>
      </c>
      <c r="N756" s="4">
        <v>0.0</v>
      </c>
    </row>
    <row r="757">
      <c r="A757" s="6">
        <v>1144.0</v>
      </c>
      <c r="B757" s="4" t="s">
        <v>1165</v>
      </c>
      <c r="C757" s="4" t="s">
        <v>3381</v>
      </c>
      <c r="D757" s="4" t="s">
        <v>3382</v>
      </c>
      <c r="E757" s="4">
        <v>561227.0</v>
      </c>
      <c r="F757" s="6">
        <v>1.0</v>
      </c>
      <c r="G757" s="4" t="s">
        <v>1021</v>
      </c>
      <c r="H757" s="4" t="s">
        <v>1021</v>
      </c>
      <c r="I757" s="4" t="s">
        <v>1021</v>
      </c>
      <c r="J757" s="4" t="str">
        <f t="shared" si="1"/>
        <v>양란숙1153</v>
      </c>
      <c r="K757" s="3" t="str">
        <f t="shared" si="2"/>
        <v>정상</v>
      </c>
      <c r="L757" s="4">
        <v>35000.0</v>
      </c>
      <c r="M757" s="4">
        <v>35000.0</v>
      </c>
      <c r="N757" s="4">
        <v>0.0</v>
      </c>
    </row>
    <row r="758">
      <c r="A758" s="6">
        <v>810.0</v>
      </c>
      <c r="B758" s="4" t="s">
        <v>1232</v>
      </c>
      <c r="C758" s="4" t="s">
        <v>3383</v>
      </c>
      <c r="D758" s="4" t="s">
        <v>3384</v>
      </c>
      <c r="E758" s="4">
        <v>691027.0</v>
      </c>
      <c r="F758" s="6">
        <v>1.0</v>
      </c>
      <c r="G758" s="4" t="s">
        <v>1021</v>
      </c>
      <c r="H758" s="4" t="s">
        <v>1021</v>
      </c>
      <c r="I758" s="4" t="s">
        <v>1021</v>
      </c>
      <c r="J758" s="4" t="str">
        <f t="shared" si="1"/>
        <v>양미정1298</v>
      </c>
      <c r="K758" s="3" t="str">
        <f t="shared" si="2"/>
        <v>정상</v>
      </c>
      <c r="L758" s="4">
        <v>35000.0</v>
      </c>
      <c r="M758" s="4">
        <v>35000.0</v>
      </c>
      <c r="N758" s="4">
        <v>0.0</v>
      </c>
    </row>
    <row r="759">
      <c r="A759" s="6">
        <v>154.0</v>
      </c>
      <c r="B759" s="4" t="s">
        <v>1287</v>
      </c>
      <c r="C759" s="4" t="s">
        <v>3385</v>
      </c>
      <c r="D759" s="4" t="s">
        <v>3386</v>
      </c>
      <c r="E759" s="4">
        <v>650204.0</v>
      </c>
      <c r="F759" s="6">
        <v>1.0</v>
      </c>
      <c r="G759" s="4" t="s">
        <v>1021</v>
      </c>
      <c r="H759" s="4" t="s">
        <v>1021</v>
      </c>
      <c r="I759" s="4" t="s">
        <v>1021</v>
      </c>
      <c r="J759" s="4" t="str">
        <f t="shared" si="1"/>
        <v>양성기1062</v>
      </c>
      <c r="K759" s="3" t="str">
        <f t="shared" si="2"/>
        <v>정상</v>
      </c>
      <c r="L759" s="4">
        <v>35000.0</v>
      </c>
      <c r="M759" s="4">
        <v>35000.0</v>
      </c>
      <c r="N759" s="4">
        <v>0.0</v>
      </c>
    </row>
    <row r="760">
      <c r="A760" s="6">
        <v>549.0</v>
      </c>
      <c r="B760" s="4" t="s">
        <v>1170</v>
      </c>
      <c r="C760" s="4" t="s">
        <v>3387</v>
      </c>
      <c r="D760" s="4" t="s">
        <v>3388</v>
      </c>
      <c r="E760" s="4">
        <v>840625.0</v>
      </c>
      <c r="F760" s="6">
        <v>1.0</v>
      </c>
      <c r="G760" s="4" t="s">
        <v>1021</v>
      </c>
      <c r="H760" s="4" t="s">
        <v>1021</v>
      </c>
      <c r="I760" s="4" t="s">
        <v>1021</v>
      </c>
      <c r="J760" s="4" t="str">
        <f t="shared" si="1"/>
        <v>양순영4839</v>
      </c>
      <c r="K760" s="3" t="str">
        <f t="shared" si="2"/>
        <v>정상</v>
      </c>
      <c r="L760" s="4">
        <v>35000.0</v>
      </c>
      <c r="M760" s="4">
        <v>35000.0</v>
      </c>
      <c r="N760" s="4">
        <v>0.0</v>
      </c>
    </row>
    <row r="761">
      <c r="A761" s="6">
        <v>583.0</v>
      </c>
      <c r="B761" s="4" t="s">
        <v>1372</v>
      </c>
      <c r="C761" s="4" t="s">
        <v>3389</v>
      </c>
      <c r="D761" s="4" t="s">
        <v>3390</v>
      </c>
      <c r="E761" s="4">
        <v>570309.0</v>
      </c>
      <c r="F761" s="6">
        <v>1.0</v>
      </c>
      <c r="G761" s="4" t="s">
        <v>1021</v>
      </c>
      <c r="H761" s="4" t="s">
        <v>1021</v>
      </c>
      <c r="I761" s="4" t="s">
        <v>1021</v>
      </c>
      <c r="J761" s="4" t="str">
        <f t="shared" si="1"/>
        <v>양승미4351</v>
      </c>
      <c r="K761" s="3" t="str">
        <f t="shared" si="2"/>
        <v>정상</v>
      </c>
      <c r="L761" s="4">
        <v>35000.0</v>
      </c>
      <c r="M761" s="4">
        <v>35000.0</v>
      </c>
      <c r="N761" s="4">
        <v>0.0</v>
      </c>
    </row>
    <row r="762">
      <c r="A762" s="6">
        <v>1178.0</v>
      </c>
      <c r="B762" s="4" t="s">
        <v>1471</v>
      </c>
      <c r="C762" s="4" t="s">
        <v>3391</v>
      </c>
      <c r="D762" s="4" t="s">
        <v>3392</v>
      </c>
      <c r="E762" s="4">
        <v>670124.0</v>
      </c>
      <c r="F762" s="6">
        <v>1.0</v>
      </c>
      <c r="G762" s="4" t="s">
        <v>1021</v>
      </c>
      <c r="H762" s="4" t="s">
        <v>1021</v>
      </c>
      <c r="I762" s="4" t="s">
        <v>1021</v>
      </c>
      <c r="J762" s="4" t="str">
        <f t="shared" si="1"/>
        <v>양안나0387</v>
      </c>
      <c r="K762" s="3" t="str">
        <f t="shared" si="2"/>
        <v>정상</v>
      </c>
      <c r="L762" s="4">
        <v>35000.0</v>
      </c>
      <c r="M762" s="4">
        <v>35000.0</v>
      </c>
      <c r="N762" s="4">
        <v>0.0</v>
      </c>
    </row>
    <row r="763">
      <c r="A763" s="6">
        <v>289.0</v>
      </c>
      <c r="B763" s="4" t="s">
        <v>1636</v>
      </c>
      <c r="C763" s="4" t="s">
        <v>3393</v>
      </c>
      <c r="D763" s="4" t="s">
        <v>3394</v>
      </c>
      <c r="E763" s="4">
        <v>610510.0</v>
      </c>
      <c r="F763" s="6">
        <v>1.0</v>
      </c>
      <c r="G763" s="4" t="s">
        <v>1021</v>
      </c>
      <c r="H763" s="4" t="s">
        <v>1021</v>
      </c>
      <c r="I763" s="4" t="s">
        <v>1021</v>
      </c>
      <c r="J763" s="4" t="str">
        <f t="shared" si="1"/>
        <v>양영애8353</v>
      </c>
      <c r="K763" s="3" t="str">
        <f t="shared" si="2"/>
        <v>정상</v>
      </c>
      <c r="L763" s="4">
        <v>35000.0</v>
      </c>
      <c r="M763" s="4">
        <v>35000.0</v>
      </c>
      <c r="N763" s="4">
        <v>0.0</v>
      </c>
    </row>
    <row r="764">
      <c r="A764" s="6">
        <v>900.0</v>
      </c>
      <c r="B764" s="4" t="s">
        <v>1872</v>
      </c>
      <c r="C764" s="4" t="s">
        <v>3395</v>
      </c>
      <c r="D764" s="4" t="s">
        <v>3396</v>
      </c>
      <c r="E764" s="4">
        <v>600117.0</v>
      </c>
      <c r="F764" s="6">
        <v>1.0</v>
      </c>
      <c r="G764" s="4" t="s">
        <v>1021</v>
      </c>
      <c r="H764" s="4" t="s">
        <v>1021</v>
      </c>
      <c r="I764" s="4" t="s">
        <v>1021</v>
      </c>
      <c r="J764" s="4" t="str">
        <f t="shared" si="1"/>
        <v>양은숙1285</v>
      </c>
      <c r="K764" s="3" t="str">
        <f t="shared" si="2"/>
        <v>정상</v>
      </c>
      <c r="L764" s="4">
        <v>35000.0</v>
      </c>
      <c r="M764" s="4">
        <v>35000.0</v>
      </c>
      <c r="N764" s="4">
        <v>0.0</v>
      </c>
    </row>
    <row r="765">
      <c r="A765" s="5">
        <v>846.0</v>
      </c>
      <c r="B765" s="3" t="s">
        <v>1967</v>
      </c>
      <c r="C765" s="3" t="s">
        <v>3397</v>
      </c>
      <c r="D765" s="3" t="s">
        <v>3398</v>
      </c>
      <c r="E765" s="3">
        <v>611119.0</v>
      </c>
      <c r="F765" s="5">
        <v>1.0</v>
      </c>
      <c r="G765" s="3" t="s">
        <v>1021</v>
      </c>
      <c r="H765" s="3" t="s">
        <v>1021</v>
      </c>
      <c r="I765" s="3" t="s">
        <v>1021</v>
      </c>
      <c r="J765" s="4" t="str">
        <f t="shared" si="1"/>
        <v>양주혜0767</v>
      </c>
      <c r="K765" s="3" t="str">
        <f t="shared" si="2"/>
        <v>정상</v>
      </c>
      <c r="L765" s="4">
        <v>35000.0</v>
      </c>
      <c r="M765" s="4">
        <v>35000.0</v>
      </c>
      <c r="N765" s="4">
        <v>0.0</v>
      </c>
    </row>
    <row r="766">
      <c r="A766" s="6">
        <v>330.0</v>
      </c>
      <c r="B766" s="4" t="s">
        <v>1322</v>
      </c>
      <c r="C766" s="4" t="s">
        <v>3399</v>
      </c>
      <c r="D766" s="4" t="s">
        <v>3400</v>
      </c>
      <c r="E766" s="4">
        <v>510520.0</v>
      </c>
      <c r="F766" s="6">
        <v>1.0</v>
      </c>
      <c r="G766" s="4" t="s">
        <v>1021</v>
      </c>
      <c r="H766" s="4" t="s">
        <v>1021</v>
      </c>
      <c r="I766" s="4" t="s">
        <v>1021</v>
      </c>
      <c r="J766" s="4" t="str">
        <f t="shared" si="1"/>
        <v>양혜숙8550</v>
      </c>
      <c r="K766" s="3" t="str">
        <f t="shared" si="2"/>
        <v>정상</v>
      </c>
      <c r="L766" s="4">
        <v>35000.0</v>
      </c>
      <c r="M766" s="4">
        <v>35000.0</v>
      </c>
      <c r="N766" s="4">
        <v>0.0</v>
      </c>
    </row>
    <row r="767">
      <c r="A767" s="6">
        <v>259.0</v>
      </c>
      <c r="B767" s="4" t="s">
        <v>1160</v>
      </c>
      <c r="C767" s="4" t="s">
        <v>3401</v>
      </c>
      <c r="D767" s="4" t="s">
        <v>3402</v>
      </c>
      <c r="E767" s="4">
        <v>770208.0</v>
      </c>
      <c r="F767" s="6">
        <v>1.0</v>
      </c>
      <c r="G767" s="4" t="s">
        <v>1021</v>
      </c>
      <c r="H767" s="4" t="s">
        <v>1021</v>
      </c>
      <c r="I767" s="4" t="s">
        <v>1021</v>
      </c>
      <c r="J767" s="4" t="str">
        <f t="shared" si="1"/>
        <v>어복희3592</v>
      </c>
      <c r="K767" s="3" t="str">
        <f t="shared" si="2"/>
        <v>정상</v>
      </c>
      <c r="L767" s="4">
        <v>35000.0</v>
      </c>
      <c r="M767" s="4">
        <v>35000.0</v>
      </c>
      <c r="N767" s="4">
        <v>0.0</v>
      </c>
    </row>
    <row r="768">
      <c r="A768" s="5">
        <v>905.0</v>
      </c>
      <c r="B768" s="3" t="s">
        <v>1872</v>
      </c>
      <c r="C768" s="3" t="s">
        <v>3403</v>
      </c>
      <c r="D768" s="3" t="s">
        <v>3404</v>
      </c>
      <c r="E768" s="3">
        <v>620505.0</v>
      </c>
      <c r="F768" s="5">
        <v>1.0</v>
      </c>
      <c r="G768" s="3" t="s">
        <v>1021</v>
      </c>
      <c r="H768" s="3" t="s">
        <v>1021</v>
      </c>
      <c r="I768" s="3" t="s">
        <v>1021</v>
      </c>
      <c r="J768" s="4" t="str">
        <f t="shared" si="1"/>
        <v>여영선6205</v>
      </c>
      <c r="K768" s="3" t="str">
        <f t="shared" si="2"/>
        <v>정상</v>
      </c>
      <c r="L768" s="4">
        <v>35000.0</v>
      </c>
      <c r="M768" s="4">
        <v>35000.0</v>
      </c>
      <c r="N768" s="4">
        <v>0.0</v>
      </c>
    </row>
    <row r="769">
      <c r="A769" s="6">
        <v>442.0</v>
      </c>
      <c r="B769" s="4" t="s">
        <v>1381</v>
      </c>
      <c r="C769" s="4" t="s">
        <v>3405</v>
      </c>
      <c r="D769" s="4" t="s">
        <v>3406</v>
      </c>
      <c r="E769" s="4">
        <v>591004.0</v>
      </c>
      <c r="F769" s="6">
        <v>1.0</v>
      </c>
      <c r="G769" s="4" t="s">
        <v>1021</v>
      </c>
      <c r="H769" s="4" t="s">
        <v>1021</v>
      </c>
      <c r="I769" s="4" t="s">
        <v>1021</v>
      </c>
      <c r="J769" s="4" t="str">
        <f t="shared" si="1"/>
        <v>연복순0240</v>
      </c>
      <c r="K769" s="3" t="str">
        <f t="shared" si="2"/>
        <v>정상</v>
      </c>
      <c r="L769" s="4">
        <v>35000.0</v>
      </c>
      <c r="M769" s="4">
        <v>35000.0</v>
      </c>
      <c r="N769" s="4">
        <v>0.0</v>
      </c>
    </row>
    <row r="770">
      <c r="A770" s="5">
        <v>303.0</v>
      </c>
      <c r="B770" s="3" t="s">
        <v>1950</v>
      </c>
      <c r="C770" s="3" t="s">
        <v>3407</v>
      </c>
      <c r="D770" s="3" t="s">
        <v>3408</v>
      </c>
      <c r="E770" s="3">
        <v>580730.0</v>
      </c>
      <c r="F770" s="5">
        <v>1.0</v>
      </c>
      <c r="G770" s="3" t="s">
        <v>1021</v>
      </c>
      <c r="H770" s="3" t="s">
        <v>1021</v>
      </c>
      <c r="I770" s="3" t="s">
        <v>1021</v>
      </c>
      <c r="J770" s="4" t="str">
        <f t="shared" si="1"/>
        <v>오금자3666</v>
      </c>
      <c r="K770" s="3" t="str">
        <f t="shared" si="2"/>
        <v>정상</v>
      </c>
      <c r="L770" s="4">
        <v>35000.0</v>
      </c>
      <c r="M770" s="4">
        <v>35000.0</v>
      </c>
      <c r="N770" s="4">
        <v>0.0</v>
      </c>
    </row>
    <row r="771">
      <c r="A771" s="6">
        <v>205.0</v>
      </c>
      <c r="B771" s="4" t="s">
        <v>1109</v>
      </c>
      <c r="C771" s="4" t="s">
        <v>3409</v>
      </c>
      <c r="D771" s="4" t="s">
        <v>3410</v>
      </c>
      <c r="E771" s="4">
        <v>560222.0</v>
      </c>
      <c r="F771" s="6">
        <v>1.0</v>
      </c>
      <c r="G771" s="4" t="s">
        <v>1021</v>
      </c>
      <c r="H771" s="4" t="s">
        <v>1021</v>
      </c>
      <c r="I771" s="4" t="s">
        <v>1021</v>
      </c>
      <c r="J771" s="4" t="str">
        <f t="shared" si="1"/>
        <v>오대영0959</v>
      </c>
      <c r="K771" s="3" t="str">
        <f t="shared" si="2"/>
        <v>정상</v>
      </c>
      <c r="L771" s="4">
        <v>35000.0</v>
      </c>
      <c r="M771" s="4">
        <v>35000.0</v>
      </c>
      <c r="N771" s="4">
        <v>0.0</v>
      </c>
    </row>
    <row r="772">
      <c r="A772" s="5">
        <v>596.0</v>
      </c>
      <c r="B772" s="3" t="s">
        <v>1825</v>
      </c>
      <c r="C772" s="3" t="s">
        <v>3411</v>
      </c>
      <c r="D772" s="3" t="s">
        <v>3412</v>
      </c>
      <c r="E772" s="3">
        <v>570426.0</v>
      </c>
      <c r="F772" s="5">
        <v>1.0</v>
      </c>
      <c r="G772" s="3" t="s">
        <v>1021</v>
      </c>
      <c r="H772" s="3" t="s">
        <v>1021</v>
      </c>
      <c r="I772" s="3" t="s">
        <v>1021</v>
      </c>
      <c r="J772" s="4" t="str">
        <f t="shared" si="1"/>
        <v>오문식3978</v>
      </c>
      <c r="K772" s="3" t="str">
        <f t="shared" si="2"/>
        <v>정상</v>
      </c>
      <c r="L772" s="4">
        <v>35000.0</v>
      </c>
      <c r="M772" s="4">
        <v>35000.0</v>
      </c>
      <c r="N772" s="4">
        <v>0.0</v>
      </c>
    </row>
    <row r="773">
      <c r="A773" s="6">
        <v>266.0</v>
      </c>
      <c r="B773" s="4" t="s">
        <v>1147</v>
      </c>
      <c r="C773" s="4" t="s">
        <v>3413</v>
      </c>
      <c r="D773" s="4" t="s">
        <v>3414</v>
      </c>
      <c r="E773" s="4">
        <v>710313.0</v>
      </c>
      <c r="F773" s="6">
        <v>1.0</v>
      </c>
      <c r="G773" s="4" t="s">
        <v>1021</v>
      </c>
      <c r="H773" s="4" t="s">
        <v>1021</v>
      </c>
      <c r="I773" s="4" t="s">
        <v>1021</v>
      </c>
      <c r="J773" s="4" t="str">
        <f t="shared" si="1"/>
        <v>오세연2707</v>
      </c>
      <c r="K773" s="3" t="str">
        <f t="shared" si="2"/>
        <v>정상</v>
      </c>
      <c r="L773" s="4">
        <v>35000.0</v>
      </c>
      <c r="M773" s="4">
        <v>35000.0</v>
      </c>
      <c r="N773" s="4">
        <v>0.0</v>
      </c>
    </row>
    <row r="774">
      <c r="A774" s="6">
        <v>796.0</v>
      </c>
      <c r="B774" s="4" t="s">
        <v>2932</v>
      </c>
      <c r="C774" s="4" t="s">
        <v>3415</v>
      </c>
      <c r="D774" s="4" t="s">
        <v>3416</v>
      </c>
      <c r="E774" s="4">
        <v>611228.0</v>
      </c>
      <c r="F774" s="6">
        <v>1.0</v>
      </c>
      <c r="G774" s="4" t="s">
        <v>1021</v>
      </c>
      <c r="H774" s="4" t="s">
        <v>1021</v>
      </c>
      <c r="I774" s="4" t="s">
        <v>1021</v>
      </c>
      <c r="J774" s="4" t="str">
        <f t="shared" si="1"/>
        <v>오순희3487</v>
      </c>
      <c r="K774" s="3" t="str">
        <f t="shared" si="2"/>
        <v>정상</v>
      </c>
      <c r="L774" s="4">
        <v>35000.0</v>
      </c>
      <c r="M774" s="4">
        <v>35000.0</v>
      </c>
      <c r="N774" s="4">
        <v>0.0</v>
      </c>
    </row>
    <row r="775">
      <c r="A775" s="6">
        <v>503.0</v>
      </c>
      <c r="B775" s="4" t="s">
        <v>1095</v>
      </c>
      <c r="C775" s="4" t="s">
        <v>3417</v>
      </c>
      <c r="D775" s="4" t="s">
        <v>3418</v>
      </c>
      <c r="E775" s="4">
        <v>570409.0</v>
      </c>
      <c r="F775" s="6">
        <v>1.0</v>
      </c>
      <c r="G775" s="4" t="s">
        <v>1021</v>
      </c>
      <c r="H775" s="4" t="s">
        <v>1021</v>
      </c>
      <c r="I775" s="4" t="s">
        <v>1021</v>
      </c>
      <c r="J775" s="4" t="str">
        <f t="shared" si="1"/>
        <v>오웅근7107</v>
      </c>
      <c r="K775" s="3" t="str">
        <f t="shared" si="2"/>
        <v>정상</v>
      </c>
      <c r="L775" s="4">
        <v>35000.0</v>
      </c>
      <c r="M775" s="4">
        <v>35000.0</v>
      </c>
      <c r="N775" s="4">
        <v>0.0</v>
      </c>
    </row>
    <row r="776">
      <c r="A776" s="6">
        <v>925.0</v>
      </c>
      <c r="B776" s="4" t="s">
        <v>1001</v>
      </c>
      <c r="C776" s="4" t="s">
        <v>3419</v>
      </c>
      <c r="D776" s="4" t="s">
        <v>3420</v>
      </c>
      <c r="E776" s="4">
        <v>660217.0</v>
      </c>
      <c r="F776" s="6">
        <v>1.0</v>
      </c>
      <c r="G776" s="4" t="s">
        <v>1021</v>
      </c>
      <c r="H776" s="4" t="s">
        <v>1021</v>
      </c>
      <c r="I776" s="4" t="s">
        <v>1021</v>
      </c>
      <c r="J776" s="4" t="str">
        <f t="shared" si="1"/>
        <v>오현실5900</v>
      </c>
      <c r="K776" s="3" t="str">
        <f t="shared" si="2"/>
        <v>정상</v>
      </c>
      <c r="L776" s="4">
        <v>35000.0</v>
      </c>
      <c r="M776" s="4">
        <v>35000.0</v>
      </c>
      <c r="N776" s="4">
        <v>0.0</v>
      </c>
    </row>
    <row r="777">
      <c r="A777" s="6">
        <v>817.0</v>
      </c>
      <c r="B777" s="4" t="s">
        <v>1124</v>
      </c>
      <c r="C777" s="4" t="s">
        <v>3421</v>
      </c>
      <c r="D777" s="4" t="s">
        <v>3422</v>
      </c>
      <c r="E777" s="4">
        <v>561231.0</v>
      </c>
      <c r="F777" s="6">
        <v>1.0</v>
      </c>
      <c r="G777" s="4" t="s">
        <v>1021</v>
      </c>
      <c r="H777" s="4" t="s">
        <v>1021</v>
      </c>
      <c r="I777" s="4" t="s">
        <v>1021</v>
      </c>
      <c r="J777" s="4" t="str">
        <f t="shared" si="1"/>
        <v>우인애1461</v>
      </c>
      <c r="K777" s="3" t="str">
        <f t="shared" si="2"/>
        <v>정상</v>
      </c>
      <c r="L777" s="4">
        <v>35000.0</v>
      </c>
      <c r="M777" s="4">
        <v>35000.0</v>
      </c>
      <c r="N777" s="4">
        <v>0.0</v>
      </c>
    </row>
    <row r="778">
      <c r="A778" s="6">
        <v>607.0</v>
      </c>
      <c r="B778" s="4" t="s">
        <v>1219</v>
      </c>
      <c r="C778" s="4" t="s">
        <v>3423</v>
      </c>
      <c r="D778" s="4" t="s">
        <v>3424</v>
      </c>
      <c r="E778" s="4">
        <v>640313.0</v>
      </c>
      <c r="F778" s="6">
        <v>1.0</v>
      </c>
      <c r="G778" s="4" t="s">
        <v>1021</v>
      </c>
      <c r="H778" s="4" t="s">
        <v>1021</v>
      </c>
      <c r="I778" s="4" t="s">
        <v>1021</v>
      </c>
      <c r="J778" s="4" t="str">
        <f t="shared" si="1"/>
        <v>우혜진9286</v>
      </c>
      <c r="K778" s="3" t="str">
        <f t="shared" si="2"/>
        <v>정상</v>
      </c>
      <c r="L778" s="4">
        <v>35000.0</v>
      </c>
      <c r="M778" s="4">
        <v>35000.0</v>
      </c>
      <c r="N778" s="4">
        <v>0.0</v>
      </c>
    </row>
    <row r="779">
      <c r="A779" s="6">
        <v>475.0</v>
      </c>
      <c r="B779" s="4" t="s">
        <v>1042</v>
      </c>
      <c r="C779" s="4" t="s">
        <v>3425</v>
      </c>
      <c r="D779" s="4" t="s">
        <v>3426</v>
      </c>
      <c r="E779" s="4">
        <v>800709.0</v>
      </c>
      <c r="F779" s="6">
        <v>1.0</v>
      </c>
      <c r="G779" s="4" t="s">
        <v>1021</v>
      </c>
      <c r="H779" s="4" t="s">
        <v>1021</v>
      </c>
      <c r="I779" s="4" t="s">
        <v>1021</v>
      </c>
      <c r="J779" s="4" t="str">
        <f t="shared" si="1"/>
        <v>원종명7426</v>
      </c>
      <c r="K779" s="3" t="str">
        <f t="shared" si="2"/>
        <v>정상</v>
      </c>
      <c r="L779" s="4">
        <v>35000.0</v>
      </c>
      <c r="M779" s="4">
        <v>35000.0</v>
      </c>
      <c r="N779" s="4">
        <v>0.0</v>
      </c>
    </row>
    <row r="780">
      <c r="A780" s="5">
        <v>1161.0</v>
      </c>
      <c r="B780" s="3" t="s">
        <v>1165</v>
      </c>
      <c r="C780" s="3" t="s">
        <v>3427</v>
      </c>
      <c r="D780" s="3" t="s">
        <v>3428</v>
      </c>
      <c r="E780" s="3">
        <v>460921.0</v>
      </c>
      <c r="F780" s="5">
        <v>1.0</v>
      </c>
      <c r="G780" s="3" t="s">
        <v>1021</v>
      </c>
      <c r="H780" s="3" t="s">
        <v>1021</v>
      </c>
      <c r="I780" s="3" t="s">
        <v>1021</v>
      </c>
      <c r="J780" s="4" t="str">
        <f t="shared" si="1"/>
        <v>원종순1319</v>
      </c>
      <c r="K780" s="3" t="str">
        <f t="shared" si="2"/>
        <v>정상</v>
      </c>
      <c r="L780" s="4">
        <v>35000.0</v>
      </c>
      <c r="M780" s="4">
        <v>35000.0</v>
      </c>
      <c r="N780" s="4">
        <v>0.0</v>
      </c>
    </row>
    <row r="781">
      <c r="A781" s="5">
        <v>856.0</v>
      </c>
      <c r="B781" s="3" t="s">
        <v>1119</v>
      </c>
      <c r="C781" s="3" t="s">
        <v>3429</v>
      </c>
      <c r="D781" s="3" t="s">
        <v>3430</v>
      </c>
      <c r="E781" s="3">
        <v>571030.0</v>
      </c>
      <c r="F781" s="5">
        <v>1.0</v>
      </c>
      <c r="G781" s="3" t="s">
        <v>1021</v>
      </c>
      <c r="H781" s="3" t="s">
        <v>1021</v>
      </c>
      <c r="I781" s="3" t="s">
        <v>1021</v>
      </c>
      <c r="J781" s="4" t="str">
        <f t="shared" si="1"/>
        <v>유남희2008</v>
      </c>
      <c r="K781" s="3" t="str">
        <f t="shared" si="2"/>
        <v>정상</v>
      </c>
      <c r="L781" s="4">
        <v>35000.0</v>
      </c>
      <c r="M781" s="4">
        <v>35000.0</v>
      </c>
      <c r="N781" s="4">
        <v>0.0</v>
      </c>
    </row>
    <row r="782">
      <c r="A782" s="6">
        <v>788.0</v>
      </c>
      <c r="B782" s="4" t="s">
        <v>1830</v>
      </c>
      <c r="C782" s="4" t="s">
        <v>3431</v>
      </c>
      <c r="D782" s="4" t="s">
        <v>3432</v>
      </c>
      <c r="E782" s="4">
        <v>630408.0</v>
      </c>
      <c r="F782" s="6">
        <v>1.0</v>
      </c>
      <c r="G782" s="4" t="s">
        <v>1021</v>
      </c>
      <c r="H782" s="4" t="s">
        <v>1021</v>
      </c>
      <c r="I782" s="4" t="s">
        <v>1021</v>
      </c>
      <c r="J782" s="4" t="str">
        <f t="shared" si="1"/>
        <v>유연선0455</v>
      </c>
      <c r="K782" s="3" t="str">
        <f t="shared" si="2"/>
        <v>정상</v>
      </c>
      <c r="L782" s="4">
        <v>35000.0</v>
      </c>
      <c r="M782" s="4">
        <v>35000.0</v>
      </c>
      <c r="N782" s="4">
        <v>0.0</v>
      </c>
    </row>
    <row r="783">
      <c r="A783" s="6">
        <v>975.0</v>
      </c>
      <c r="B783" s="4" t="s">
        <v>1488</v>
      </c>
      <c r="C783" s="4" t="s">
        <v>3433</v>
      </c>
      <c r="D783" s="4" t="s">
        <v>3434</v>
      </c>
      <c r="E783" s="4">
        <v>551110.0</v>
      </c>
      <c r="F783" s="6">
        <v>1.0</v>
      </c>
      <c r="G783" s="4" t="s">
        <v>1021</v>
      </c>
      <c r="H783" s="4" t="s">
        <v>1021</v>
      </c>
      <c r="I783" s="4" t="s">
        <v>1021</v>
      </c>
      <c r="J783" s="4" t="str">
        <f t="shared" si="1"/>
        <v>유연홍7391</v>
      </c>
      <c r="K783" s="3" t="str">
        <f t="shared" si="2"/>
        <v>정상</v>
      </c>
      <c r="L783" s="4">
        <v>35000.0</v>
      </c>
      <c r="M783" s="4">
        <v>35000.0</v>
      </c>
      <c r="N783" s="4">
        <v>0.0</v>
      </c>
    </row>
    <row r="784">
      <c r="A784" s="5">
        <v>1081.0</v>
      </c>
      <c r="B784" s="3" t="s">
        <v>1076</v>
      </c>
      <c r="C784" s="3" t="s">
        <v>3435</v>
      </c>
      <c r="D784" s="3" t="s">
        <v>3436</v>
      </c>
      <c r="E784" s="3">
        <v>650312.0</v>
      </c>
      <c r="F784" s="5">
        <v>1.0</v>
      </c>
      <c r="G784" s="3" t="s">
        <v>1021</v>
      </c>
      <c r="H784" s="3" t="s">
        <v>1021</v>
      </c>
      <c r="I784" s="3" t="s">
        <v>1021</v>
      </c>
      <c r="J784" s="4" t="str">
        <f t="shared" si="1"/>
        <v>유종수8369</v>
      </c>
      <c r="K784" s="3" t="str">
        <f t="shared" si="2"/>
        <v>정상</v>
      </c>
      <c r="L784" s="4">
        <v>35000.0</v>
      </c>
      <c r="M784" s="4">
        <v>35000.0</v>
      </c>
      <c r="N784" s="4">
        <v>0.0</v>
      </c>
    </row>
    <row r="785">
      <c r="A785" s="6">
        <v>598.0</v>
      </c>
      <c r="B785" s="4" t="s">
        <v>1825</v>
      </c>
      <c r="C785" s="4" t="s">
        <v>3437</v>
      </c>
      <c r="D785" s="4" t="s">
        <v>3438</v>
      </c>
      <c r="E785" s="4">
        <v>590808.0</v>
      </c>
      <c r="F785" s="6">
        <v>1.0</v>
      </c>
      <c r="G785" s="4" t="s">
        <v>1021</v>
      </c>
      <c r="H785" s="4" t="s">
        <v>1021</v>
      </c>
      <c r="I785" s="4" t="s">
        <v>1021</v>
      </c>
      <c r="J785" s="4" t="str">
        <f t="shared" si="1"/>
        <v>유종순8883</v>
      </c>
      <c r="K785" s="3" t="str">
        <f t="shared" si="2"/>
        <v>정상</v>
      </c>
      <c r="L785" s="4">
        <v>35000.0</v>
      </c>
      <c r="M785" s="4">
        <v>35000.0</v>
      </c>
      <c r="N785" s="4">
        <v>0.0</v>
      </c>
    </row>
    <row r="786">
      <c r="A786" s="6">
        <v>634.0</v>
      </c>
      <c r="B786" s="4" t="s">
        <v>1007</v>
      </c>
      <c r="C786" s="4" t="s">
        <v>3439</v>
      </c>
      <c r="D786" s="4" t="s">
        <v>3440</v>
      </c>
      <c r="E786" s="4">
        <v>830227.0</v>
      </c>
      <c r="F786" s="6">
        <v>1.0</v>
      </c>
      <c r="G786" s="4" t="s">
        <v>1021</v>
      </c>
      <c r="H786" s="4" t="s">
        <v>1021</v>
      </c>
      <c r="I786" s="4" t="s">
        <v>1021</v>
      </c>
      <c r="J786" s="4" t="str">
        <f t="shared" si="1"/>
        <v>윤소영5284</v>
      </c>
      <c r="K786" s="3" t="str">
        <f t="shared" si="2"/>
        <v>정상</v>
      </c>
      <c r="L786" s="4">
        <v>35000.0</v>
      </c>
      <c r="M786" s="4">
        <v>35000.0</v>
      </c>
      <c r="N786" s="4">
        <v>0.0</v>
      </c>
    </row>
    <row r="787">
      <c r="A787" s="6">
        <v>840.0</v>
      </c>
      <c r="B787" s="4" t="s">
        <v>1588</v>
      </c>
      <c r="C787" s="4" t="s">
        <v>3441</v>
      </c>
      <c r="D787" s="4" t="s">
        <v>3442</v>
      </c>
      <c r="E787" s="4">
        <v>770105.0</v>
      </c>
      <c r="F787" s="6">
        <v>1.0</v>
      </c>
      <c r="G787" s="4" t="s">
        <v>1021</v>
      </c>
      <c r="H787" s="4" t="s">
        <v>1021</v>
      </c>
      <c r="I787" s="4" t="s">
        <v>1021</v>
      </c>
      <c r="J787" s="4" t="str">
        <f t="shared" si="1"/>
        <v>윤정이1788</v>
      </c>
      <c r="K787" s="3" t="str">
        <f t="shared" si="2"/>
        <v>정상</v>
      </c>
      <c r="L787" s="4">
        <v>35000.0</v>
      </c>
      <c r="M787" s="4">
        <v>35000.0</v>
      </c>
      <c r="N787" s="4">
        <v>0.0</v>
      </c>
    </row>
    <row r="788">
      <c r="A788" s="6">
        <v>149.0</v>
      </c>
      <c r="B788" s="4" t="s">
        <v>1287</v>
      </c>
      <c r="C788" s="4" t="s">
        <v>3443</v>
      </c>
      <c r="D788" s="4" t="s">
        <v>3444</v>
      </c>
      <c r="E788" s="4">
        <v>680810.0</v>
      </c>
      <c r="F788" s="6">
        <v>1.0</v>
      </c>
      <c r="G788" s="4" t="s">
        <v>1021</v>
      </c>
      <c r="H788" s="4" t="s">
        <v>1021</v>
      </c>
      <c r="I788" s="4" t="s">
        <v>1021</v>
      </c>
      <c r="J788" s="4" t="str">
        <f t="shared" si="1"/>
        <v>윤정희3055</v>
      </c>
      <c r="K788" s="3" t="str">
        <f t="shared" si="2"/>
        <v>정상</v>
      </c>
      <c r="L788" s="4">
        <v>35000.0</v>
      </c>
      <c r="M788" s="4">
        <v>35000.0</v>
      </c>
      <c r="N788" s="4">
        <v>0.0</v>
      </c>
    </row>
    <row r="789">
      <c r="A789" s="5">
        <v>903.0</v>
      </c>
      <c r="B789" s="3" t="s">
        <v>1872</v>
      </c>
      <c r="C789" s="3" t="s">
        <v>3445</v>
      </c>
      <c r="D789" s="3" t="s">
        <v>3446</v>
      </c>
      <c r="E789" s="3">
        <v>591213.0</v>
      </c>
      <c r="F789" s="5">
        <v>1.0</v>
      </c>
      <c r="G789" s="3" t="s">
        <v>1021</v>
      </c>
      <c r="H789" s="3" t="s">
        <v>1021</v>
      </c>
      <c r="I789" s="3" t="s">
        <v>1021</v>
      </c>
      <c r="J789" s="4" t="str">
        <f t="shared" si="1"/>
        <v>윤종분9540</v>
      </c>
      <c r="K789" s="3" t="str">
        <f t="shared" si="2"/>
        <v>정상</v>
      </c>
      <c r="L789" s="4">
        <v>35000.0</v>
      </c>
      <c r="M789" s="4">
        <v>35000.0</v>
      </c>
      <c r="N789" s="4">
        <v>0.0</v>
      </c>
    </row>
    <row r="790">
      <c r="A790" s="6">
        <v>561.0</v>
      </c>
      <c r="B790" s="4" t="s">
        <v>1255</v>
      </c>
      <c r="C790" s="4" t="s">
        <v>3447</v>
      </c>
      <c r="D790" s="4" t="s">
        <v>3448</v>
      </c>
      <c r="E790" s="4">
        <v>730814.0</v>
      </c>
      <c r="F790" s="6">
        <v>1.0</v>
      </c>
      <c r="G790" s="4" t="s">
        <v>1021</v>
      </c>
      <c r="H790" s="4" t="s">
        <v>1021</v>
      </c>
      <c r="I790" s="4" t="s">
        <v>1021</v>
      </c>
      <c r="J790" s="4" t="str">
        <f t="shared" si="1"/>
        <v>이가임6231</v>
      </c>
      <c r="K790" s="3" t="str">
        <f t="shared" si="2"/>
        <v>정상</v>
      </c>
      <c r="L790" s="4">
        <v>35000.0</v>
      </c>
      <c r="M790" s="4">
        <v>35000.0</v>
      </c>
      <c r="N790" s="4">
        <v>0.0</v>
      </c>
    </row>
    <row r="791">
      <c r="A791" s="6">
        <v>791.0</v>
      </c>
      <c r="B791" s="4" t="s">
        <v>1830</v>
      </c>
      <c r="C791" s="4" t="s">
        <v>3449</v>
      </c>
      <c r="D791" s="4" t="s">
        <v>3450</v>
      </c>
      <c r="E791" s="4">
        <v>711015.0</v>
      </c>
      <c r="F791" s="6">
        <v>1.0</v>
      </c>
      <c r="G791" s="4" t="s">
        <v>1021</v>
      </c>
      <c r="H791" s="4" t="s">
        <v>1021</v>
      </c>
      <c r="I791" s="4" t="s">
        <v>1021</v>
      </c>
      <c r="J791" s="4" t="str">
        <f t="shared" si="1"/>
        <v>이경연6882</v>
      </c>
      <c r="K791" s="3" t="str">
        <f t="shared" si="2"/>
        <v>정상</v>
      </c>
      <c r="L791" s="4">
        <v>35000.0</v>
      </c>
      <c r="M791" s="4">
        <v>35000.0</v>
      </c>
      <c r="N791" s="4">
        <v>0.0</v>
      </c>
    </row>
    <row r="792">
      <c r="A792" s="6">
        <v>356.0</v>
      </c>
      <c r="B792" s="4" t="s">
        <v>1032</v>
      </c>
      <c r="C792" s="4" t="s">
        <v>3451</v>
      </c>
      <c r="D792" s="4" t="s">
        <v>3452</v>
      </c>
      <c r="E792" s="4">
        <v>630907.0</v>
      </c>
      <c r="F792" s="6">
        <v>1.0</v>
      </c>
      <c r="G792" s="4" t="s">
        <v>1021</v>
      </c>
      <c r="H792" s="4" t="s">
        <v>1021</v>
      </c>
      <c r="I792" s="4" t="s">
        <v>1021</v>
      </c>
      <c r="J792" s="4" t="str">
        <f t="shared" si="1"/>
        <v>이경임6801</v>
      </c>
      <c r="K792" s="3" t="str">
        <f t="shared" si="2"/>
        <v>정상</v>
      </c>
      <c r="L792" s="4">
        <v>35000.0</v>
      </c>
      <c r="M792" s="4">
        <v>35000.0</v>
      </c>
      <c r="N792" s="4">
        <v>0.0</v>
      </c>
    </row>
    <row r="793">
      <c r="A793" s="6">
        <v>169.0</v>
      </c>
      <c r="B793" s="4" t="s">
        <v>1287</v>
      </c>
      <c r="C793" s="4" t="s">
        <v>3453</v>
      </c>
      <c r="D793" s="4" t="s">
        <v>3454</v>
      </c>
      <c r="E793" s="4">
        <v>750116.0</v>
      </c>
      <c r="F793" s="6">
        <v>1.0</v>
      </c>
      <c r="G793" s="4" t="s">
        <v>1021</v>
      </c>
      <c r="H793" s="4" t="s">
        <v>1021</v>
      </c>
      <c r="I793" s="4" t="s">
        <v>1021</v>
      </c>
      <c r="J793" s="4" t="str">
        <f t="shared" si="1"/>
        <v>이경호6237</v>
      </c>
      <c r="K793" s="3" t="str">
        <f t="shared" si="2"/>
        <v>정상</v>
      </c>
      <c r="L793" s="4">
        <v>35000.0</v>
      </c>
      <c r="M793" s="4">
        <v>35000.0</v>
      </c>
      <c r="N793" s="4">
        <v>0.0</v>
      </c>
    </row>
    <row r="794">
      <c r="A794" s="6">
        <v>917.0</v>
      </c>
      <c r="B794" s="4" t="s">
        <v>1001</v>
      </c>
      <c r="C794" s="4" t="s">
        <v>3455</v>
      </c>
      <c r="D794" s="4" t="s">
        <v>3456</v>
      </c>
      <c r="E794" s="4">
        <v>650427.0</v>
      </c>
      <c r="F794" s="6">
        <v>1.0</v>
      </c>
      <c r="G794" s="4" t="s">
        <v>1021</v>
      </c>
      <c r="H794" s="4" t="s">
        <v>1021</v>
      </c>
      <c r="I794" s="4" t="s">
        <v>1021</v>
      </c>
      <c r="J794" s="4" t="str">
        <f t="shared" si="1"/>
        <v>이경훈7083</v>
      </c>
      <c r="K794" s="3" t="str">
        <f t="shared" si="2"/>
        <v>정상</v>
      </c>
      <c r="L794" s="4">
        <v>35000.0</v>
      </c>
      <c r="M794" s="4">
        <v>35000.0</v>
      </c>
      <c r="N794" s="4">
        <v>0.0</v>
      </c>
    </row>
    <row r="795">
      <c r="A795" s="6">
        <v>1146.0</v>
      </c>
      <c r="B795" s="4" t="s">
        <v>1165</v>
      </c>
      <c r="C795" s="4" t="s">
        <v>2459</v>
      </c>
      <c r="D795" s="4" t="s">
        <v>3457</v>
      </c>
      <c r="E795" s="4">
        <v>570313.0</v>
      </c>
      <c r="F795" s="6">
        <v>1.0</v>
      </c>
      <c r="G795" s="4" t="s">
        <v>1021</v>
      </c>
      <c r="H795" s="4" t="s">
        <v>1021</v>
      </c>
      <c r="I795" s="4" t="s">
        <v>1021</v>
      </c>
      <c r="J795" s="4" t="str">
        <f t="shared" si="1"/>
        <v>이경희4650</v>
      </c>
      <c r="K795" s="3" t="str">
        <f t="shared" si="2"/>
        <v>정상</v>
      </c>
      <c r="L795" s="4">
        <v>35000.0</v>
      </c>
      <c r="M795" s="4">
        <v>35000.0</v>
      </c>
      <c r="N795" s="4">
        <v>0.0</v>
      </c>
    </row>
    <row r="796">
      <c r="A796" s="5">
        <v>1153.0</v>
      </c>
      <c r="B796" s="3" t="s">
        <v>1165</v>
      </c>
      <c r="C796" s="3" t="s">
        <v>2459</v>
      </c>
      <c r="D796" s="3" t="s">
        <v>3458</v>
      </c>
      <c r="E796" s="3">
        <v>561209.0</v>
      </c>
      <c r="F796" s="5">
        <v>1.0</v>
      </c>
      <c r="G796" s="3" t="s">
        <v>1021</v>
      </c>
      <c r="H796" s="3" t="s">
        <v>1021</v>
      </c>
      <c r="I796" s="3" t="s">
        <v>1021</v>
      </c>
      <c r="J796" s="4" t="str">
        <f t="shared" si="1"/>
        <v>이경희7798</v>
      </c>
      <c r="K796" s="3" t="str">
        <f t="shared" si="2"/>
        <v>정상</v>
      </c>
      <c r="L796" s="4">
        <v>35000.0</v>
      </c>
      <c r="M796" s="4">
        <v>35000.0</v>
      </c>
      <c r="N796" s="4">
        <v>0.0</v>
      </c>
    </row>
    <row r="797">
      <c r="A797" s="5">
        <v>1232.0</v>
      </c>
      <c r="B797" s="3" t="s">
        <v>1209</v>
      </c>
      <c r="C797" s="3" t="s">
        <v>3459</v>
      </c>
      <c r="D797" s="3" t="s">
        <v>3460</v>
      </c>
      <c r="E797" s="3">
        <v>590315.0</v>
      </c>
      <c r="F797" s="5">
        <v>1.0</v>
      </c>
      <c r="G797" s="3" t="s">
        <v>1021</v>
      </c>
      <c r="H797" s="3" t="s">
        <v>1021</v>
      </c>
      <c r="I797" s="3" t="s">
        <v>1021</v>
      </c>
      <c r="J797" s="4" t="str">
        <f t="shared" si="1"/>
        <v>이금호5130</v>
      </c>
      <c r="K797" s="3" t="str">
        <f t="shared" si="2"/>
        <v>정상</v>
      </c>
      <c r="L797" s="4">
        <v>35000.0</v>
      </c>
      <c r="M797" s="4">
        <v>35000.0</v>
      </c>
      <c r="N797" s="4">
        <v>0.0</v>
      </c>
    </row>
    <row r="798">
      <c r="A798" s="6">
        <v>568.0</v>
      </c>
      <c r="B798" s="4" t="s">
        <v>1312</v>
      </c>
      <c r="C798" s="4" t="s">
        <v>3461</v>
      </c>
      <c r="D798" s="4" t="s">
        <v>3462</v>
      </c>
      <c r="E798" s="4">
        <v>660414.0</v>
      </c>
      <c r="F798" s="6">
        <v>1.0</v>
      </c>
      <c r="G798" s="4" t="s">
        <v>1021</v>
      </c>
      <c r="H798" s="4" t="s">
        <v>1021</v>
      </c>
      <c r="I798" s="4" t="s">
        <v>1021</v>
      </c>
      <c r="J798" s="4" t="str">
        <f t="shared" si="1"/>
        <v>이난이6445</v>
      </c>
      <c r="K798" s="3" t="str">
        <f t="shared" si="2"/>
        <v>정상</v>
      </c>
      <c r="L798" s="4">
        <v>35000.0</v>
      </c>
      <c r="M798" s="4">
        <v>35000.0</v>
      </c>
      <c r="N798" s="4">
        <v>0.0</v>
      </c>
    </row>
    <row r="799">
      <c r="A799" s="6">
        <v>1104.0</v>
      </c>
      <c r="B799" s="4" t="s">
        <v>1420</v>
      </c>
      <c r="C799" s="4" t="s">
        <v>3463</v>
      </c>
      <c r="D799" s="4" t="s">
        <v>3464</v>
      </c>
      <c r="E799" s="4">
        <v>560805.0</v>
      </c>
      <c r="F799" s="6">
        <v>1.0</v>
      </c>
      <c r="G799" s="4" t="s">
        <v>1021</v>
      </c>
      <c r="H799" s="4" t="s">
        <v>1021</v>
      </c>
      <c r="I799" s="4" t="s">
        <v>1021</v>
      </c>
      <c r="J799" s="4" t="str">
        <f t="shared" si="1"/>
        <v>이명덕5605</v>
      </c>
      <c r="K799" s="3" t="str">
        <f t="shared" si="2"/>
        <v>정상</v>
      </c>
      <c r="L799" s="4">
        <v>35000.0</v>
      </c>
      <c r="M799" s="4">
        <v>35000.0</v>
      </c>
      <c r="N799" s="4">
        <v>0.0</v>
      </c>
    </row>
    <row r="800">
      <c r="A800" s="6">
        <v>700.0</v>
      </c>
      <c r="B800" s="4" t="s">
        <v>1245</v>
      </c>
      <c r="C800" s="4" t="s">
        <v>3465</v>
      </c>
      <c r="D800" s="4" t="s">
        <v>3466</v>
      </c>
      <c r="E800" s="4">
        <v>610409.0</v>
      </c>
      <c r="F800" s="6">
        <v>1.0</v>
      </c>
      <c r="G800" s="4" t="s">
        <v>1021</v>
      </c>
      <c r="H800" s="4" t="s">
        <v>1021</v>
      </c>
      <c r="I800" s="4" t="s">
        <v>1021</v>
      </c>
      <c r="J800" s="4" t="str">
        <f t="shared" si="1"/>
        <v>이명선5546</v>
      </c>
      <c r="K800" s="3" t="str">
        <f t="shared" si="2"/>
        <v>정상</v>
      </c>
      <c r="L800" s="4">
        <v>35000.0</v>
      </c>
      <c r="M800" s="4">
        <v>35000.0</v>
      </c>
      <c r="N800" s="4">
        <v>0.0</v>
      </c>
    </row>
    <row r="801">
      <c r="A801" s="6">
        <v>432.0</v>
      </c>
      <c r="B801" s="4" t="s">
        <v>1976</v>
      </c>
      <c r="C801" s="4" t="s">
        <v>3467</v>
      </c>
      <c r="D801" s="4" t="s">
        <v>3468</v>
      </c>
      <c r="E801" s="4">
        <v>600118.0</v>
      </c>
      <c r="F801" s="6">
        <v>1.0</v>
      </c>
      <c r="G801" s="4" t="s">
        <v>1021</v>
      </c>
      <c r="H801" s="4" t="s">
        <v>1021</v>
      </c>
      <c r="I801" s="4" t="s">
        <v>1021</v>
      </c>
      <c r="J801" s="4" t="str">
        <f t="shared" si="1"/>
        <v>이명순0428</v>
      </c>
      <c r="K801" s="3" t="str">
        <f t="shared" si="2"/>
        <v>정상</v>
      </c>
      <c r="L801" s="4">
        <v>35000.0</v>
      </c>
      <c r="M801" s="4">
        <v>35000.0</v>
      </c>
      <c r="N801" s="4">
        <v>0.0</v>
      </c>
    </row>
    <row r="802">
      <c r="A802" s="5">
        <v>1133.0</v>
      </c>
      <c r="B802" s="3" t="s">
        <v>2053</v>
      </c>
      <c r="C802" s="3" t="s">
        <v>3467</v>
      </c>
      <c r="D802" s="3" t="s">
        <v>3469</v>
      </c>
      <c r="E802" s="3">
        <v>570616.0</v>
      </c>
      <c r="F802" s="5">
        <v>1.0</v>
      </c>
      <c r="G802" s="3" t="s">
        <v>1021</v>
      </c>
      <c r="H802" s="3" t="s">
        <v>1021</v>
      </c>
      <c r="I802" s="3" t="s">
        <v>1021</v>
      </c>
      <c r="J802" s="4" t="str">
        <f t="shared" si="1"/>
        <v>이명순7887</v>
      </c>
      <c r="K802" s="3" t="str">
        <f t="shared" si="2"/>
        <v>정상</v>
      </c>
      <c r="L802" s="4">
        <v>35000.0</v>
      </c>
      <c r="M802" s="4">
        <v>35000.0</v>
      </c>
      <c r="N802" s="4">
        <v>0.0</v>
      </c>
    </row>
    <row r="803">
      <c r="A803" s="5">
        <v>665.0</v>
      </c>
      <c r="B803" s="3" t="s">
        <v>1100</v>
      </c>
      <c r="C803" s="3" t="s">
        <v>3470</v>
      </c>
      <c r="D803" s="3" t="s">
        <v>3471</v>
      </c>
      <c r="E803" s="3">
        <v>640215.0</v>
      </c>
      <c r="F803" s="5">
        <v>1.0</v>
      </c>
      <c r="G803" s="3" t="s">
        <v>1021</v>
      </c>
      <c r="H803" s="3" t="s">
        <v>1021</v>
      </c>
      <c r="I803" s="3" t="s">
        <v>1021</v>
      </c>
      <c r="J803" s="4" t="str">
        <f t="shared" si="1"/>
        <v>이명욱2850</v>
      </c>
      <c r="K803" s="3" t="str">
        <f t="shared" si="2"/>
        <v>정상</v>
      </c>
      <c r="L803" s="4">
        <v>35000.0</v>
      </c>
      <c r="M803" s="4">
        <v>35000.0</v>
      </c>
      <c r="N803" s="4">
        <v>0.0</v>
      </c>
    </row>
    <row r="804">
      <c r="A804" s="6">
        <v>1188.0</v>
      </c>
      <c r="B804" s="4" t="s">
        <v>1471</v>
      </c>
      <c r="C804" s="4" t="s">
        <v>3472</v>
      </c>
      <c r="D804" s="4" t="s">
        <v>3473</v>
      </c>
      <c r="E804" s="4">
        <v>711010.0</v>
      </c>
      <c r="F804" s="6">
        <v>1.0</v>
      </c>
      <c r="G804" s="4" t="s">
        <v>1021</v>
      </c>
      <c r="H804" s="4" t="s">
        <v>1021</v>
      </c>
      <c r="I804" s="4" t="s">
        <v>1021</v>
      </c>
      <c r="J804" s="4" t="str">
        <f t="shared" si="1"/>
        <v>이명진7817</v>
      </c>
      <c r="K804" s="3" t="str">
        <f t="shared" si="2"/>
        <v>정상</v>
      </c>
      <c r="L804" s="4">
        <v>35000.0</v>
      </c>
      <c r="M804" s="4">
        <v>35000.0</v>
      </c>
      <c r="N804" s="4">
        <v>0.0</v>
      </c>
    </row>
    <row r="805">
      <c r="A805" s="6">
        <v>792.0</v>
      </c>
      <c r="B805" s="4" t="s">
        <v>1830</v>
      </c>
      <c r="C805" s="4" t="s">
        <v>3474</v>
      </c>
      <c r="D805" s="4" t="s">
        <v>3475</v>
      </c>
      <c r="E805" s="4">
        <v>611105.0</v>
      </c>
      <c r="F805" s="6">
        <v>1.0</v>
      </c>
      <c r="G805" s="4" t="s">
        <v>1021</v>
      </c>
      <c r="H805" s="4" t="s">
        <v>1021</v>
      </c>
      <c r="I805" s="4" t="s">
        <v>1021</v>
      </c>
      <c r="J805" s="4" t="str">
        <f t="shared" si="1"/>
        <v>이미숙7934</v>
      </c>
      <c r="K805" s="3" t="str">
        <f t="shared" si="2"/>
        <v>정상</v>
      </c>
      <c r="L805" s="4">
        <v>35000.0</v>
      </c>
      <c r="M805" s="4">
        <v>35000.0</v>
      </c>
      <c r="N805" s="4">
        <v>0.0</v>
      </c>
    </row>
    <row r="806">
      <c r="A806" s="6">
        <v>512.0</v>
      </c>
      <c r="B806" s="4" t="s">
        <v>1095</v>
      </c>
      <c r="C806" s="4" t="s">
        <v>1709</v>
      </c>
      <c r="D806" s="4" t="s">
        <v>3476</v>
      </c>
      <c r="E806" s="4">
        <v>701205.0</v>
      </c>
      <c r="F806" s="6">
        <v>1.0</v>
      </c>
      <c r="G806" s="4" t="s">
        <v>1021</v>
      </c>
      <c r="H806" s="4" t="s">
        <v>1021</v>
      </c>
      <c r="I806" s="4" t="s">
        <v>1021</v>
      </c>
      <c r="J806" s="4" t="str">
        <f t="shared" si="1"/>
        <v>이미화9071</v>
      </c>
      <c r="K806" s="3" t="str">
        <f t="shared" si="2"/>
        <v>정상</v>
      </c>
      <c r="L806" s="4">
        <v>35000.0</v>
      </c>
      <c r="M806" s="4">
        <v>35000.0</v>
      </c>
      <c r="N806" s="4">
        <v>0.0</v>
      </c>
    </row>
    <row r="807">
      <c r="A807" s="6">
        <v>1245.0</v>
      </c>
      <c r="B807" s="4" t="s">
        <v>2746</v>
      </c>
      <c r="C807" s="4" t="s">
        <v>3477</v>
      </c>
      <c r="D807" s="4" t="s">
        <v>3478</v>
      </c>
      <c r="E807" s="4">
        <v>590511.0</v>
      </c>
      <c r="F807" s="6">
        <v>1.0</v>
      </c>
      <c r="G807" s="4" t="s">
        <v>1021</v>
      </c>
      <c r="H807" s="4" t="s">
        <v>1021</v>
      </c>
      <c r="I807" s="4" t="s">
        <v>1021</v>
      </c>
      <c r="J807" s="4" t="str">
        <f t="shared" si="1"/>
        <v>이민자0273</v>
      </c>
      <c r="K807" s="3" t="str">
        <f t="shared" si="2"/>
        <v>정상</v>
      </c>
      <c r="L807" s="4">
        <v>35000.0</v>
      </c>
      <c r="M807" s="4">
        <v>35000.0</v>
      </c>
      <c r="N807" s="4">
        <v>0.0</v>
      </c>
    </row>
    <row r="808">
      <c r="A808" s="6">
        <v>434.0</v>
      </c>
      <c r="B808" s="4" t="s">
        <v>1976</v>
      </c>
      <c r="C808" s="4" t="s">
        <v>3479</v>
      </c>
      <c r="D808" s="4" t="s">
        <v>3480</v>
      </c>
      <c r="E808" s="4">
        <v>850501.0</v>
      </c>
      <c r="F808" s="6">
        <v>1.0</v>
      </c>
      <c r="G808" s="4" t="s">
        <v>1021</v>
      </c>
      <c r="H808" s="4" t="s">
        <v>1021</v>
      </c>
      <c r="I808" s="4" t="s">
        <v>1021</v>
      </c>
      <c r="J808" s="4" t="str">
        <f t="shared" si="1"/>
        <v>이상미3210</v>
      </c>
      <c r="K808" s="3" t="str">
        <f t="shared" si="2"/>
        <v>정상</v>
      </c>
      <c r="L808" s="4">
        <v>35000.0</v>
      </c>
      <c r="M808" s="4">
        <v>35000.0</v>
      </c>
      <c r="N808" s="4">
        <v>0.0</v>
      </c>
    </row>
    <row r="809">
      <c r="A809" s="6">
        <v>661.0</v>
      </c>
      <c r="B809" s="4" t="s">
        <v>1100</v>
      </c>
      <c r="C809" s="4" t="s">
        <v>3481</v>
      </c>
      <c r="D809" s="4" t="s">
        <v>3482</v>
      </c>
      <c r="E809" s="4">
        <v>790409.0</v>
      </c>
      <c r="F809" s="6">
        <v>1.0</v>
      </c>
      <c r="G809" s="4" t="s">
        <v>1021</v>
      </c>
      <c r="H809" s="4" t="s">
        <v>1021</v>
      </c>
      <c r="I809" s="4" t="s">
        <v>1021</v>
      </c>
      <c r="J809" s="4" t="str">
        <f t="shared" si="1"/>
        <v>이서경9828</v>
      </c>
      <c r="K809" s="3" t="str">
        <f t="shared" si="2"/>
        <v>정상</v>
      </c>
      <c r="L809" s="4">
        <v>35000.0</v>
      </c>
      <c r="M809" s="4">
        <v>35000.0</v>
      </c>
      <c r="N809" s="4">
        <v>0.0</v>
      </c>
    </row>
    <row r="810">
      <c r="A810" s="6">
        <v>1073.0</v>
      </c>
      <c r="B810" s="4" t="s">
        <v>1076</v>
      </c>
      <c r="C810" s="4" t="s">
        <v>3483</v>
      </c>
      <c r="D810" s="4" t="s">
        <v>3484</v>
      </c>
      <c r="E810" s="4">
        <v>610303.0</v>
      </c>
      <c r="F810" s="6">
        <v>1.0</v>
      </c>
      <c r="G810" s="4" t="s">
        <v>1021</v>
      </c>
      <c r="H810" s="4" t="s">
        <v>1021</v>
      </c>
      <c r="I810" s="4" t="s">
        <v>1021</v>
      </c>
      <c r="J810" s="4" t="str">
        <f t="shared" si="1"/>
        <v>이선교3089</v>
      </c>
      <c r="K810" s="3" t="str">
        <f t="shared" si="2"/>
        <v>정상</v>
      </c>
      <c r="L810" s="4">
        <v>35000.0</v>
      </c>
      <c r="M810" s="4">
        <v>35000.0</v>
      </c>
      <c r="N810" s="4">
        <v>0.0</v>
      </c>
    </row>
    <row r="811">
      <c r="A811" s="5">
        <v>1033.0</v>
      </c>
      <c r="B811" s="3" t="s">
        <v>1062</v>
      </c>
      <c r="C811" s="3" t="s">
        <v>3485</v>
      </c>
      <c r="D811" s="3" t="s">
        <v>3486</v>
      </c>
      <c r="E811" s="3">
        <v>560111.0</v>
      </c>
      <c r="F811" s="5">
        <v>1.0</v>
      </c>
      <c r="G811" s="3" t="s">
        <v>1021</v>
      </c>
      <c r="H811" s="3" t="s">
        <v>1021</v>
      </c>
      <c r="I811" s="3" t="s">
        <v>1021</v>
      </c>
      <c r="J811" s="4" t="str">
        <f t="shared" si="1"/>
        <v>이선이8958</v>
      </c>
      <c r="K811" s="3" t="str">
        <f t="shared" si="2"/>
        <v>정상</v>
      </c>
      <c r="L811" s="4">
        <v>35000.0</v>
      </c>
      <c r="M811" s="4">
        <v>35000.0</v>
      </c>
      <c r="N811" s="4">
        <v>0.0</v>
      </c>
    </row>
    <row r="812">
      <c r="A812" s="5">
        <v>950.0</v>
      </c>
      <c r="B812" s="3" t="s">
        <v>1631</v>
      </c>
      <c r="C812" s="3" t="s">
        <v>3487</v>
      </c>
      <c r="D812" s="3" t="s">
        <v>3488</v>
      </c>
      <c r="E812" s="3">
        <v>570129.0</v>
      </c>
      <c r="F812" s="5">
        <v>1.0</v>
      </c>
      <c r="G812" s="3" t="s">
        <v>1021</v>
      </c>
      <c r="H812" s="3" t="s">
        <v>1021</v>
      </c>
      <c r="I812" s="3" t="s">
        <v>1021</v>
      </c>
      <c r="J812" s="4" t="str">
        <f t="shared" si="1"/>
        <v>이소영1511</v>
      </c>
      <c r="K812" s="3" t="str">
        <f t="shared" si="2"/>
        <v>정상</v>
      </c>
      <c r="L812" s="4">
        <v>35000.0</v>
      </c>
      <c r="M812" s="4">
        <v>35000.0</v>
      </c>
      <c r="N812" s="4">
        <v>0.0</v>
      </c>
    </row>
    <row r="813">
      <c r="A813" s="6">
        <v>610.0</v>
      </c>
      <c r="B813" s="4" t="s">
        <v>1219</v>
      </c>
      <c r="C813" s="4" t="s">
        <v>3487</v>
      </c>
      <c r="D813" s="4" t="s">
        <v>3489</v>
      </c>
      <c r="E813" s="4">
        <v>710422.0</v>
      </c>
      <c r="F813" s="6">
        <v>1.0</v>
      </c>
      <c r="G813" s="4" t="s">
        <v>1021</v>
      </c>
      <c r="H813" s="4" t="s">
        <v>1021</v>
      </c>
      <c r="I813" s="4" t="s">
        <v>1021</v>
      </c>
      <c r="J813" s="4" t="str">
        <f t="shared" si="1"/>
        <v>이소영4673</v>
      </c>
      <c r="K813" s="3" t="str">
        <f t="shared" si="2"/>
        <v>정상</v>
      </c>
      <c r="L813" s="4">
        <v>35000.0</v>
      </c>
      <c r="M813" s="4">
        <v>35000.0</v>
      </c>
      <c r="N813" s="4">
        <v>0.0</v>
      </c>
    </row>
    <row r="814">
      <c r="A814" s="6">
        <v>519.0</v>
      </c>
      <c r="B814" s="4" t="s">
        <v>1349</v>
      </c>
      <c r="C814" s="4" t="s">
        <v>3490</v>
      </c>
      <c r="D814" s="4" t="s">
        <v>3491</v>
      </c>
      <c r="E814" s="4">
        <v>590205.0</v>
      </c>
      <c r="F814" s="6">
        <v>1.0</v>
      </c>
      <c r="G814" s="4" t="s">
        <v>1021</v>
      </c>
      <c r="H814" s="4" t="s">
        <v>1021</v>
      </c>
      <c r="I814" s="4" t="s">
        <v>1021</v>
      </c>
      <c r="J814" s="4" t="str">
        <f t="shared" si="1"/>
        <v>이수목8780</v>
      </c>
      <c r="K814" s="3" t="str">
        <f t="shared" si="2"/>
        <v>정상</v>
      </c>
      <c r="L814" s="4">
        <v>35000.0</v>
      </c>
      <c r="M814" s="4">
        <v>35000.0</v>
      </c>
      <c r="N814" s="4">
        <v>0.0</v>
      </c>
    </row>
    <row r="815">
      <c r="A815" s="5">
        <v>978.0</v>
      </c>
      <c r="B815" s="3" t="s">
        <v>1488</v>
      </c>
      <c r="C815" s="3" t="s">
        <v>2612</v>
      </c>
      <c r="D815" s="3" t="s">
        <v>3492</v>
      </c>
      <c r="E815" s="3">
        <v>720207.0</v>
      </c>
      <c r="F815" s="5">
        <v>1.0</v>
      </c>
      <c r="G815" s="3" t="s">
        <v>1021</v>
      </c>
      <c r="H815" s="3" t="s">
        <v>1021</v>
      </c>
      <c r="I815" s="3" t="s">
        <v>1021</v>
      </c>
      <c r="J815" s="4" t="str">
        <f t="shared" si="1"/>
        <v>이수미1161</v>
      </c>
      <c r="K815" s="3" t="str">
        <f t="shared" si="2"/>
        <v>정상</v>
      </c>
      <c r="L815" s="4">
        <v>35000.0</v>
      </c>
      <c r="M815" s="4">
        <v>35000.0</v>
      </c>
      <c r="N815" s="4">
        <v>0.0</v>
      </c>
    </row>
    <row r="816">
      <c r="A816" s="6">
        <v>146.0</v>
      </c>
      <c r="B816" s="4" t="s">
        <v>996</v>
      </c>
      <c r="C816" s="4" t="s">
        <v>3493</v>
      </c>
      <c r="D816" s="4" t="s">
        <v>3494</v>
      </c>
      <c r="E816" s="4">
        <v>550301.0</v>
      </c>
      <c r="F816" s="6">
        <v>1.0</v>
      </c>
      <c r="G816" s="4" t="s">
        <v>1021</v>
      </c>
      <c r="H816" s="4" t="s">
        <v>1021</v>
      </c>
      <c r="I816" s="4" t="s">
        <v>1021</v>
      </c>
      <c r="J816" s="4" t="str">
        <f t="shared" si="1"/>
        <v>이순분3830</v>
      </c>
      <c r="K816" s="3" t="str">
        <f t="shared" si="2"/>
        <v>정상</v>
      </c>
      <c r="L816" s="4">
        <v>35000.0</v>
      </c>
      <c r="M816" s="4">
        <v>35000.0</v>
      </c>
      <c r="N816" s="4">
        <v>0.0</v>
      </c>
    </row>
    <row r="817">
      <c r="A817" s="6">
        <v>750.0</v>
      </c>
      <c r="B817" s="4" t="s">
        <v>1704</v>
      </c>
      <c r="C817" s="4" t="s">
        <v>3495</v>
      </c>
      <c r="D817" s="4" t="s">
        <v>3496</v>
      </c>
      <c r="E817" s="4">
        <v>520408.0</v>
      </c>
      <c r="F817" s="6">
        <v>1.0</v>
      </c>
      <c r="G817" s="4" t="s">
        <v>1021</v>
      </c>
      <c r="H817" s="4" t="s">
        <v>1021</v>
      </c>
      <c r="I817" s="4" t="s">
        <v>1021</v>
      </c>
      <c r="J817" s="4" t="str">
        <f t="shared" si="1"/>
        <v>이순자9088</v>
      </c>
      <c r="K817" s="3" t="str">
        <f t="shared" si="2"/>
        <v>정상</v>
      </c>
      <c r="L817" s="4">
        <v>35000.0</v>
      </c>
      <c r="M817" s="4">
        <v>35000.0</v>
      </c>
      <c r="N817" s="4">
        <v>0.0</v>
      </c>
    </row>
    <row r="818">
      <c r="A818" s="6">
        <v>580.0</v>
      </c>
      <c r="B818" s="4" t="s">
        <v>1344</v>
      </c>
      <c r="C818" s="4" t="s">
        <v>3497</v>
      </c>
      <c r="D818" s="4" t="s">
        <v>3498</v>
      </c>
      <c r="E818" s="4">
        <v>680310.0</v>
      </c>
      <c r="F818" s="6">
        <v>1.0</v>
      </c>
      <c r="G818" s="4" t="s">
        <v>1021</v>
      </c>
      <c r="H818" s="4" t="s">
        <v>1021</v>
      </c>
      <c r="I818" s="4" t="s">
        <v>1021</v>
      </c>
      <c r="J818" s="4" t="str">
        <f t="shared" si="1"/>
        <v>이승미6331</v>
      </c>
      <c r="K818" s="3" t="str">
        <f t="shared" si="2"/>
        <v>정상</v>
      </c>
      <c r="L818" s="4">
        <v>35000.0</v>
      </c>
      <c r="M818" s="4">
        <v>35000.0</v>
      </c>
      <c r="N818" s="4">
        <v>0.0</v>
      </c>
    </row>
    <row r="819">
      <c r="A819" s="6">
        <v>494.0</v>
      </c>
      <c r="B819" s="4" t="s">
        <v>1027</v>
      </c>
      <c r="C819" s="4" t="s">
        <v>3499</v>
      </c>
      <c r="D819" s="4" t="s">
        <v>3500</v>
      </c>
      <c r="E819" s="4">
        <v>601115.0</v>
      </c>
      <c r="F819" s="6">
        <v>1.0</v>
      </c>
      <c r="G819" s="4" t="s">
        <v>1021</v>
      </c>
      <c r="H819" s="4" t="s">
        <v>1021</v>
      </c>
      <c r="I819" s="4" t="s">
        <v>1021</v>
      </c>
      <c r="J819" s="4" t="str">
        <f t="shared" si="1"/>
        <v>이승유6551</v>
      </c>
      <c r="K819" s="3" t="str">
        <f t="shared" si="2"/>
        <v>정상</v>
      </c>
      <c r="L819" s="4">
        <v>35000.0</v>
      </c>
      <c r="M819" s="4">
        <v>35000.0</v>
      </c>
      <c r="N819" s="4">
        <v>0.0</v>
      </c>
    </row>
    <row r="820">
      <c r="A820" s="6">
        <v>857.0</v>
      </c>
      <c r="B820" s="4" t="s">
        <v>1119</v>
      </c>
      <c r="C820" s="4" t="s">
        <v>3501</v>
      </c>
      <c r="D820" s="4" t="s">
        <v>3502</v>
      </c>
      <c r="E820" s="4">
        <v>660528.0</v>
      </c>
      <c r="F820" s="6">
        <v>1.0</v>
      </c>
      <c r="G820" s="4" t="s">
        <v>1021</v>
      </c>
      <c r="H820" s="4" t="s">
        <v>1021</v>
      </c>
      <c r="I820" s="4" t="s">
        <v>1021</v>
      </c>
      <c r="J820" s="4" t="str">
        <f t="shared" si="1"/>
        <v>이영경1605</v>
      </c>
      <c r="K820" s="3" t="str">
        <f t="shared" si="2"/>
        <v>정상</v>
      </c>
      <c r="L820" s="4">
        <v>35000.0</v>
      </c>
      <c r="M820" s="4">
        <v>35000.0</v>
      </c>
      <c r="N820" s="4">
        <v>0.0</v>
      </c>
    </row>
    <row r="821">
      <c r="A821" s="6">
        <v>864.0</v>
      </c>
      <c r="B821" s="4" t="s">
        <v>1119</v>
      </c>
      <c r="C821" s="4" t="s">
        <v>1145</v>
      </c>
      <c r="D821" s="4" t="s">
        <v>3503</v>
      </c>
      <c r="E821" s="4">
        <v>670109.0</v>
      </c>
      <c r="F821" s="6">
        <v>1.0</v>
      </c>
      <c r="G821" s="4" t="s">
        <v>1021</v>
      </c>
      <c r="H821" s="4" t="s">
        <v>1021</v>
      </c>
      <c r="I821" s="4" t="s">
        <v>1021</v>
      </c>
      <c r="J821" s="4" t="str">
        <f t="shared" si="1"/>
        <v>이영선7809</v>
      </c>
      <c r="K821" s="3" t="str">
        <f t="shared" si="2"/>
        <v>정상</v>
      </c>
      <c r="L821" s="4">
        <v>35000.0</v>
      </c>
      <c r="M821" s="4">
        <v>35000.0</v>
      </c>
      <c r="N821" s="4">
        <v>0.0</v>
      </c>
    </row>
    <row r="822">
      <c r="A822" s="5">
        <v>1031.0</v>
      </c>
      <c r="B822" s="3" t="s">
        <v>1062</v>
      </c>
      <c r="C822" s="3" t="s">
        <v>3504</v>
      </c>
      <c r="D822" s="3" t="s">
        <v>3505</v>
      </c>
      <c r="E822" s="3">
        <v>540606.0</v>
      </c>
      <c r="F822" s="5">
        <v>1.0</v>
      </c>
      <c r="G822" s="3" t="s">
        <v>1021</v>
      </c>
      <c r="H822" s="3" t="s">
        <v>1021</v>
      </c>
      <c r="I822" s="3" t="s">
        <v>1021</v>
      </c>
      <c r="J822" s="4" t="str">
        <f t="shared" si="1"/>
        <v>이영숙4234</v>
      </c>
      <c r="K822" s="3" t="str">
        <f t="shared" si="2"/>
        <v>정상</v>
      </c>
      <c r="L822" s="4">
        <v>35000.0</v>
      </c>
      <c r="M822" s="4">
        <v>35000.0</v>
      </c>
      <c r="N822" s="4">
        <v>0.0</v>
      </c>
    </row>
    <row r="823">
      <c r="A823" s="5">
        <v>1242.0</v>
      </c>
      <c r="B823" s="3" t="s">
        <v>1209</v>
      </c>
      <c r="C823" s="3" t="s">
        <v>3506</v>
      </c>
      <c r="D823" s="3" t="s">
        <v>3507</v>
      </c>
      <c r="E823" s="3">
        <v>530125.0</v>
      </c>
      <c r="F823" s="5">
        <v>1.0</v>
      </c>
      <c r="G823" s="3" t="s">
        <v>1021</v>
      </c>
      <c r="H823" s="3" t="s">
        <v>1021</v>
      </c>
      <c r="I823" s="3" t="s">
        <v>1021</v>
      </c>
      <c r="J823" s="4" t="str">
        <f t="shared" si="1"/>
        <v>이영옥4880</v>
      </c>
      <c r="K823" s="3" t="str">
        <f t="shared" si="2"/>
        <v>정상</v>
      </c>
      <c r="L823" s="4">
        <v>35000.0</v>
      </c>
      <c r="M823" s="4">
        <v>35000.0</v>
      </c>
      <c r="N823" s="4">
        <v>0.0</v>
      </c>
    </row>
    <row r="824">
      <c r="A824" s="5">
        <v>968.0</v>
      </c>
      <c r="B824" s="3" t="s">
        <v>1547</v>
      </c>
      <c r="C824" s="3" t="s">
        <v>3506</v>
      </c>
      <c r="D824" s="3" t="s">
        <v>3508</v>
      </c>
      <c r="E824" s="3">
        <v>520821.0</v>
      </c>
      <c r="F824" s="5">
        <v>1.0</v>
      </c>
      <c r="G824" s="3" t="s">
        <v>1021</v>
      </c>
      <c r="H824" s="3" t="s">
        <v>1021</v>
      </c>
      <c r="I824" s="3" t="s">
        <v>1021</v>
      </c>
      <c r="J824" s="4" t="str">
        <f t="shared" si="1"/>
        <v>이영옥5208</v>
      </c>
      <c r="K824" s="3" t="str">
        <f t="shared" si="2"/>
        <v>정상</v>
      </c>
      <c r="L824" s="4">
        <v>35000.0</v>
      </c>
      <c r="M824" s="4">
        <v>35000.0</v>
      </c>
      <c r="N824" s="4">
        <v>0.0</v>
      </c>
    </row>
    <row r="825">
      <c r="A825" s="6">
        <v>245.0</v>
      </c>
      <c r="B825" s="4" t="s">
        <v>1410</v>
      </c>
      <c r="C825" s="4" t="s">
        <v>1955</v>
      </c>
      <c r="D825" s="4" t="s">
        <v>3509</v>
      </c>
      <c r="E825" s="4">
        <v>680727.0</v>
      </c>
      <c r="F825" s="6">
        <v>1.0</v>
      </c>
      <c r="G825" s="4" t="s">
        <v>1021</v>
      </c>
      <c r="H825" s="4" t="s">
        <v>1021</v>
      </c>
      <c r="I825" s="4" t="s">
        <v>1021</v>
      </c>
      <c r="J825" s="4" t="str">
        <f t="shared" si="1"/>
        <v>이영희2457</v>
      </c>
      <c r="K825" s="3" t="str">
        <f t="shared" si="2"/>
        <v>정상</v>
      </c>
      <c r="L825" s="4">
        <v>35000.0</v>
      </c>
      <c r="M825" s="4">
        <v>35000.0</v>
      </c>
      <c r="N825" s="4">
        <v>0.0</v>
      </c>
    </row>
    <row r="826">
      <c r="A826" s="6">
        <v>1005.0</v>
      </c>
      <c r="B826" s="4" t="s">
        <v>1022</v>
      </c>
      <c r="C826" s="4" t="s">
        <v>3510</v>
      </c>
      <c r="D826" s="4" t="s">
        <v>3511</v>
      </c>
      <c r="E826" s="4">
        <v>671220.0</v>
      </c>
      <c r="F826" s="6">
        <v>1.0</v>
      </c>
      <c r="G826" s="4" t="s">
        <v>1021</v>
      </c>
      <c r="H826" s="4" t="s">
        <v>1021</v>
      </c>
      <c r="I826" s="4" t="s">
        <v>1021</v>
      </c>
      <c r="J826" s="4" t="str">
        <f t="shared" si="1"/>
        <v>이옥영2780</v>
      </c>
      <c r="K826" s="3" t="str">
        <f t="shared" si="2"/>
        <v>정상</v>
      </c>
      <c r="L826" s="4">
        <v>35000.0</v>
      </c>
      <c r="M826" s="4">
        <v>35000.0</v>
      </c>
      <c r="N826" s="4">
        <v>0.0</v>
      </c>
    </row>
    <row r="827">
      <c r="A827" s="5">
        <v>1206.0</v>
      </c>
      <c r="B827" s="3" t="s">
        <v>1454</v>
      </c>
      <c r="C827" s="3" t="s">
        <v>3512</v>
      </c>
      <c r="D827" s="3" t="s">
        <v>3513</v>
      </c>
      <c r="E827" s="3">
        <v>590331.0</v>
      </c>
      <c r="F827" s="5">
        <v>1.0</v>
      </c>
      <c r="G827" s="3" t="s">
        <v>1021</v>
      </c>
      <c r="H827" s="3" t="s">
        <v>1021</v>
      </c>
      <c r="I827" s="3" t="s">
        <v>1021</v>
      </c>
      <c r="J827" s="4" t="str">
        <f t="shared" si="1"/>
        <v>이완세2160</v>
      </c>
      <c r="K827" s="3" t="str">
        <f t="shared" si="2"/>
        <v>정상</v>
      </c>
      <c r="L827" s="4">
        <v>35000.0</v>
      </c>
      <c r="M827" s="4">
        <v>35000.0</v>
      </c>
      <c r="N827" s="4">
        <v>0.0</v>
      </c>
    </row>
    <row r="828">
      <c r="A828" s="6">
        <v>1099.0</v>
      </c>
      <c r="B828" s="4" t="s">
        <v>1137</v>
      </c>
      <c r="C828" s="4" t="s">
        <v>3514</v>
      </c>
      <c r="D828" s="4" t="s">
        <v>3515</v>
      </c>
      <c r="E828" s="4">
        <v>550315.0</v>
      </c>
      <c r="F828" s="6">
        <v>1.0</v>
      </c>
      <c r="G828" s="4" t="s">
        <v>1021</v>
      </c>
      <c r="H828" s="4" t="s">
        <v>1021</v>
      </c>
      <c r="I828" s="4" t="s">
        <v>1021</v>
      </c>
      <c r="J828" s="4" t="str">
        <f t="shared" si="1"/>
        <v>이용혜3999</v>
      </c>
      <c r="K828" s="3" t="str">
        <f t="shared" si="2"/>
        <v>정상</v>
      </c>
      <c r="L828" s="4">
        <v>35000.0</v>
      </c>
      <c r="M828" s="4">
        <v>35000.0</v>
      </c>
      <c r="N828" s="4">
        <v>0.0</v>
      </c>
    </row>
    <row r="829">
      <c r="A829" s="6">
        <v>384.0</v>
      </c>
      <c r="B829" s="4" t="s">
        <v>1761</v>
      </c>
      <c r="C829" s="4" t="s">
        <v>3516</v>
      </c>
      <c r="D829" s="4" t="s">
        <v>3517</v>
      </c>
      <c r="E829" s="4">
        <v>740221.0</v>
      </c>
      <c r="F829" s="6">
        <v>1.0</v>
      </c>
      <c r="G829" s="4" t="s">
        <v>1021</v>
      </c>
      <c r="H829" s="4" t="s">
        <v>1021</v>
      </c>
      <c r="I829" s="4" t="s">
        <v>1021</v>
      </c>
      <c r="J829" s="4" t="str">
        <f t="shared" si="1"/>
        <v>이운희7786</v>
      </c>
      <c r="K829" s="3" t="str">
        <f t="shared" si="2"/>
        <v>정상</v>
      </c>
      <c r="L829" s="4">
        <v>35000.0</v>
      </c>
      <c r="M829" s="4">
        <v>35000.0</v>
      </c>
      <c r="N829" s="4">
        <v>0.0</v>
      </c>
    </row>
    <row r="830">
      <c r="A830" s="5">
        <v>980.0</v>
      </c>
      <c r="B830" s="3" t="s">
        <v>1488</v>
      </c>
      <c r="C830" s="3" t="s">
        <v>3518</v>
      </c>
      <c r="D830" s="3" t="s">
        <v>3519</v>
      </c>
      <c r="E830" s="3">
        <v>761127.0</v>
      </c>
      <c r="F830" s="5">
        <v>1.0</v>
      </c>
      <c r="G830" s="3" t="s">
        <v>1021</v>
      </c>
      <c r="H830" s="3" t="s">
        <v>1021</v>
      </c>
      <c r="I830" s="3" t="s">
        <v>1021</v>
      </c>
      <c r="J830" s="4" t="str">
        <f t="shared" si="1"/>
        <v>이유미9053</v>
      </c>
      <c r="K830" s="3" t="str">
        <f t="shared" si="2"/>
        <v>정상</v>
      </c>
      <c r="L830" s="4">
        <v>35000.0</v>
      </c>
      <c r="M830" s="4">
        <v>35000.0</v>
      </c>
      <c r="N830" s="4">
        <v>0.0</v>
      </c>
    </row>
    <row r="831">
      <c r="A831" s="6">
        <v>631.0</v>
      </c>
      <c r="B831" s="4" t="s">
        <v>1007</v>
      </c>
      <c r="C831" s="4" t="s">
        <v>3520</v>
      </c>
      <c r="D831" s="4" t="s">
        <v>3521</v>
      </c>
      <c r="E831" s="4">
        <v>630601.0</v>
      </c>
      <c r="F831" s="6">
        <v>1.0</v>
      </c>
      <c r="G831" s="4" t="s">
        <v>1021</v>
      </c>
      <c r="H831" s="4" t="s">
        <v>1021</v>
      </c>
      <c r="I831" s="4" t="s">
        <v>1021</v>
      </c>
      <c r="J831" s="4" t="str">
        <f t="shared" si="1"/>
        <v>이윤자8105</v>
      </c>
      <c r="K831" s="3" t="str">
        <f t="shared" si="2"/>
        <v>정상</v>
      </c>
      <c r="L831" s="4">
        <v>35000.0</v>
      </c>
      <c r="M831" s="4">
        <v>35000.0</v>
      </c>
      <c r="N831" s="4">
        <v>0.0</v>
      </c>
    </row>
    <row r="832">
      <c r="A832" s="6">
        <v>254.0</v>
      </c>
      <c r="B832" s="4" t="s">
        <v>1752</v>
      </c>
      <c r="C832" s="4" t="s">
        <v>3522</v>
      </c>
      <c r="D832" s="4" t="s">
        <v>3523</v>
      </c>
      <c r="E832" s="4">
        <v>721119.0</v>
      </c>
      <c r="F832" s="6">
        <v>1.0</v>
      </c>
      <c r="G832" s="4" t="s">
        <v>1021</v>
      </c>
      <c r="H832" s="4" t="s">
        <v>1021</v>
      </c>
      <c r="I832" s="4" t="s">
        <v>1021</v>
      </c>
      <c r="J832" s="4" t="str">
        <f t="shared" si="1"/>
        <v>이은정9200</v>
      </c>
      <c r="K832" s="3" t="str">
        <f t="shared" si="2"/>
        <v>정상</v>
      </c>
      <c r="L832" s="4">
        <v>35000.0</v>
      </c>
      <c r="M832" s="4">
        <v>35000.0</v>
      </c>
      <c r="N832" s="4">
        <v>0.0</v>
      </c>
    </row>
    <row r="833">
      <c r="A833" s="6">
        <v>851.0</v>
      </c>
      <c r="B833" s="4" t="s">
        <v>1967</v>
      </c>
      <c r="C833" s="4" t="s">
        <v>3524</v>
      </c>
      <c r="D833" s="4" t="s">
        <v>3525</v>
      </c>
      <c r="E833" s="4">
        <v>750805.0</v>
      </c>
      <c r="F833" s="6">
        <v>1.0</v>
      </c>
      <c r="G833" s="4" t="s">
        <v>1021</v>
      </c>
      <c r="H833" s="4" t="s">
        <v>1021</v>
      </c>
      <c r="I833" s="4" t="s">
        <v>1021</v>
      </c>
      <c r="J833" s="4" t="str">
        <f t="shared" si="1"/>
        <v>이은주1307</v>
      </c>
      <c r="K833" s="3" t="str">
        <f t="shared" si="2"/>
        <v>정상</v>
      </c>
      <c r="L833" s="4">
        <v>35000.0</v>
      </c>
      <c r="M833" s="4">
        <v>35000.0</v>
      </c>
      <c r="N833" s="4">
        <v>0.0</v>
      </c>
    </row>
    <row r="834">
      <c r="A834" s="6">
        <v>194.0</v>
      </c>
      <c r="B834" s="4" t="s">
        <v>1282</v>
      </c>
      <c r="C834" s="4" t="s">
        <v>3526</v>
      </c>
      <c r="D834" s="4" t="s">
        <v>3527</v>
      </c>
      <c r="E834" s="4">
        <v>560222.0</v>
      </c>
      <c r="F834" s="6">
        <v>1.0</v>
      </c>
      <c r="G834" s="4" t="s">
        <v>1021</v>
      </c>
      <c r="H834" s="4" t="s">
        <v>1021</v>
      </c>
      <c r="I834" s="4" t="s">
        <v>1021</v>
      </c>
      <c r="J834" s="4" t="str">
        <f t="shared" si="1"/>
        <v>이인자3083</v>
      </c>
      <c r="K834" s="3" t="str">
        <f t="shared" si="2"/>
        <v>정상</v>
      </c>
      <c r="L834" s="4">
        <v>35000.0</v>
      </c>
      <c r="M834" s="4">
        <v>35000.0</v>
      </c>
      <c r="N834" s="4">
        <v>0.0</v>
      </c>
    </row>
    <row r="835">
      <c r="A835" s="5">
        <v>171.0</v>
      </c>
      <c r="B835" s="3" t="s">
        <v>1287</v>
      </c>
      <c r="C835" s="3" t="s">
        <v>3528</v>
      </c>
      <c r="D835" s="3" t="s">
        <v>3529</v>
      </c>
      <c r="E835" s="3">
        <v>930529.0</v>
      </c>
      <c r="F835" s="5">
        <v>1.0</v>
      </c>
      <c r="G835" s="3" t="s">
        <v>1021</v>
      </c>
      <c r="H835" s="3" t="s">
        <v>1021</v>
      </c>
      <c r="I835" s="3" t="s">
        <v>1021</v>
      </c>
      <c r="J835" s="4" t="str">
        <f t="shared" si="1"/>
        <v>이재학8751</v>
      </c>
      <c r="K835" s="3" t="str">
        <f t="shared" si="2"/>
        <v>정상</v>
      </c>
      <c r="L835" s="4">
        <v>35000.0</v>
      </c>
      <c r="M835" s="4">
        <v>35000.0</v>
      </c>
      <c r="N835" s="4">
        <v>0.0</v>
      </c>
      <c r="O835" s="3"/>
      <c r="P835" s="3"/>
      <c r="Q835" s="3"/>
    </row>
    <row r="836">
      <c r="A836" s="6">
        <v>307.0</v>
      </c>
      <c r="B836" s="4" t="s">
        <v>1950</v>
      </c>
      <c r="C836" s="4" t="s">
        <v>3530</v>
      </c>
      <c r="D836" s="4" t="s">
        <v>3531</v>
      </c>
      <c r="E836" s="4">
        <v>721204.0</v>
      </c>
      <c r="F836" s="6">
        <v>1.0</v>
      </c>
      <c r="G836" s="4" t="s">
        <v>1021</v>
      </c>
      <c r="H836" s="4" t="s">
        <v>1021</v>
      </c>
      <c r="I836" s="4" t="s">
        <v>1021</v>
      </c>
      <c r="J836" s="4" t="str">
        <f t="shared" si="1"/>
        <v>이정란7572</v>
      </c>
      <c r="K836" s="3" t="str">
        <f t="shared" si="2"/>
        <v>정상</v>
      </c>
      <c r="L836" s="4">
        <v>35000.0</v>
      </c>
      <c r="M836" s="4">
        <v>35000.0</v>
      </c>
      <c r="N836" s="4">
        <v>0.0</v>
      </c>
      <c r="O836" s="3"/>
      <c r="P836" s="3"/>
      <c r="Q836" s="3"/>
    </row>
    <row r="837">
      <c r="A837" s="6">
        <v>743.0</v>
      </c>
      <c r="B837" s="4" t="s">
        <v>1057</v>
      </c>
      <c r="C837" s="4" t="s">
        <v>3532</v>
      </c>
      <c r="D837" s="4" t="s">
        <v>3533</v>
      </c>
      <c r="E837" s="4">
        <v>820206.0</v>
      </c>
      <c r="F837" s="6">
        <v>1.0</v>
      </c>
      <c r="G837" s="4" t="s">
        <v>1021</v>
      </c>
      <c r="H837" s="4" t="s">
        <v>1021</v>
      </c>
      <c r="I837" s="4" t="s">
        <v>1021</v>
      </c>
      <c r="J837" s="4" t="str">
        <f t="shared" si="1"/>
        <v>이정민0959</v>
      </c>
      <c r="K837" s="3" t="str">
        <f t="shared" si="2"/>
        <v>정상</v>
      </c>
      <c r="L837" s="4">
        <v>35000.0</v>
      </c>
      <c r="M837" s="4">
        <v>35000.0</v>
      </c>
      <c r="N837" s="4">
        <v>0.0</v>
      </c>
      <c r="O837" s="3"/>
      <c r="P837" s="3"/>
      <c r="Q837" s="3"/>
    </row>
    <row r="838">
      <c r="A838" s="6">
        <v>724.0</v>
      </c>
      <c r="B838" s="4" t="s">
        <v>2234</v>
      </c>
      <c r="C838" s="4" t="s">
        <v>3534</v>
      </c>
      <c r="D838" s="4" t="s">
        <v>3535</v>
      </c>
      <c r="E838" s="4">
        <v>580930.0</v>
      </c>
      <c r="F838" s="6">
        <v>1.0</v>
      </c>
      <c r="G838" s="4" t="s">
        <v>1021</v>
      </c>
      <c r="H838" s="4" t="s">
        <v>1021</v>
      </c>
      <c r="I838" s="4" t="s">
        <v>1021</v>
      </c>
      <c r="J838" s="4" t="str">
        <f t="shared" si="1"/>
        <v>이채연7955</v>
      </c>
      <c r="K838" s="3" t="str">
        <f t="shared" si="2"/>
        <v>정상</v>
      </c>
      <c r="L838" s="4">
        <v>35000.0</v>
      </c>
      <c r="M838" s="4">
        <v>35000.0</v>
      </c>
      <c r="N838" s="4">
        <v>0.0</v>
      </c>
      <c r="O838" s="3"/>
      <c r="P838" s="3"/>
      <c r="Q838" s="3"/>
    </row>
    <row r="839">
      <c r="A839" s="6">
        <v>227.0</v>
      </c>
      <c r="B839" s="4" t="s">
        <v>1933</v>
      </c>
      <c r="C839" s="4" t="s">
        <v>1693</v>
      </c>
      <c r="D839" s="4" t="s">
        <v>3536</v>
      </c>
      <c r="E839" s="4">
        <v>771124.0</v>
      </c>
      <c r="F839" s="6">
        <v>1.0</v>
      </c>
      <c r="G839" s="4" t="s">
        <v>1021</v>
      </c>
      <c r="H839" s="4" t="s">
        <v>1021</v>
      </c>
      <c r="I839" s="4" t="s">
        <v>1021</v>
      </c>
      <c r="J839" s="4" t="str">
        <f t="shared" si="1"/>
        <v>이현정2153</v>
      </c>
      <c r="K839" s="3" t="str">
        <f t="shared" si="2"/>
        <v>정상</v>
      </c>
      <c r="L839" s="4">
        <v>35000.0</v>
      </c>
      <c r="M839" s="4">
        <v>35000.0</v>
      </c>
      <c r="N839" s="4">
        <v>0.0</v>
      </c>
      <c r="O839" s="3"/>
      <c r="P839" s="3"/>
      <c r="Q839" s="3"/>
    </row>
    <row r="840">
      <c r="A840" s="6">
        <v>509.0</v>
      </c>
      <c r="B840" s="4" t="s">
        <v>1095</v>
      </c>
      <c r="C840" s="4" t="s">
        <v>3537</v>
      </c>
      <c r="D840" s="4" t="s">
        <v>3538</v>
      </c>
      <c r="E840" s="4">
        <v>600815.0</v>
      </c>
      <c r="F840" s="6">
        <v>1.0</v>
      </c>
      <c r="G840" s="4" t="s">
        <v>1021</v>
      </c>
      <c r="H840" s="4" t="s">
        <v>1021</v>
      </c>
      <c r="I840" s="4" t="s">
        <v>1021</v>
      </c>
      <c r="J840" s="4" t="str">
        <f t="shared" si="1"/>
        <v>이혜옥7067</v>
      </c>
      <c r="K840" s="3" t="str">
        <f t="shared" si="2"/>
        <v>정상</v>
      </c>
      <c r="L840" s="4">
        <v>35000.0</v>
      </c>
      <c r="M840" s="4">
        <v>35000.0</v>
      </c>
      <c r="N840" s="4">
        <v>0.0</v>
      </c>
      <c r="O840" s="3"/>
      <c r="P840" s="3"/>
      <c r="Q840" s="3"/>
    </row>
    <row r="841">
      <c r="A841" s="6">
        <v>201.0</v>
      </c>
      <c r="B841" s="4" t="s">
        <v>1109</v>
      </c>
      <c r="C841" s="4" t="s">
        <v>3539</v>
      </c>
      <c r="D841" s="4" t="s">
        <v>3540</v>
      </c>
      <c r="E841" s="4">
        <v>770903.0</v>
      </c>
      <c r="F841" s="6">
        <v>1.0</v>
      </c>
      <c r="G841" s="4" t="s">
        <v>1021</v>
      </c>
      <c r="H841" s="4" t="s">
        <v>1021</v>
      </c>
      <c r="I841" s="4" t="s">
        <v>1021</v>
      </c>
      <c r="J841" s="4" t="str">
        <f t="shared" si="1"/>
        <v>이혜진0907</v>
      </c>
      <c r="K841" s="3" t="str">
        <f t="shared" si="2"/>
        <v>정상</v>
      </c>
      <c r="L841" s="4">
        <v>35000.0</v>
      </c>
      <c r="M841" s="4">
        <v>35000.0</v>
      </c>
      <c r="N841" s="4">
        <v>0.0</v>
      </c>
      <c r="O841" s="3"/>
      <c r="P841" s="3"/>
      <c r="Q841" s="3"/>
    </row>
    <row r="842">
      <c r="A842" s="6">
        <v>263.0</v>
      </c>
      <c r="B842" s="4" t="s">
        <v>1147</v>
      </c>
      <c r="C842" s="4" t="s">
        <v>3541</v>
      </c>
      <c r="D842" s="4" t="s">
        <v>3542</v>
      </c>
      <c r="E842" s="4">
        <v>710624.0</v>
      </c>
      <c r="F842" s="6">
        <v>1.0</v>
      </c>
      <c r="G842" s="4" t="s">
        <v>1021</v>
      </c>
      <c r="H842" s="4" t="s">
        <v>1021</v>
      </c>
      <c r="I842" s="4" t="s">
        <v>1021</v>
      </c>
      <c r="J842" s="4" t="str">
        <f t="shared" si="1"/>
        <v>임규식8199</v>
      </c>
      <c r="K842" s="3" t="str">
        <f t="shared" si="2"/>
        <v>정상</v>
      </c>
      <c r="L842" s="4">
        <v>35000.0</v>
      </c>
      <c r="M842" s="4">
        <v>35000.0</v>
      </c>
      <c r="N842" s="4">
        <v>0.0</v>
      </c>
      <c r="O842" s="3"/>
      <c r="P842" s="3"/>
      <c r="Q842" s="3"/>
    </row>
    <row r="843">
      <c r="A843" s="5">
        <v>790.0</v>
      </c>
      <c r="B843" s="3" t="s">
        <v>1830</v>
      </c>
      <c r="C843" s="3" t="s">
        <v>3543</v>
      </c>
      <c r="D843" s="3" t="s">
        <v>3544</v>
      </c>
      <c r="E843" s="3">
        <v>641228.0</v>
      </c>
      <c r="F843" s="5">
        <v>1.0</v>
      </c>
      <c r="G843" s="3" t="s">
        <v>1021</v>
      </c>
      <c r="H843" s="3" t="s">
        <v>1021</v>
      </c>
      <c r="I843" s="3" t="s">
        <v>1021</v>
      </c>
      <c r="J843" s="4" t="str">
        <f t="shared" si="1"/>
        <v>임묘순4960</v>
      </c>
      <c r="K843" s="3" t="str">
        <f t="shared" si="2"/>
        <v>정상</v>
      </c>
      <c r="L843" s="4">
        <v>35000.0</v>
      </c>
      <c r="M843" s="4">
        <v>35000.0</v>
      </c>
      <c r="N843" s="4">
        <v>0.0</v>
      </c>
      <c r="O843" s="3"/>
      <c r="P843" s="3"/>
      <c r="Q843" s="3"/>
    </row>
    <row r="844">
      <c r="A844" s="6">
        <v>531.0</v>
      </c>
      <c r="B844" s="4" t="s">
        <v>1789</v>
      </c>
      <c r="C844" s="4" t="s">
        <v>3545</v>
      </c>
      <c r="D844" s="4" t="s">
        <v>3546</v>
      </c>
      <c r="E844" s="4">
        <v>601120.0</v>
      </c>
      <c r="F844" s="6">
        <v>1.0</v>
      </c>
      <c r="G844" s="4" t="s">
        <v>1021</v>
      </c>
      <c r="H844" s="4" t="s">
        <v>1021</v>
      </c>
      <c r="I844" s="4" t="s">
        <v>1021</v>
      </c>
      <c r="J844" s="4" t="str">
        <f t="shared" si="1"/>
        <v>임미연7888</v>
      </c>
      <c r="K844" s="3" t="str">
        <f t="shared" si="2"/>
        <v>정상</v>
      </c>
      <c r="L844" s="4">
        <v>35000.0</v>
      </c>
      <c r="M844" s="4">
        <v>35000.0</v>
      </c>
      <c r="N844" s="4">
        <v>0.0</v>
      </c>
      <c r="O844" s="3"/>
      <c r="P844" s="3"/>
      <c r="Q844" s="3"/>
    </row>
    <row r="845">
      <c r="A845" s="6">
        <v>676.0</v>
      </c>
      <c r="B845" s="4" t="s">
        <v>1214</v>
      </c>
      <c r="C845" s="4" t="s">
        <v>3547</v>
      </c>
      <c r="D845" s="4" t="s">
        <v>3548</v>
      </c>
      <c r="E845" s="4">
        <v>571122.0</v>
      </c>
      <c r="F845" s="6">
        <v>1.0</v>
      </c>
      <c r="G845" s="4" t="s">
        <v>1021</v>
      </c>
      <c r="H845" s="4" t="s">
        <v>1021</v>
      </c>
      <c r="I845" s="4" t="s">
        <v>1021</v>
      </c>
      <c r="J845" s="4" t="str">
        <f t="shared" si="1"/>
        <v>임상빈0952</v>
      </c>
      <c r="K845" s="3" t="str">
        <f t="shared" si="2"/>
        <v>정상</v>
      </c>
      <c r="L845" s="4">
        <v>35000.0</v>
      </c>
      <c r="M845" s="4">
        <v>35000.0</v>
      </c>
      <c r="N845" s="4">
        <v>0.0</v>
      </c>
      <c r="O845" s="3"/>
      <c r="P845" s="3"/>
      <c r="Q845" s="3"/>
    </row>
    <row r="846">
      <c r="A846" s="6">
        <v>364.0</v>
      </c>
      <c r="B846" s="4" t="s">
        <v>1086</v>
      </c>
      <c r="C846" s="4" t="s">
        <v>3549</v>
      </c>
      <c r="D846" s="4" t="s">
        <v>3550</v>
      </c>
      <c r="E846" s="4">
        <v>750803.0</v>
      </c>
      <c r="F846" s="6">
        <v>1.0</v>
      </c>
      <c r="G846" s="4" t="s">
        <v>1021</v>
      </c>
      <c r="H846" s="4" t="s">
        <v>1021</v>
      </c>
      <c r="I846" s="4" t="s">
        <v>1021</v>
      </c>
      <c r="J846" s="4" t="str">
        <f t="shared" si="1"/>
        <v>임서하7719</v>
      </c>
      <c r="K846" s="3" t="str">
        <f t="shared" si="2"/>
        <v>정상</v>
      </c>
      <c r="L846" s="4">
        <v>35000.0</v>
      </c>
      <c r="M846" s="4">
        <v>35000.0</v>
      </c>
      <c r="N846" s="4">
        <v>0.0</v>
      </c>
      <c r="O846" s="3"/>
      <c r="P846" s="3"/>
      <c r="Q846" s="3"/>
    </row>
    <row r="847">
      <c r="A847" s="6">
        <v>1092.0</v>
      </c>
      <c r="B847" s="4" t="s">
        <v>1137</v>
      </c>
      <c r="C847" s="4" t="s">
        <v>3551</v>
      </c>
      <c r="D847" s="4" t="s">
        <v>3552</v>
      </c>
      <c r="E847" s="4">
        <v>580827.0</v>
      </c>
      <c r="F847" s="6">
        <v>1.0</v>
      </c>
      <c r="G847" s="4" t="s">
        <v>1021</v>
      </c>
      <c r="H847" s="4" t="s">
        <v>1021</v>
      </c>
      <c r="I847" s="4" t="s">
        <v>1021</v>
      </c>
      <c r="J847" s="4" t="str">
        <f t="shared" si="1"/>
        <v>임영숙5827</v>
      </c>
      <c r="K847" s="3" t="str">
        <f t="shared" si="2"/>
        <v>정상</v>
      </c>
      <c r="L847" s="4">
        <v>35000.0</v>
      </c>
      <c r="M847" s="4">
        <v>35000.0</v>
      </c>
      <c r="N847" s="4">
        <v>0.0</v>
      </c>
      <c r="O847" s="3"/>
      <c r="P847" s="3"/>
      <c r="Q847" s="3"/>
    </row>
    <row r="848">
      <c r="A848" s="6">
        <v>622.0</v>
      </c>
      <c r="B848" s="4" t="s">
        <v>1662</v>
      </c>
      <c r="C848" s="4" t="s">
        <v>3551</v>
      </c>
      <c r="D848" s="4" t="s">
        <v>3553</v>
      </c>
      <c r="E848" s="4">
        <v>590428.0</v>
      </c>
      <c r="F848" s="6">
        <v>1.0</v>
      </c>
      <c r="G848" s="4" t="s">
        <v>1021</v>
      </c>
      <c r="H848" s="4" t="s">
        <v>1021</v>
      </c>
      <c r="I848" s="4" t="s">
        <v>1021</v>
      </c>
      <c r="J848" s="4" t="str">
        <f t="shared" si="1"/>
        <v>임영숙5904</v>
      </c>
      <c r="K848" s="3" t="str">
        <f t="shared" si="2"/>
        <v>정상</v>
      </c>
      <c r="L848" s="4">
        <v>35000.0</v>
      </c>
      <c r="M848" s="4">
        <v>35000.0</v>
      </c>
      <c r="N848" s="4">
        <v>0.0</v>
      </c>
      <c r="O848" s="3"/>
      <c r="P848" s="3"/>
      <c r="Q848" s="3"/>
    </row>
    <row r="849">
      <c r="A849" s="5">
        <v>883.0</v>
      </c>
      <c r="B849" s="3" t="s">
        <v>1114</v>
      </c>
      <c r="C849" s="3" t="s">
        <v>3554</v>
      </c>
      <c r="D849" s="3" t="s">
        <v>3555</v>
      </c>
      <c r="E849" s="3">
        <v>470108.0</v>
      </c>
      <c r="F849" s="5">
        <v>1.0</v>
      </c>
      <c r="G849" s="3" t="s">
        <v>1021</v>
      </c>
      <c r="H849" s="3" t="s">
        <v>1021</v>
      </c>
      <c r="I849" s="3" t="s">
        <v>1021</v>
      </c>
      <c r="J849" s="4" t="str">
        <f t="shared" si="1"/>
        <v>임영희7090</v>
      </c>
      <c r="K849" s="3" t="str">
        <f t="shared" si="2"/>
        <v>정상</v>
      </c>
      <c r="L849" s="4">
        <v>35000.0</v>
      </c>
      <c r="M849" s="4">
        <v>35000.0</v>
      </c>
      <c r="N849" s="4">
        <v>0.0</v>
      </c>
      <c r="O849" s="3"/>
      <c r="P849" s="3"/>
      <c r="Q849" s="3"/>
    </row>
    <row r="850">
      <c r="A850" s="5">
        <v>218.0</v>
      </c>
      <c r="B850" s="3" t="s">
        <v>1575</v>
      </c>
      <c r="C850" s="3" t="s">
        <v>3554</v>
      </c>
      <c r="D850" s="3" t="s">
        <v>3556</v>
      </c>
      <c r="E850" s="3">
        <v>630926.0</v>
      </c>
      <c r="F850" s="5">
        <v>1.0</v>
      </c>
      <c r="G850" s="3" t="s">
        <v>1021</v>
      </c>
      <c r="H850" s="3" t="s">
        <v>1021</v>
      </c>
      <c r="I850" s="3" t="s">
        <v>1021</v>
      </c>
      <c r="J850" s="4" t="str">
        <f t="shared" si="1"/>
        <v>임영희9775</v>
      </c>
      <c r="K850" s="3" t="str">
        <f t="shared" si="2"/>
        <v>정상</v>
      </c>
      <c r="L850" s="4">
        <v>35000.0</v>
      </c>
      <c r="M850" s="4">
        <v>35000.0</v>
      </c>
      <c r="N850" s="4">
        <v>0.0</v>
      </c>
    </row>
    <row r="851">
      <c r="A851" s="6">
        <v>819.0</v>
      </c>
      <c r="B851" s="4" t="s">
        <v>1124</v>
      </c>
      <c r="C851" s="4" t="s">
        <v>2407</v>
      </c>
      <c r="D851" s="4" t="s">
        <v>3557</v>
      </c>
      <c r="E851" s="4">
        <v>730801.0</v>
      </c>
      <c r="F851" s="6">
        <v>1.0</v>
      </c>
      <c r="G851" s="4" t="s">
        <v>1021</v>
      </c>
      <c r="H851" s="4" t="s">
        <v>1021</v>
      </c>
      <c r="I851" s="4" t="s">
        <v>1021</v>
      </c>
      <c r="J851" s="4" t="str">
        <f t="shared" si="1"/>
        <v>임은정9171</v>
      </c>
      <c r="K851" s="3" t="str">
        <f t="shared" si="2"/>
        <v>정상</v>
      </c>
      <c r="L851" s="4">
        <v>35000.0</v>
      </c>
      <c r="M851" s="4">
        <v>35000.0</v>
      </c>
      <c r="N851" s="4">
        <v>0.0</v>
      </c>
    </row>
    <row r="852">
      <c r="A852" s="6">
        <v>222.0</v>
      </c>
      <c r="B852" s="4" t="s">
        <v>1575</v>
      </c>
      <c r="C852" s="4" t="s">
        <v>3558</v>
      </c>
      <c r="D852" s="4" t="s">
        <v>3559</v>
      </c>
      <c r="E852" s="4">
        <v>651118.0</v>
      </c>
      <c r="F852" s="6">
        <v>1.0</v>
      </c>
      <c r="G852" s="4" t="s">
        <v>1021</v>
      </c>
      <c r="H852" s="4" t="s">
        <v>1021</v>
      </c>
      <c r="I852" s="4" t="s">
        <v>1021</v>
      </c>
      <c r="J852" s="4" t="str">
        <f t="shared" si="1"/>
        <v>임인경0500</v>
      </c>
      <c r="K852" s="3" t="str">
        <f t="shared" si="2"/>
        <v>정상</v>
      </c>
      <c r="L852" s="4">
        <v>35000.0</v>
      </c>
      <c r="M852" s="4">
        <v>35000.0</v>
      </c>
      <c r="N852" s="4">
        <v>0.0</v>
      </c>
    </row>
    <row r="853">
      <c r="A853" s="5">
        <v>482.0</v>
      </c>
      <c r="B853" s="3" t="s">
        <v>1042</v>
      </c>
      <c r="C853" s="3" t="s">
        <v>3560</v>
      </c>
      <c r="D853" s="3" t="s">
        <v>3561</v>
      </c>
      <c r="E853" s="3">
        <v>641117.0</v>
      </c>
      <c r="F853" s="5">
        <v>1.0</v>
      </c>
      <c r="G853" s="3" t="s">
        <v>1021</v>
      </c>
      <c r="H853" s="3" t="s">
        <v>1021</v>
      </c>
      <c r="I853" s="3" t="s">
        <v>1021</v>
      </c>
      <c r="J853" s="4" t="str">
        <f t="shared" si="1"/>
        <v>임정민9831</v>
      </c>
      <c r="K853" s="3" t="str">
        <f t="shared" si="2"/>
        <v>정상</v>
      </c>
      <c r="L853" s="4">
        <v>35000.0</v>
      </c>
      <c r="M853" s="4">
        <v>35000.0</v>
      </c>
      <c r="N853" s="4">
        <v>0.0</v>
      </c>
    </row>
    <row r="854">
      <c r="A854" s="6">
        <v>829.0</v>
      </c>
      <c r="B854" s="4" t="s">
        <v>1367</v>
      </c>
      <c r="C854" s="4" t="s">
        <v>3562</v>
      </c>
      <c r="D854" s="4" t="s">
        <v>3563</v>
      </c>
      <c r="E854" s="4">
        <v>770522.0</v>
      </c>
      <c r="F854" s="6">
        <v>1.0</v>
      </c>
      <c r="G854" s="4" t="s">
        <v>1021</v>
      </c>
      <c r="H854" s="4" t="s">
        <v>1021</v>
      </c>
      <c r="I854" s="4" t="s">
        <v>1021</v>
      </c>
      <c r="J854" s="4" t="str">
        <f t="shared" si="1"/>
        <v>임지영0271</v>
      </c>
      <c r="K854" s="3" t="str">
        <f t="shared" si="2"/>
        <v>정상</v>
      </c>
      <c r="L854" s="4">
        <v>35000.0</v>
      </c>
      <c r="M854" s="4">
        <v>35000.0</v>
      </c>
      <c r="N854" s="4">
        <v>0.0</v>
      </c>
    </row>
    <row r="855">
      <c r="A855" s="6">
        <v>1117.0</v>
      </c>
      <c r="B855" s="4" t="s">
        <v>1358</v>
      </c>
      <c r="C855" s="4" t="s">
        <v>3564</v>
      </c>
      <c r="D855" s="4" t="s">
        <v>3565</v>
      </c>
      <c r="E855" s="4">
        <v>761109.0</v>
      </c>
      <c r="F855" s="6">
        <v>1.0</v>
      </c>
      <c r="G855" s="4" t="s">
        <v>1021</v>
      </c>
      <c r="H855" s="4" t="s">
        <v>1021</v>
      </c>
      <c r="I855" s="4" t="s">
        <v>1021</v>
      </c>
      <c r="J855" s="4" t="str">
        <f t="shared" si="1"/>
        <v>장문정9874</v>
      </c>
      <c r="K855" s="3" t="str">
        <f t="shared" si="2"/>
        <v>정상</v>
      </c>
      <c r="L855" s="4">
        <v>35000.0</v>
      </c>
      <c r="M855" s="4">
        <v>35000.0</v>
      </c>
      <c r="N855" s="4">
        <v>0.0</v>
      </c>
    </row>
    <row r="856">
      <c r="A856" s="6">
        <v>342.0</v>
      </c>
      <c r="B856" s="4" t="s">
        <v>1052</v>
      </c>
      <c r="C856" s="4" t="s">
        <v>3566</v>
      </c>
      <c r="D856" s="4" t="s">
        <v>3567</v>
      </c>
      <c r="E856" s="4">
        <v>730105.0</v>
      </c>
      <c r="F856" s="6">
        <v>1.0</v>
      </c>
      <c r="G856" s="4" t="s">
        <v>1021</v>
      </c>
      <c r="H856" s="4" t="s">
        <v>1021</v>
      </c>
      <c r="I856" s="4" t="s">
        <v>1021</v>
      </c>
      <c r="J856" s="4" t="str">
        <f t="shared" si="1"/>
        <v>장미성2942</v>
      </c>
      <c r="K856" s="3" t="str">
        <f t="shared" si="2"/>
        <v>정상</v>
      </c>
      <c r="L856" s="4">
        <v>35000.0</v>
      </c>
      <c r="M856" s="4">
        <v>35000.0</v>
      </c>
      <c r="N856" s="4">
        <v>0.0</v>
      </c>
    </row>
    <row r="857">
      <c r="A857" s="6">
        <v>548.0</v>
      </c>
      <c r="B857" s="4" t="s">
        <v>1170</v>
      </c>
      <c r="C857" s="4" t="s">
        <v>3568</v>
      </c>
      <c r="D857" s="4" t="s">
        <v>3569</v>
      </c>
      <c r="E857" s="4">
        <v>660312.0</v>
      </c>
      <c r="F857" s="6">
        <v>1.0</v>
      </c>
      <c r="G857" s="4" t="s">
        <v>1021</v>
      </c>
      <c r="H857" s="4" t="s">
        <v>1021</v>
      </c>
      <c r="I857" s="4" t="s">
        <v>1021</v>
      </c>
      <c r="J857" s="4" t="str">
        <f t="shared" si="1"/>
        <v>장숙희1359</v>
      </c>
      <c r="K857" s="3" t="str">
        <f t="shared" si="2"/>
        <v>정상</v>
      </c>
      <c r="L857" s="4">
        <v>35000.0</v>
      </c>
      <c r="M857" s="4">
        <v>35000.0</v>
      </c>
      <c r="N857" s="4">
        <v>0.0</v>
      </c>
    </row>
    <row r="858">
      <c r="A858" s="6">
        <v>1045.0</v>
      </c>
      <c r="B858" s="4" t="s">
        <v>1047</v>
      </c>
      <c r="C858" s="4" t="s">
        <v>3570</v>
      </c>
      <c r="D858" s="4" t="s">
        <v>3571</v>
      </c>
      <c r="E858" s="4">
        <v>660320.0</v>
      </c>
      <c r="F858" s="6">
        <v>1.0</v>
      </c>
      <c r="G858" s="4" t="s">
        <v>1021</v>
      </c>
      <c r="H858" s="4" t="s">
        <v>1021</v>
      </c>
      <c r="I858" s="4" t="s">
        <v>1021</v>
      </c>
      <c r="J858" s="4" t="str">
        <f t="shared" si="1"/>
        <v>장아미3505</v>
      </c>
      <c r="K858" s="3" t="str">
        <f t="shared" si="2"/>
        <v>정상</v>
      </c>
      <c r="L858" s="4">
        <v>35000.0</v>
      </c>
      <c r="M858" s="4">
        <v>35000.0</v>
      </c>
      <c r="N858" s="4">
        <v>0.0</v>
      </c>
    </row>
    <row r="859">
      <c r="A859" s="6">
        <v>901.0</v>
      </c>
      <c r="B859" s="4" t="s">
        <v>1872</v>
      </c>
      <c r="C859" s="4" t="s">
        <v>3572</v>
      </c>
      <c r="D859" s="4" t="s">
        <v>3573</v>
      </c>
      <c r="E859" s="4">
        <v>581230.0</v>
      </c>
      <c r="F859" s="6">
        <v>1.0</v>
      </c>
      <c r="G859" s="4" t="s">
        <v>1021</v>
      </c>
      <c r="H859" s="4" t="s">
        <v>1021</v>
      </c>
      <c r="I859" s="4" t="s">
        <v>1021</v>
      </c>
      <c r="J859" s="4" t="str">
        <f t="shared" si="1"/>
        <v>장영미3768</v>
      </c>
      <c r="K859" s="3" t="str">
        <f t="shared" si="2"/>
        <v>정상</v>
      </c>
      <c r="L859" s="4">
        <v>35000.0</v>
      </c>
      <c r="M859" s="4">
        <v>35000.0</v>
      </c>
      <c r="N859" s="4">
        <v>0.0</v>
      </c>
    </row>
    <row r="860">
      <c r="A860" s="6">
        <v>128.0</v>
      </c>
      <c r="B860" s="4" t="s">
        <v>1018</v>
      </c>
      <c r="C860" s="4" t="s">
        <v>3574</v>
      </c>
      <c r="D860" s="4" t="s">
        <v>3575</v>
      </c>
      <c r="E860" s="4">
        <v>700421.0</v>
      </c>
      <c r="F860" s="6">
        <v>1.0</v>
      </c>
      <c r="G860" s="4" t="s">
        <v>1021</v>
      </c>
      <c r="H860" s="4" t="s">
        <v>1021</v>
      </c>
      <c r="I860" s="4" t="s">
        <v>1021</v>
      </c>
      <c r="J860" s="4" t="str">
        <f t="shared" si="1"/>
        <v>장운창2225</v>
      </c>
      <c r="K860" s="3" t="str">
        <f t="shared" si="2"/>
        <v>정상</v>
      </c>
      <c r="L860" s="4">
        <v>35000.0</v>
      </c>
      <c r="M860" s="4">
        <v>35000.0</v>
      </c>
      <c r="N860" s="4">
        <v>0.0</v>
      </c>
    </row>
    <row r="861">
      <c r="A861" s="6">
        <v>576.0</v>
      </c>
      <c r="B861" s="4" t="s">
        <v>1344</v>
      </c>
      <c r="C861" s="4" t="s">
        <v>3576</v>
      </c>
      <c r="D861" s="4" t="s">
        <v>3577</v>
      </c>
      <c r="E861" s="4">
        <v>590710.0</v>
      </c>
      <c r="F861" s="6">
        <v>1.0</v>
      </c>
      <c r="G861" s="4" t="s">
        <v>1021</v>
      </c>
      <c r="H861" s="4" t="s">
        <v>1021</v>
      </c>
      <c r="I861" s="4" t="s">
        <v>1021</v>
      </c>
      <c r="J861" s="4" t="str">
        <f t="shared" si="1"/>
        <v>장윤숙9852</v>
      </c>
      <c r="K861" s="3" t="str">
        <f t="shared" si="2"/>
        <v>정상</v>
      </c>
      <c r="L861" s="4">
        <v>35000.0</v>
      </c>
      <c r="M861" s="4">
        <v>35000.0</v>
      </c>
      <c r="N861" s="4">
        <v>0.0</v>
      </c>
    </row>
    <row r="862">
      <c r="A862" s="6">
        <v>870.0</v>
      </c>
      <c r="B862" s="4" t="s">
        <v>1621</v>
      </c>
      <c r="C862" s="4" t="s">
        <v>3578</v>
      </c>
      <c r="D862" s="4" t="s">
        <v>3579</v>
      </c>
      <c r="E862" s="4">
        <v>700130.0</v>
      </c>
      <c r="F862" s="6">
        <v>1.0</v>
      </c>
      <c r="G862" s="4" t="s">
        <v>1021</v>
      </c>
      <c r="H862" s="4" t="s">
        <v>1021</v>
      </c>
      <c r="I862" s="4" t="s">
        <v>1021</v>
      </c>
      <c r="J862" s="4" t="str">
        <f t="shared" si="1"/>
        <v>장재욱2348</v>
      </c>
      <c r="K862" s="3" t="str">
        <f t="shared" si="2"/>
        <v>정상</v>
      </c>
      <c r="L862" s="4">
        <v>35000.0</v>
      </c>
      <c r="M862" s="4">
        <v>35000.0</v>
      </c>
      <c r="N862" s="4">
        <v>0.0</v>
      </c>
    </row>
    <row r="863">
      <c r="A863" s="6">
        <v>1085.0</v>
      </c>
      <c r="B863" s="4" t="s">
        <v>1076</v>
      </c>
      <c r="C863" s="4" t="s">
        <v>3580</v>
      </c>
      <c r="D863" s="4" t="s">
        <v>3581</v>
      </c>
      <c r="E863" s="4">
        <v>661111.0</v>
      </c>
      <c r="F863" s="6">
        <v>1.0</v>
      </c>
      <c r="G863" s="4" t="s">
        <v>1021</v>
      </c>
      <c r="H863" s="4" t="s">
        <v>1021</v>
      </c>
      <c r="I863" s="4" t="s">
        <v>1021</v>
      </c>
      <c r="J863" s="4" t="str">
        <f t="shared" si="1"/>
        <v>장혜숙7524</v>
      </c>
      <c r="K863" s="3" t="str">
        <f t="shared" si="2"/>
        <v>정상</v>
      </c>
      <c r="L863" s="4">
        <v>35000.0</v>
      </c>
      <c r="M863" s="4">
        <v>35000.0</v>
      </c>
      <c r="N863" s="4">
        <v>0.0</v>
      </c>
    </row>
    <row r="864">
      <c r="A864" s="6">
        <v>350.0</v>
      </c>
      <c r="B864" s="4" t="s">
        <v>1032</v>
      </c>
      <c r="C864" s="4" t="s">
        <v>3582</v>
      </c>
      <c r="D864" s="4" t="s">
        <v>3583</v>
      </c>
      <c r="E864" s="4">
        <v>570122.0</v>
      </c>
      <c r="F864" s="6">
        <v>1.0</v>
      </c>
      <c r="G864" s="4" t="s">
        <v>1021</v>
      </c>
      <c r="H864" s="4" t="s">
        <v>1021</v>
      </c>
      <c r="I864" s="4" t="s">
        <v>1021</v>
      </c>
      <c r="J864" s="4" t="str">
        <f t="shared" si="1"/>
        <v>전병년2138</v>
      </c>
      <c r="K864" s="3" t="str">
        <f t="shared" si="2"/>
        <v>정상</v>
      </c>
      <c r="L864" s="4">
        <v>35000.0</v>
      </c>
      <c r="M864" s="4">
        <v>35000.0</v>
      </c>
      <c r="N864" s="4">
        <v>0.0</v>
      </c>
    </row>
    <row r="865">
      <c r="A865" s="6">
        <v>431.0</v>
      </c>
      <c r="B865" s="4" t="s">
        <v>1730</v>
      </c>
      <c r="C865" s="4" t="s">
        <v>3584</v>
      </c>
      <c r="D865" s="4" t="s">
        <v>3585</v>
      </c>
      <c r="E865" s="4">
        <v>700419.0</v>
      </c>
      <c r="F865" s="6">
        <v>1.0</v>
      </c>
      <c r="G865" s="4" t="s">
        <v>1021</v>
      </c>
      <c r="H865" s="4" t="s">
        <v>1021</v>
      </c>
      <c r="I865" s="4" t="s">
        <v>1021</v>
      </c>
      <c r="J865" s="4" t="str">
        <f t="shared" si="1"/>
        <v>전보경7001</v>
      </c>
      <c r="K865" s="3" t="str">
        <f t="shared" si="2"/>
        <v>정상</v>
      </c>
      <c r="L865" s="4">
        <v>35000.0</v>
      </c>
      <c r="M865" s="4">
        <v>35000.0</v>
      </c>
      <c r="N865" s="4">
        <v>0.0</v>
      </c>
    </row>
    <row r="866">
      <c r="A866" s="5">
        <v>480.0</v>
      </c>
      <c r="B866" s="3" t="s">
        <v>1042</v>
      </c>
      <c r="C866" s="3" t="s">
        <v>3586</v>
      </c>
      <c r="D866" s="3" t="s">
        <v>3587</v>
      </c>
      <c r="E866" s="3">
        <v>750308.0</v>
      </c>
      <c r="F866" s="5">
        <v>1.0</v>
      </c>
      <c r="G866" s="3" t="s">
        <v>1021</v>
      </c>
      <c r="H866" s="3" t="s">
        <v>1021</v>
      </c>
      <c r="I866" s="3" t="s">
        <v>1021</v>
      </c>
      <c r="J866" s="4" t="str">
        <f t="shared" si="1"/>
        <v>전서연2869</v>
      </c>
      <c r="K866" s="3" t="str">
        <f t="shared" si="2"/>
        <v>정상</v>
      </c>
      <c r="L866" s="4">
        <v>35000.0</v>
      </c>
      <c r="M866" s="4">
        <v>35000.0</v>
      </c>
      <c r="N866" s="4">
        <v>0.0</v>
      </c>
    </row>
    <row r="867">
      <c r="A867" s="6">
        <v>812.0</v>
      </c>
      <c r="B867" s="4" t="s">
        <v>1232</v>
      </c>
      <c r="C867" s="4" t="s">
        <v>3588</v>
      </c>
      <c r="D867" s="4" t="s">
        <v>3589</v>
      </c>
      <c r="E867" s="4">
        <v>770624.0</v>
      </c>
      <c r="F867" s="6">
        <v>1.0</v>
      </c>
      <c r="G867" s="4" t="s">
        <v>1021</v>
      </c>
      <c r="H867" s="4" t="s">
        <v>1021</v>
      </c>
      <c r="I867" s="4" t="s">
        <v>1021</v>
      </c>
      <c r="J867" s="4" t="str">
        <f t="shared" si="1"/>
        <v>전선아9860</v>
      </c>
      <c r="K867" s="3" t="str">
        <f t="shared" si="2"/>
        <v>정상</v>
      </c>
      <c r="L867" s="4">
        <v>35000.0</v>
      </c>
      <c r="M867" s="4">
        <v>35000.0</v>
      </c>
      <c r="N867" s="4">
        <v>0.0</v>
      </c>
    </row>
    <row r="868">
      <c r="A868" s="6">
        <v>481.0</v>
      </c>
      <c r="B868" s="4" t="s">
        <v>1042</v>
      </c>
      <c r="C868" s="4" t="s">
        <v>3590</v>
      </c>
      <c r="D868" s="4" t="s">
        <v>3591</v>
      </c>
      <c r="E868" s="4">
        <v>530906.0</v>
      </c>
      <c r="F868" s="6">
        <v>1.0</v>
      </c>
      <c r="G868" s="4" t="s">
        <v>1021</v>
      </c>
      <c r="H868" s="4" t="s">
        <v>1021</v>
      </c>
      <c r="I868" s="4" t="s">
        <v>1021</v>
      </c>
      <c r="J868" s="4" t="str">
        <f t="shared" si="1"/>
        <v>전윤선8409</v>
      </c>
      <c r="K868" s="3" t="str">
        <f t="shared" si="2"/>
        <v>정상</v>
      </c>
      <c r="L868" s="4">
        <v>35000.0</v>
      </c>
      <c r="M868" s="4">
        <v>35000.0</v>
      </c>
      <c r="N868" s="4">
        <v>0.0</v>
      </c>
    </row>
    <row r="869">
      <c r="A869" s="5">
        <v>745.0</v>
      </c>
      <c r="B869" s="3" t="s">
        <v>1057</v>
      </c>
      <c r="C869" s="3" t="s">
        <v>3592</v>
      </c>
      <c r="D869" s="3" t="s">
        <v>3593</v>
      </c>
      <c r="E869" s="3">
        <v>690523.0</v>
      </c>
      <c r="F869" s="5">
        <v>1.0</v>
      </c>
      <c r="G869" s="3" t="s">
        <v>1021</v>
      </c>
      <c r="H869" s="3" t="s">
        <v>1021</v>
      </c>
      <c r="I869" s="3" t="s">
        <v>1021</v>
      </c>
      <c r="J869" s="4" t="str">
        <f t="shared" si="1"/>
        <v>전현숙7208</v>
      </c>
      <c r="K869" s="3" t="str">
        <f t="shared" si="2"/>
        <v>정상</v>
      </c>
      <c r="L869" s="4">
        <v>35000.0</v>
      </c>
      <c r="M869" s="4">
        <v>35000.0</v>
      </c>
      <c r="N869" s="4">
        <v>0.0</v>
      </c>
    </row>
    <row r="870">
      <c r="A870" s="6">
        <v>344.0</v>
      </c>
      <c r="B870" s="4" t="s">
        <v>1052</v>
      </c>
      <c r="C870" s="4" t="s">
        <v>3594</v>
      </c>
      <c r="D870" s="4" t="s">
        <v>3595</v>
      </c>
      <c r="E870" s="4">
        <v>581204.0</v>
      </c>
      <c r="F870" s="6">
        <v>1.0</v>
      </c>
      <c r="G870" s="4" t="s">
        <v>1021</v>
      </c>
      <c r="H870" s="4" t="s">
        <v>1021</v>
      </c>
      <c r="I870" s="4" t="s">
        <v>1021</v>
      </c>
      <c r="J870" s="4" t="str">
        <f t="shared" si="1"/>
        <v>전희숙1660</v>
      </c>
      <c r="K870" s="3" t="str">
        <f t="shared" si="2"/>
        <v>정상</v>
      </c>
      <c r="L870" s="4">
        <v>35000.0</v>
      </c>
      <c r="M870" s="4">
        <v>35000.0</v>
      </c>
      <c r="N870" s="4">
        <v>0.0</v>
      </c>
    </row>
    <row r="871">
      <c r="A871" s="6">
        <v>703.0</v>
      </c>
      <c r="B871" s="4" t="s">
        <v>2078</v>
      </c>
      <c r="C871" s="4" t="s">
        <v>3596</v>
      </c>
      <c r="D871" s="4" t="s">
        <v>3597</v>
      </c>
      <c r="E871" s="4">
        <v>620803.0</v>
      </c>
      <c r="F871" s="6">
        <v>1.0</v>
      </c>
      <c r="G871" s="4" t="s">
        <v>1021</v>
      </c>
      <c r="H871" s="4" t="s">
        <v>1021</v>
      </c>
      <c r="I871" s="4" t="s">
        <v>1021</v>
      </c>
      <c r="J871" s="4" t="str">
        <f t="shared" si="1"/>
        <v>정경미8747</v>
      </c>
      <c r="K871" s="3" t="str">
        <f t="shared" si="2"/>
        <v>정상</v>
      </c>
      <c r="L871" s="4">
        <v>35000.0</v>
      </c>
      <c r="M871" s="4">
        <v>35000.0</v>
      </c>
      <c r="N871" s="4">
        <v>0.0</v>
      </c>
    </row>
    <row r="872">
      <c r="A872" s="6">
        <v>889.0</v>
      </c>
      <c r="B872" s="4" t="s">
        <v>1114</v>
      </c>
      <c r="C872" s="4" t="s">
        <v>3598</v>
      </c>
      <c r="D872" s="4" t="s">
        <v>3599</v>
      </c>
      <c r="E872" s="4">
        <v>710105.0</v>
      </c>
      <c r="F872" s="6">
        <v>1.0</v>
      </c>
      <c r="G872" s="4" t="s">
        <v>1021</v>
      </c>
      <c r="H872" s="4" t="s">
        <v>1021</v>
      </c>
      <c r="I872" s="4" t="s">
        <v>1021</v>
      </c>
      <c r="J872" s="4" t="str">
        <f t="shared" si="1"/>
        <v>정경숙8024</v>
      </c>
      <c r="K872" s="3" t="str">
        <f t="shared" si="2"/>
        <v>정상</v>
      </c>
      <c r="L872" s="4">
        <v>35000.0</v>
      </c>
      <c r="M872" s="4">
        <v>35000.0</v>
      </c>
      <c r="N872" s="4">
        <v>0.0</v>
      </c>
    </row>
    <row r="873">
      <c r="A873" s="6">
        <v>797.0</v>
      </c>
      <c r="B873" s="4" t="s">
        <v>2932</v>
      </c>
      <c r="C873" s="4" t="s">
        <v>3600</v>
      </c>
      <c r="D873" s="4" t="s">
        <v>3601</v>
      </c>
      <c r="E873" s="4">
        <v>551130.0</v>
      </c>
      <c r="F873" s="6">
        <v>1.0</v>
      </c>
      <c r="G873" s="4" t="s">
        <v>1021</v>
      </c>
      <c r="H873" s="4" t="s">
        <v>1021</v>
      </c>
      <c r="I873" s="4" t="s">
        <v>1021</v>
      </c>
      <c r="J873" s="4" t="str">
        <f t="shared" si="1"/>
        <v>정경환5773</v>
      </c>
      <c r="K873" s="3" t="str">
        <f t="shared" si="2"/>
        <v>정상</v>
      </c>
      <c r="L873" s="4">
        <v>35000.0</v>
      </c>
      <c r="M873" s="4">
        <v>35000.0</v>
      </c>
      <c r="N873" s="4">
        <v>0.0</v>
      </c>
    </row>
    <row r="874">
      <c r="A874" s="6">
        <v>377.0</v>
      </c>
      <c r="B874" s="4" t="s">
        <v>1086</v>
      </c>
      <c r="C874" s="4" t="s">
        <v>3602</v>
      </c>
      <c r="D874" s="4" t="s">
        <v>3603</v>
      </c>
      <c r="E874" s="4">
        <v>560415.0</v>
      </c>
      <c r="F874" s="6">
        <v>1.0</v>
      </c>
      <c r="G874" s="4" t="s">
        <v>1021</v>
      </c>
      <c r="H874" s="4" t="s">
        <v>1021</v>
      </c>
      <c r="I874" s="4" t="s">
        <v>1021</v>
      </c>
      <c r="J874" s="4" t="str">
        <f t="shared" si="1"/>
        <v>정규란2975</v>
      </c>
      <c r="K874" s="3" t="str">
        <f t="shared" si="2"/>
        <v>정상</v>
      </c>
      <c r="L874" s="4">
        <v>35000.0</v>
      </c>
      <c r="M874" s="4">
        <v>35000.0</v>
      </c>
      <c r="N874" s="4">
        <v>0.0</v>
      </c>
    </row>
    <row r="875">
      <c r="A875" s="6">
        <v>1225.0</v>
      </c>
      <c r="B875" s="4" t="s">
        <v>1071</v>
      </c>
      <c r="C875" s="4" t="s">
        <v>3604</v>
      </c>
      <c r="D875" s="4" t="s">
        <v>3605</v>
      </c>
      <c r="E875" s="4">
        <v>730818.0</v>
      </c>
      <c r="F875" s="6">
        <v>1.0</v>
      </c>
      <c r="G875" s="4" t="s">
        <v>1021</v>
      </c>
      <c r="H875" s="4" t="s">
        <v>1021</v>
      </c>
      <c r="I875" s="4" t="s">
        <v>1021</v>
      </c>
      <c r="J875" s="4" t="str">
        <f t="shared" si="1"/>
        <v>정근주8486</v>
      </c>
      <c r="K875" s="3" t="str">
        <f t="shared" si="2"/>
        <v>정상</v>
      </c>
      <c r="L875" s="4">
        <v>35000.0</v>
      </c>
      <c r="M875" s="4">
        <v>35000.0</v>
      </c>
      <c r="N875" s="4">
        <v>0.0</v>
      </c>
    </row>
    <row r="876">
      <c r="A876" s="6">
        <v>1048.0</v>
      </c>
      <c r="B876" s="4" t="s">
        <v>1047</v>
      </c>
      <c r="C876" s="4" t="s">
        <v>3606</v>
      </c>
      <c r="D876" s="4" t="s">
        <v>3607</v>
      </c>
      <c r="E876" s="4">
        <v>690327.0</v>
      </c>
      <c r="F876" s="6">
        <v>1.0</v>
      </c>
      <c r="G876" s="4" t="s">
        <v>1021</v>
      </c>
      <c r="H876" s="4" t="s">
        <v>1021</v>
      </c>
      <c r="I876" s="4" t="s">
        <v>1021</v>
      </c>
      <c r="J876" s="4" t="str">
        <f t="shared" si="1"/>
        <v>정금주7818</v>
      </c>
      <c r="K876" s="3" t="str">
        <f t="shared" si="2"/>
        <v>정상</v>
      </c>
      <c r="L876" s="4">
        <v>35000.0</v>
      </c>
      <c r="M876" s="4">
        <v>35000.0</v>
      </c>
      <c r="N876" s="4">
        <v>0.0</v>
      </c>
    </row>
    <row r="877">
      <c r="A877" s="6">
        <v>1152.0</v>
      </c>
      <c r="B877" s="4" t="s">
        <v>1165</v>
      </c>
      <c r="C877" s="4" t="s">
        <v>3608</v>
      </c>
      <c r="D877" s="4" t="s">
        <v>3609</v>
      </c>
      <c r="E877" s="4">
        <v>530820.0</v>
      </c>
      <c r="F877" s="6">
        <v>1.0</v>
      </c>
      <c r="G877" s="4" t="s">
        <v>1021</v>
      </c>
      <c r="H877" s="4" t="s">
        <v>1021</v>
      </c>
      <c r="I877" s="4" t="s">
        <v>1021</v>
      </c>
      <c r="J877" s="4" t="str">
        <f t="shared" si="1"/>
        <v>정길순3176</v>
      </c>
      <c r="K877" s="3" t="str">
        <f t="shared" si="2"/>
        <v>정상</v>
      </c>
      <c r="L877" s="4">
        <v>35000.0</v>
      </c>
      <c r="M877" s="4">
        <v>35000.0</v>
      </c>
      <c r="N877" s="4">
        <v>0.0</v>
      </c>
    </row>
    <row r="878">
      <c r="A878" s="6">
        <v>1124.0</v>
      </c>
      <c r="B878" s="4" t="s">
        <v>1358</v>
      </c>
      <c r="C878" s="4" t="s">
        <v>3610</v>
      </c>
      <c r="D878" s="4" t="s">
        <v>3611</v>
      </c>
      <c r="E878" s="4">
        <v>560702.0</v>
      </c>
      <c r="F878" s="6">
        <v>1.0</v>
      </c>
      <c r="G878" s="4" t="s">
        <v>1021</v>
      </c>
      <c r="H878" s="4" t="s">
        <v>1021</v>
      </c>
      <c r="I878" s="4" t="s">
        <v>1021</v>
      </c>
      <c r="J878" s="4" t="str">
        <f t="shared" si="1"/>
        <v>정남숙3653</v>
      </c>
      <c r="K878" s="3" t="str">
        <f t="shared" si="2"/>
        <v>정상</v>
      </c>
      <c r="L878" s="4">
        <v>35000.0</v>
      </c>
      <c r="M878" s="4">
        <v>35000.0</v>
      </c>
      <c r="N878" s="4">
        <v>0.0</v>
      </c>
    </row>
    <row r="879">
      <c r="A879" s="6">
        <v>897.0</v>
      </c>
      <c r="B879" s="4" t="s">
        <v>1872</v>
      </c>
      <c r="C879" s="4" t="s">
        <v>3612</v>
      </c>
      <c r="D879" s="4" t="s">
        <v>3613</v>
      </c>
      <c r="E879" s="4">
        <v>601008.0</v>
      </c>
      <c r="F879" s="6">
        <v>1.0</v>
      </c>
      <c r="G879" s="4" t="s">
        <v>1021</v>
      </c>
      <c r="H879" s="4" t="s">
        <v>1021</v>
      </c>
      <c r="I879" s="4" t="s">
        <v>1021</v>
      </c>
      <c r="J879" s="4" t="str">
        <f t="shared" si="1"/>
        <v>정미숙1833</v>
      </c>
      <c r="K879" s="3" t="str">
        <f t="shared" si="2"/>
        <v>정상</v>
      </c>
      <c r="L879" s="4">
        <v>35000.0</v>
      </c>
      <c r="M879" s="4">
        <v>35000.0</v>
      </c>
      <c r="N879" s="4">
        <v>0.0</v>
      </c>
    </row>
    <row r="880">
      <c r="A880" s="5">
        <v>923.0</v>
      </c>
      <c r="B880" s="3" t="s">
        <v>1001</v>
      </c>
      <c r="C880" s="3" t="s">
        <v>3614</v>
      </c>
      <c r="D880" s="3" t="s">
        <v>3615</v>
      </c>
      <c r="E880" s="3">
        <v>660215.0</v>
      </c>
      <c r="F880" s="5">
        <v>1.0</v>
      </c>
      <c r="G880" s="3" t="s">
        <v>1021</v>
      </c>
      <c r="H880" s="3" t="s">
        <v>1021</v>
      </c>
      <c r="I880" s="3" t="s">
        <v>1021</v>
      </c>
      <c r="J880" s="4" t="str">
        <f t="shared" si="1"/>
        <v>정미희4220</v>
      </c>
      <c r="K880" s="3" t="str">
        <f t="shared" si="2"/>
        <v>정상</v>
      </c>
      <c r="L880" s="4">
        <v>35000.0</v>
      </c>
      <c r="M880" s="4">
        <v>35000.0</v>
      </c>
      <c r="N880" s="4">
        <v>0.0</v>
      </c>
    </row>
    <row r="881">
      <c r="A881" s="6">
        <v>545.0</v>
      </c>
      <c r="B881" s="4" t="s">
        <v>1170</v>
      </c>
      <c r="C881" s="4" t="s">
        <v>3616</v>
      </c>
      <c r="D881" s="4" t="s">
        <v>3617</v>
      </c>
      <c r="E881" s="4">
        <v>690224.0</v>
      </c>
      <c r="F881" s="6">
        <v>1.0</v>
      </c>
      <c r="G881" s="4" t="s">
        <v>1021</v>
      </c>
      <c r="H881" s="4" t="s">
        <v>1021</v>
      </c>
      <c r="I881" s="4" t="s">
        <v>1021</v>
      </c>
      <c r="J881" s="4" t="str">
        <f t="shared" si="1"/>
        <v>정봉희4687</v>
      </c>
      <c r="K881" s="3" t="str">
        <f t="shared" si="2"/>
        <v>정상</v>
      </c>
      <c r="L881" s="4">
        <v>35000.0</v>
      </c>
      <c r="M881" s="4">
        <v>35000.0</v>
      </c>
      <c r="N881" s="4">
        <v>0.0</v>
      </c>
    </row>
    <row r="882">
      <c r="A882" s="6">
        <v>536.0</v>
      </c>
      <c r="B882" s="4" t="s">
        <v>2544</v>
      </c>
      <c r="C882" s="4" t="s">
        <v>3618</v>
      </c>
      <c r="D882" s="4" t="s">
        <v>3619</v>
      </c>
      <c r="E882" s="4">
        <v>581013.0</v>
      </c>
      <c r="F882" s="6">
        <v>1.0</v>
      </c>
      <c r="G882" s="4" t="s">
        <v>1021</v>
      </c>
      <c r="H882" s="4" t="s">
        <v>1021</v>
      </c>
      <c r="I882" s="4" t="s">
        <v>1021</v>
      </c>
      <c r="J882" s="4" t="str">
        <f t="shared" si="1"/>
        <v>정상우1889</v>
      </c>
      <c r="K882" s="3" t="str">
        <f t="shared" si="2"/>
        <v>정상</v>
      </c>
      <c r="L882" s="4">
        <v>35000.0</v>
      </c>
      <c r="M882" s="4">
        <v>35000.0</v>
      </c>
      <c r="N882" s="4">
        <v>0.0</v>
      </c>
    </row>
    <row r="883">
      <c r="A883" s="5">
        <v>1166.0</v>
      </c>
      <c r="B883" s="3" t="s">
        <v>1501</v>
      </c>
      <c r="C883" s="3" t="s">
        <v>3620</v>
      </c>
      <c r="D883" s="3" t="s">
        <v>3621</v>
      </c>
      <c r="E883" s="3">
        <v>661110.0</v>
      </c>
      <c r="F883" s="5">
        <v>1.0</v>
      </c>
      <c r="G883" s="3" t="s">
        <v>1021</v>
      </c>
      <c r="H883" s="3" t="s">
        <v>1021</v>
      </c>
      <c r="I883" s="3" t="s">
        <v>1021</v>
      </c>
      <c r="J883" s="4" t="str">
        <f t="shared" si="1"/>
        <v>정성화3705</v>
      </c>
      <c r="K883" s="3" t="str">
        <f t="shared" si="2"/>
        <v>정상</v>
      </c>
      <c r="L883" s="4">
        <v>35000.0</v>
      </c>
      <c r="M883" s="4">
        <v>35000.0</v>
      </c>
      <c r="N883" s="4">
        <v>0.0</v>
      </c>
    </row>
    <row r="884">
      <c r="A884" s="6">
        <v>852.0</v>
      </c>
      <c r="B884" s="4" t="s">
        <v>1967</v>
      </c>
      <c r="C884" s="4" t="s">
        <v>3622</v>
      </c>
      <c r="D884" s="4" t="s">
        <v>3623</v>
      </c>
      <c r="E884" s="4">
        <v>790129.0</v>
      </c>
      <c r="F884" s="6">
        <v>1.0</v>
      </c>
      <c r="G884" s="4" t="s">
        <v>1021</v>
      </c>
      <c r="H884" s="4" t="s">
        <v>1021</v>
      </c>
      <c r="I884" s="4" t="s">
        <v>1021</v>
      </c>
      <c r="J884" s="4" t="str">
        <f t="shared" si="1"/>
        <v>정소영3619</v>
      </c>
      <c r="K884" s="3" t="str">
        <f t="shared" si="2"/>
        <v>정상</v>
      </c>
      <c r="L884" s="4">
        <v>35000.0</v>
      </c>
      <c r="M884" s="4">
        <v>35000.0</v>
      </c>
      <c r="N884" s="4">
        <v>0.0</v>
      </c>
    </row>
    <row r="885">
      <c r="A885" s="6">
        <v>794.0</v>
      </c>
      <c r="B885" s="4" t="s">
        <v>2932</v>
      </c>
      <c r="C885" s="4" t="s">
        <v>3624</v>
      </c>
      <c r="D885" s="4" t="s">
        <v>3625</v>
      </c>
      <c r="E885" s="4">
        <v>741008.0</v>
      </c>
      <c r="F885" s="6">
        <v>1.0</v>
      </c>
      <c r="G885" s="4" t="s">
        <v>1021</v>
      </c>
      <c r="H885" s="4" t="s">
        <v>1021</v>
      </c>
      <c r="I885" s="4" t="s">
        <v>1021</v>
      </c>
      <c r="J885" s="4" t="str">
        <f t="shared" si="1"/>
        <v>정수영3432</v>
      </c>
      <c r="K885" s="3" t="str">
        <f t="shared" si="2"/>
        <v>정상</v>
      </c>
      <c r="L885" s="4">
        <v>35000.0</v>
      </c>
      <c r="M885" s="4">
        <v>35000.0</v>
      </c>
      <c r="N885" s="4">
        <v>0.0</v>
      </c>
    </row>
    <row r="886">
      <c r="A886" s="6">
        <v>240.0</v>
      </c>
      <c r="B886" s="4" t="s">
        <v>1739</v>
      </c>
      <c r="C886" s="4" t="s">
        <v>3626</v>
      </c>
      <c r="D886" s="4" t="s">
        <v>3627</v>
      </c>
      <c r="E886" s="4">
        <v>820129.0</v>
      </c>
      <c r="F886" s="6">
        <v>1.0</v>
      </c>
      <c r="G886" s="4" t="s">
        <v>1021</v>
      </c>
      <c r="H886" s="4" t="s">
        <v>1021</v>
      </c>
      <c r="I886" s="4" t="s">
        <v>1021</v>
      </c>
      <c r="J886" s="4" t="str">
        <f t="shared" si="1"/>
        <v>정승은2575</v>
      </c>
      <c r="K886" s="3" t="str">
        <f t="shared" si="2"/>
        <v>정상</v>
      </c>
      <c r="L886" s="4">
        <v>35000.0</v>
      </c>
      <c r="M886" s="4">
        <v>35000.0</v>
      </c>
      <c r="N886" s="4">
        <v>0.0</v>
      </c>
    </row>
    <row r="887">
      <c r="A887" s="6">
        <v>894.0</v>
      </c>
      <c r="B887" s="4" t="s">
        <v>1114</v>
      </c>
      <c r="C887" s="4" t="s">
        <v>3628</v>
      </c>
      <c r="D887" s="4" t="s">
        <v>3629</v>
      </c>
      <c r="E887" s="4">
        <v>650526.0</v>
      </c>
      <c r="F887" s="6">
        <v>1.0</v>
      </c>
      <c r="G887" s="4" t="s">
        <v>1021</v>
      </c>
      <c r="H887" s="4" t="s">
        <v>1021</v>
      </c>
      <c r="I887" s="4" t="s">
        <v>1021</v>
      </c>
      <c r="J887" s="4" t="str">
        <f t="shared" si="1"/>
        <v>정영숙7265</v>
      </c>
      <c r="K887" s="3" t="str">
        <f t="shared" si="2"/>
        <v>정상</v>
      </c>
      <c r="L887" s="4">
        <v>35000.0</v>
      </c>
      <c r="M887" s="4">
        <v>35000.0</v>
      </c>
      <c r="N887" s="4">
        <v>0.0</v>
      </c>
    </row>
    <row r="888">
      <c r="A888" s="5">
        <v>1197.0</v>
      </c>
      <c r="B888" s="3" t="s">
        <v>1530</v>
      </c>
      <c r="C888" s="3" t="s">
        <v>3630</v>
      </c>
      <c r="D888" s="3" t="s">
        <v>3631</v>
      </c>
      <c r="E888" s="3">
        <v>600401.0</v>
      </c>
      <c r="F888" s="5">
        <v>1.0</v>
      </c>
      <c r="G888" s="3" t="s">
        <v>1021</v>
      </c>
      <c r="H888" s="3" t="s">
        <v>1021</v>
      </c>
      <c r="I888" s="3" t="s">
        <v>1021</v>
      </c>
      <c r="J888" s="4" t="str">
        <f t="shared" si="1"/>
        <v>정옥수5389</v>
      </c>
      <c r="K888" s="3" t="str">
        <f t="shared" si="2"/>
        <v>정상</v>
      </c>
      <c r="L888" s="4">
        <v>35000.0</v>
      </c>
      <c r="M888" s="4">
        <v>35000.0</v>
      </c>
      <c r="N888" s="4">
        <v>0.0</v>
      </c>
    </row>
    <row r="889">
      <c r="A889" s="6">
        <v>1170.0</v>
      </c>
      <c r="B889" s="4" t="s">
        <v>1501</v>
      </c>
      <c r="C889" s="4" t="s">
        <v>3632</v>
      </c>
      <c r="D889" s="4" t="s">
        <v>3633</v>
      </c>
      <c r="E889" s="4">
        <v>680719.0</v>
      </c>
      <c r="F889" s="6">
        <v>1.0</v>
      </c>
      <c r="G889" s="4" t="s">
        <v>1021</v>
      </c>
      <c r="H889" s="4" t="s">
        <v>1021</v>
      </c>
      <c r="I889" s="4" t="s">
        <v>1021</v>
      </c>
      <c r="J889" s="4" t="str">
        <f t="shared" si="1"/>
        <v>정우석4800</v>
      </c>
      <c r="K889" s="3" t="str">
        <f t="shared" si="2"/>
        <v>정상</v>
      </c>
      <c r="L889" s="4">
        <v>35000.0</v>
      </c>
      <c r="M889" s="4">
        <v>35000.0</v>
      </c>
      <c r="N889" s="4">
        <v>0.0</v>
      </c>
    </row>
    <row r="890">
      <c r="A890" s="6">
        <v>664.0</v>
      </c>
      <c r="B890" s="4" t="s">
        <v>1100</v>
      </c>
      <c r="C890" s="4" t="s">
        <v>3634</v>
      </c>
      <c r="D890" s="4" t="s">
        <v>3635</v>
      </c>
      <c r="E890" s="4">
        <v>540301.0</v>
      </c>
      <c r="F890" s="6">
        <v>1.0</v>
      </c>
      <c r="G890" s="4" t="s">
        <v>1021</v>
      </c>
      <c r="H890" s="4" t="s">
        <v>1021</v>
      </c>
      <c r="I890" s="4" t="s">
        <v>1021</v>
      </c>
      <c r="J890" s="4" t="str">
        <f t="shared" si="1"/>
        <v>정정수4275</v>
      </c>
      <c r="K890" s="3" t="str">
        <f t="shared" si="2"/>
        <v>정상</v>
      </c>
      <c r="L890" s="4">
        <v>35000.0</v>
      </c>
      <c r="M890" s="4">
        <v>35000.0</v>
      </c>
      <c r="N890" s="4">
        <v>0.0</v>
      </c>
    </row>
    <row r="891">
      <c r="A891" s="6">
        <v>213.0</v>
      </c>
      <c r="B891" s="4" t="s">
        <v>1566</v>
      </c>
      <c r="C891" s="4" t="s">
        <v>3636</v>
      </c>
      <c r="D891" s="4" t="s">
        <v>3637</v>
      </c>
      <c r="E891" s="4">
        <v>880827.0</v>
      </c>
      <c r="F891" s="6">
        <v>1.0</v>
      </c>
      <c r="G891" s="4" t="s">
        <v>1021</v>
      </c>
      <c r="H891" s="4" t="s">
        <v>1021</v>
      </c>
      <c r="I891" s="4" t="s">
        <v>1021</v>
      </c>
      <c r="J891" s="4" t="str">
        <f t="shared" si="1"/>
        <v>정종권2732</v>
      </c>
      <c r="K891" s="3" t="str">
        <f t="shared" si="2"/>
        <v>정상</v>
      </c>
      <c r="L891" s="4">
        <v>35000.0</v>
      </c>
      <c r="M891" s="4">
        <v>35000.0</v>
      </c>
      <c r="N891" s="4">
        <v>0.0</v>
      </c>
    </row>
    <row r="892">
      <c r="A892" s="6">
        <v>1101.0</v>
      </c>
      <c r="B892" s="4" t="s">
        <v>1137</v>
      </c>
      <c r="C892" s="4" t="s">
        <v>3638</v>
      </c>
      <c r="D892" s="4" t="s">
        <v>3639</v>
      </c>
      <c r="E892" s="4">
        <v>551215.0</v>
      </c>
      <c r="F892" s="6">
        <v>1.0</v>
      </c>
      <c r="G892" s="4" t="s">
        <v>1021</v>
      </c>
      <c r="H892" s="4" t="s">
        <v>1021</v>
      </c>
      <c r="I892" s="4" t="s">
        <v>1021</v>
      </c>
      <c r="J892" s="4" t="str">
        <f t="shared" si="1"/>
        <v>정종월6336</v>
      </c>
      <c r="K892" s="3" t="str">
        <f t="shared" si="2"/>
        <v>정상</v>
      </c>
      <c r="L892" s="4">
        <v>35000.0</v>
      </c>
      <c r="M892" s="4">
        <v>35000.0</v>
      </c>
      <c r="N892" s="4">
        <v>0.0</v>
      </c>
    </row>
    <row r="893">
      <c r="A893" s="6">
        <v>932.0</v>
      </c>
      <c r="B893" s="4" t="s">
        <v>1001</v>
      </c>
      <c r="C893" s="4" t="s">
        <v>3640</v>
      </c>
      <c r="D893" s="4" t="s">
        <v>3641</v>
      </c>
      <c r="E893" s="4">
        <v>580321.0</v>
      </c>
      <c r="F893" s="6">
        <v>1.0</v>
      </c>
      <c r="G893" s="4" t="s">
        <v>1021</v>
      </c>
      <c r="H893" s="4" t="s">
        <v>1021</v>
      </c>
      <c r="I893" s="4" t="s">
        <v>1021</v>
      </c>
      <c r="J893" s="4" t="str">
        <f t="shared" si="1"/>
        <v>정중규9519</v>
      </c>
      <c r="K893" s="3" t="str">
        <f t="shared" si="2"/>
        <v>정상</v>
      </c>
      <c r="L893" s="4">
        <v>35000.0</v>
      </c>
      <c r="M893" s="4">
        <v>35000.0</v>
      </c>
      <c r="N893" s="4">
        <v>0.0</v>
      </c>
    </row>
    <row r="894">
      <c r="A894" s="6">
        <v>283.0</v>
      </c>
      <c r="B894" s="4" t="s">
        <v>1528</v>
      </c>
      <c r="C894" s="4" t="s">
        <v>3642</v>
      </c>
      <c r="D894" s="4" t="s">
        <v>3643</v>
      </c>
      <c r="E894" s="4">
        <v>10713.0</v>
      </c>
      <c r="F894" s="6">
        <v>1.0</v>
      </c>
      <c r="G894" s="4" t="s">
        <v>1021</v>
      </c>
      <c r="H894" s="4" t="s">
        <v>1021</v>
      </c>
      <c r="I894" s="4" t="s">
        <v>1021</v>
      </c>
      <c r="J894" s="4" t="str">
        <f t="shared" si="1"/>
        <v>정지니4662</v>
      </c>
      <c r="K894" s="3" t="str">
        <f t="shared" si="2"/>
        <v>정상</v>
      </c>
      <c r="L894" s="4">
        <v>35000.0</v>
      </c>
      <c r="M894" s="4">
        <v>35000.0</v>
      </c>
      <c r="N894" s="4">
        <v>0.0</v>
      </c>
    </row>
    <row r="895">
      <c r="A895" s="6">
        <v>692.0</v>
      </c>
      <c r="B895" s="4" t="s">
        <v>1245</v>
      </c>
      <c r="C895" s="4" t="s">
        <v>2790</v>
      </c>
      <c r="D895" s="4" t="s">
        <v>3644</v>
      </c>
      <c r="E895" s="4">
        <v>510920.0</v>
      </c>
      <c r="F895" s="6">
        <v>1.0</v>
      </c>
      <c r="G895" s="4" t="s">
        <v>1021</v>
      </c>
      <c r="H895" s="4" t="s">
        <v>1021</v>
      </c>
      <c r="I895" s="4" t="s">
        <v>1021</v>
      </c>
      <c r="J895" s="4" t="str">
        <f t="shared" si="1"/>
        <v>정해숙2942</v>
      </c>
      <c r="K895" s="3" t="str">
        <f t="shared" si="2"/>
        <v>정상</v>
      </c>
      <c r="L895" s="4">
        <v>35000.0</v>
      </c>
      <c r="M895" s="4">
        <v>35000.0</v>
      </c>
      <c r="N895" s="4">
        <v>0.0</v>
      </c>
    </row>
    <row r="896">
      <c r="A896" s="6">
        <v>586.0</v>
      </c>
      <c r="B896" s="4" t="s">
        <v>1372</v>
      </c>
      <c r="C896" s="4" t="s">
        <v>3645</v>
      </c>
      <c r="D896" s="4" t="s">
        <v>3646</v>
      </c>
      <c r="E896" s="4">
        <v>590209.0</v>
      </c>
      <c r="F896" s="6">
        <v>1.0</v>
      </c>
      <c r="G896" s="4" t="s">
        <v>1021</v>
      </c>
      <c r="H896" s="4" t="s">
        <v>1021</v>
      </c>
      <c r="I896" s="4" t="s">
        <v>1021</v>
      </c>
      <c r="J896" s="4" t="str">
        <f t="shared" si="1"/>
        <v>정혜경6199</v>
      </c>
      <c r="K896" s="3" t="str">
        <f t="shared" si="2"/>
        <v>정상</v>
      </c>
      <c r="L896" s="4">
        <v>35000.0</v>
      </c>
      <c r="M896" s="4">
        <v>35000.0</v>
      </c>
      <c r="N896" s="4">
        <v>0.0</v>
      </c>
    </row>
    <row r="897">
      <c r="A897" s="6">
        <v>966.0</v>
      </c>
      <c r="B897" s="4" t="s">
        <v>1547</v>
      </c>
      <c r="C897" s="4" t="s">
        <v>3647</v>
      </c>
      <c r="D897" s="4" t="s">
        <v>3648</v>
      </c>
      <c r="E897" s="4">
        <v>640201.0</v>
      </c>
      <c r="F897" s="6">
        <v>1.0</v>
      </c>
      <c r="G897" s="4" t="s">
        <v>1021</v>
      </c>
      <c r="H897" s="4" t="s">
        <v>1021</v>
      </c>
      <c r="I897" s="4" t="s">
        <v>1021</v>
      </c>
      <c r="J897" s="4" t="str">
        <f t="shared" si="1"/>
        <v>정혜숙1569</v>
      </c>
      <c r="K897" s="3" t="str">
        <f t="shared" si="2"/>
        <v>정상</v>
      </c>
      <c r="L897" s="4">
        <v>35000.0</v>
      </c>
      <c r="M897" s="4">
        <v>35000.0</v>
      </c>
      <c r="N897" s="4">
        <v>0.0</v>
      </c>
    </row>
    <row r="898">
      <c r="A898" s="6">
        <v>546.0</v>
      </c>
      <c r="B898" s="4" t="s">
        <v>1170</v>
      </c>
      <c r="C898" s="4" t="s">
        <v>3647</v>
      </c>
      <c r="D898" s="4" t="s">
        <v>3649</v>
      </c>
      <c r="E898" s="4">
        <v>551101.0</v>
      </c>
      <c r="F898" s="6">
        <v>1.0</v>
      </c>
      <c r="G898" s="4" t="s">
        <v>1021</v>
      </c>
      <c r="H898" s="4" t="s">
        <v>1021</v>
      </c>
      <c r="I898" s="4" t="s">
        <v>1021</v>
      </c>
      <c r="J898" s="4" t="str">
        <f t="shared" si="1"/>
        <v>정혜숙3083</v>
      </c>
      <c r="K898" s="3" t="str">
        <f t="shared" si="2"/>
        <v>정상</v>
      </c>
      <c r="L898" s="4">
        <v>35000.0</v>
      </c>
      <c r="M898" s="4">
        <v>35000.0</v>
      </c>
      <c r="N898" s="4">
        <v>0.0</v>
      </c>
    </row>
    <row r="899">
      <c r="A899" s="5">
        <v>1106.0</v>
      </c>
      <c r="B899" s="3" t="s">
        <v>1420</v>
      </c>
      <c r="C899" s="3" t="s">
        <v>3650</v>
      </c>
      <c r="D899" s="3" t="s">
        <v>3651</v>
      </c>
      <c r="E899" s="3">
        <v>480326.0</v>
      </c>
      <c r="F899" s="5">
        <v>1.0</v>
      </c>
      <c r="G899" s="3" t="s">
        <v>1021</v>
      </c>
      <c r="H899" s="3" t="s">
        <v>1021</v>
      </c>
      <c r="I899" s="3" t="s">
        <v>1021</v>
      </c>
      <c r="J899" s="4" t="str">
        <f t="shared" si="1"/>
        <v>정화진4683</v>
      </c>
      <c r="K899" s="3" t="str">
        <f t="shared" si="2"/>
        <v>정상</v>
      </c>
      <c r="L899" s="4">
        <v>35000.0</v>
      </c>
      <c r="M899" s="4">
        <v>35000.0</v>
      </c>
      <c r="N899" s="4">
        <v>0.0</v>
      </c>
    </row>
    <row r="900">
      <c r="A900" s="5">
        <v>855.0</v>
      </c>
      <c r="B900" s="3" t="s">
        <v>1967</v>
      </c>
      <c r="C900" s="3" t="s">
        <v>3652</v>
      </c>
      <c r="D900" s="3" t="s">
        <v>3653</v>
      </c>
      <c r="E900" s="3">
        <v>591020.0</v>
      </c>
      <c r="F900" s="5">
        <v>1.0</v>
      </c>
      <c r="G900" s="3" t="s">
        <v>1021</v>
      </c>
      <c r="H900" s="3" t="s">
        <v>1021</v>
      </c>
      <c r="I900" s="3" t="s">
        <v>1021</v>
      </c>
      <c r="J900" s="4" t="str">
        <f t="shared" si="1"/>
        <v>조경순0888</v>
      </c>
      <c r="K900" s="3" t="str">
        <f t="shared" si="2"/>
        <v>정상</v>
      </c>
      <c r="L900" s="4">
        <v>35000.0</v>
      </c>
      <c r="M900" s="4">
        <v>35000.0</v>
      </c>
      <c r="N900" s="4">
        <v>0.0</v>
      </c>
    </row>
    <row r="901">
      <c r="A901" s="6">
        <v>443.0</v>
      </c>
      <c r="B901" s="4" t="s">
        <v>1381</v>
      </c>
      <c r="C901" s="4" t="s">
        <v>3654</v>
      </c>
      <c r="D901" s="4" t="s">
        <v>3655</v>
      </c>
      <c r="E901" s="4">
        <v>570924.0</v>
      </c>
      <c r="F901" s="6">
        <v>1.0</v>
      </c>
      <c r="G901" s="4" t="s">
        <v>1021</v>
      </c>
      <c r="H901" s="4" t="s">
        <v>1021</v>
      </c>
      <c r="I901" s="4" t="s">
        <v>1021</v>
      </c>
      <c r="J901" s="4" t="str">
        <f t="shared" si="1"/>
        <v>조경옥0487</v>
      </c>
      <c r="K901" s="3" t="str">
        <f t="shared" si="2"/>
        <v>정상</v>
      </c>
      <c r="L901" s="4">
        <v>35000.0</v>
      </c>
      <c r="M901" s="4">
        <v>35000.0</v>
      </c>
      <c r="N901" s="4">
        <v>0.0</v>
      </c>
    </row>
    <row r="902">
      <c r="A902" s="6">
        <v>233.0</v>
      </c>
      <c r="B902" s="4" t="s">
        <v>1933</v>
      </c>
      <c r="C902" s="4" t="s">
        <v>3656</v>
      </c>
      <c r="D902" s="4" t="s">
        <v>3657</v>
      </c>
      <c r="E902" s="4">
        <v>801121.0</v>
      </c>
      <c r="F902" s="6">
        <v>1.0</v>
      </c>
      <c r="G902" s="4" t="s">
        <v>1021</v>
      </c>
      <c r="H902" s="4" t="s">
        <v>1021</v>
      </c>
      <c r="I902" s="4" t="s">
        <v>1021</v>
      </c>
      <c r="J902" s="4" t="str">
        <f t="shared" si="1"/>
        <v>조미경4639</v>
      </c>
      <c r="K902" s="3" t="str">
        <f t="shared" si="2"/>
        <v>정상</v>
      </c>
      <c r="L902" s="4">
        <v>35000.0</v>
      </c>
      <c r="M902" s="4">
        <v>35000.0</v>
      </c>
      <c r="N902" s="4">
        <v>0.0</v>
      </c>
    </row>
    <row r="903">
      <c r="A903" s="6">
        <v>1063.0</v>
      </c>
      <c r="B903" s="4" t="s">
        <v>1047</v>
      </c>
      <c r="C903" s="4" t="s">
        <v>3658</v>
      </c>
      <c r="D903" s="4" t="s">
        <v>3659</v>
      </c>
      <c r="E903" s="4">
        <v>591225.0</v>
      </c>
      <c r="F903" s="6">
        <v>1.0</v>
      </c>
      <c r="G903" s="4" t="s">
        <v>1021</v>
      </c>
      <c r="H903" s="4" t="s">
        <v>1021</v>
      </c>
      <c r="I903" s="4" t="s">
        <v>1021</v>
      </c>
      <c r="J903" s="4" t="str">
        <f t="shared" si="1"/>
        <v>조미자3495</v>
      </c>
      <c r="K903" s="3" t="str">
        <f t="shared" si="2"/>
        <v>정상</v>
      </c>
      <c r="L903" s="4">
        <v>35000.0</v>
      </c>
      <c r="M903" s="4">
        <v>35000.0</v>
      </c>
      <c r="N903" s="4">
        <v>0.0</v>
      </c>
    </row>
    <row r="904">
      <c r="A904" s="6">
        <v>1128.0</v>
      </c>
      <c r="B904" s="4" t="s">
        <v>1358</v>
      </c>
      <c r="C904" s="4" t="s">
        <v>3660</v>
      </c>
      <c r="D904" s="4" t="s">
        <v>3661</v>
      </c>
      <c r="E904" s="4">
        <v>571107.0</v>
      </c>
      <c r="F904" s="6">
        <v>1.0</v>
      </c>
      <c r="G904" s="4" t="s">
        <v>1021</v>
      </c>
      <c r="H904" s="4" t="s">
        <v>1021</v>
      </c>
      <c r="I904" s="4" t="s">
        <v>1021</v>
      </c>
      <c r="J904" s="4" t="str">
        <f t="shared" si="1"/>
        <v>조분자4107</v>
      </c>
      <c r="K904" s="3" t="str">
        <f t="shared" si="2"/>
        <v>정상</v>
      </c>
      <c r="L904" s="4">
        <v>35000.0</v>
      </c>
      <c r="M904" s="4">
        <v>35000.0</v>
      </c>
      <c r="N904" s="4">
        <v>0.0</v>
      </c>
    </row>
    <row r="905">
      <c r="A905" s="6">
        <v>1021.0</v>
      </c>
      <c r="B905" s="4" t="s">
        <v>1062</v>
      </c>
      <c r="C905" s="4" t="s">
        <v>3662</v>
      </c>
      <c r="D905" s="4" t="s">
        <v>3663</v>
      </c>
      <c r="E905" s="4">
        <v>650218.0</v>
      </c>
      <c r="F905" s="6">
        <v>1.0</v>
      </c>
      <c r="G905" s="4" t="s">
        <v>1021</v>
      </c>
      <c r="H905" s="4" t="s">
        <v>1021</v>
      </c>
      <c r="I905" s="4" t="s">
        <v>1021</v>
      </c>
      <c r="J905" s="4" t="str">
        <f t="shared" si="1"/>
        <v>조서영8791</v>
      </c>
      <c r="K905" s="3" t="str">
        <f t="shared" si="2"/>
        <v>정상</v>
      </c>
      <c r="L905" s="4">
        <v>35000.0</v>
      </c>
      <c r="M905" s="4">
        <v>35000.0</v>
      </c>
      <c r="N905" s="4">
        <v>0.0</v>
      </c>
    </row>
    <row r="906">
      <c r="A906" s="6">
        <v>624.0</v>
      </c>
      <c r="B906" s="4" t="s">
        <v>1142</v>
      </c>
      <c r="C906" s="4" t="s">
        <v>3664</v>
      </c>
      <c r="D906" s="4" t="s">
        <v>3665</v>
      </c>
      <c r="E906" s="4">
        <v>561127.0</v>
      </c>
      <c r="F906" s="6">
        <v>1.0</v>
      </c>
      <c r="G906" s="4" t="s">
        <v>1021</v>
      </c>
      <c r="H906" s="4" t="s">
        <v>1021</v>
      </c>
      <c r="I906" s="4" t="s">
        <v>1021</v>
      </c>
      <c r="J906" s="4" t="str">
        <f t="shared" si="1"/>
        <v>조세연6045</v>
      </c>
      <c r="K906" s="3" t="str">
        <f t="shared" si="2"/>
        <v>정상</v>
      </c>
      <c r="L906" s="4">
        <v>35000.0</v>
      </c>
      <c r="M906" s="4">
        <v>35000.0</v>
      </c>
      <c r="N906" s="4">
        <v>0.0</v>
      </c>
    </row>
    <row r="907">
      <c r="A907" s="6">
        <v>1212.0</v>
      </c>
      <c r="B907" s="4" t="s">
        <v>1454</v>
      </c>
      <c r="C907" s="4" t="s">
        <v>3666</v>
      </c>
      <c r="D907" s="4" t="s">
        <v>3667</v>
      </c>
      <c r="E907" s="4">
        <v>680921.0</v>
      </c>
      <c r="F907" s="6">
        <v>1.0</v>
      </c>
      <c r="G907" s="4" t="s">
        <v>1021</v>
      </c>
      <c r="H907" s="4" t="s">
        <v>1021</v>
      </c>
      <c r="I907" s="4" t="s">
        <v>1021</v>
      </c>
      <c r="J907" s="4" t="str">
        <f t="shared" si="1"/>
        <v>조소희8823</v>
      </c>
      <c r="K907" s="3" t="str">
        <f t="shared" si="2"/>
        <v>정상</v>
      </c>
      <c r="L907" s="4">
        <v>35000.0</v>
      </c>
      <c r="M907" s="4">
        <v>35000.0</v>
      </c>
      <c r="N907" s="4">
        <v>0.0</v>
      </c>
    </row>
    <row r="908">
      <c r="A908" s="6">
        <v>299.0</v>
      </c>
      <c r="B908" s="4" t="s">
        <v>1950</v>
      </c>
      <c r="C908" s="4" t="s">
        <v>3668</v>
      </c>
      <c r="D908" s="4" t="s">
        <v>3669</v>
      </c>
      <c r="E908" s="4">
        <v>761007.0</v>
      </c>
      <c r="F908" s="6">
        <v>1.0</v>
      </c>
      <c r="G908" s="4" t="s">
        <v>1021</v>
      </c>
      <c r="H908" s="4" t="s">
        <v>1021</v>
      </c>
      <c r="I908" s="4" t="s">
        <v>1021</v>
      </c>
      <c r="J908" s="4" t="str">
        <f t="shared" si="1"/>
        <v>조수경5581</v>
      </c>
      <c r="K908" s="3" t="str">
        <f t="shared" si="2"/>
        <v>정상</v>
      </c>
      <c r="L908" s="4">
        <v>35000.0</v>
      </c>
      <c r="M908" s="4">
        <v>35000.0</v>
      </c>
      <c r="N908" s="4">
        <v>0.0</v>
      </c>
    </row>
    <row r="909">
      <c r="A909" s="5">
        <v>1098.0</v>
      </c>
      <c r="B909" s="3" t="s">
        <v>1137</v>
      </c>
      <c r="C909" s="3" t="s">
        <v>3670</v>
      </c>
      <c r="D909" s="3" t="s">
        <v>3671</v>
      </c>
      <c r="E909" s="3">
        <v>571101.0</v>
      </c>
      <c r="F909" s="5">
        <v>1.0</v>
      </c>
      <c r="G909" s="3" t="s">
        <v>1021</v>
      </c>
      <c r="H909" s="3" t="s">
        <v>1021</v>
      </c>
      <c r="I909" s="3" t="s">
        <v>1021</v>
      </c>
      <c r="J909" s="4" t="str">
        <f t="shared" si="1"/>
        <v>조영미1088</v>
      </c>
      <c r="K909" s="3" t="str">
        <f t="shared" si="2"/>
        <v>정상</v>
      </c>
      <c r="L909" s="4">
        <v>35000.0</v>
      </c>
      <c r="M909" s="4">
        <v>35000.0</v>
      </c>
      <c r="N909" s="4">
        <v>0.0</v>
      </c>
    </row>
    <row r="910">
      <c r="A910" s="5">
        <v>729.0</v>
      </c>
      <c r="B910" s="3" t="s">
        <v>1335</v>
      </c>
      <c r="C910" s="3" t="s">
        <v>3672</v>
      </c>
      <c r="D910" s="3" t="s">
        <v>3673</v>
      </c>
      <c r="E910" s="3">
        <v>620315.0</v>
      </c>
      <c r="F910" s="5">
        <v>1.0</v>
      </c>
      <c r="G910" s="3" t="s">
        <v>1021</v>
      </c>
      <c r="H910" s="3" t="s">
        <v>1021</v>
      </c>
      <c r="I910" s="3" t="s">
        <v>1021</v>
      </c>
      <c r="J910" s="4" t="str">
        <f t="shared" si="1"/>
        <v>조영희5700</v>
      </c>
      <c r="K910" s="3" t="str">
        <f t="shared" si="2"/>
        <v>정상</v>
      </c>
      <c r="L910" s="4">
        <v>35000.0</v>
      </c>
      <c r="M910" s="4">
        <v>35000.0</v>
      </c>
      <c r="N910" s="4">
        <v>0.0</v>
      </c>
    </row>
    <row r="911">
      <c r="A911" s="6">
        <v>541.0</v>
      </c>
      <c r="B911" s="4" t="s">
        <v>1713</v>
      </c>
      <c r="C911" s="4" t="s">
        <v>3674</v>
      </c>
      <c r="D911" s="4" t="s">
        <v>3675</v>
      </c>
      <c r="E911" s="4">
        <v>550910.0</v>
      </c>
      <c r="F911" s="6">
        <v>1.0</v>
      </c>
      <c r="G911" s="4" t="s">
        <v>1021</v>
      </c>
      <c r="H911" s="4" t="s">
        <v>1021</v>
      </c>
      <c r="I911" s="4" t="s">
        <v>1021</v>
      </c>
      <c r="J911" s="4" t="str">
        <f t="shared" si="1"/>
        <v>조월중6422</v>
      </c>
      <c r="K911" s="3" t="str">
        <f t="shared" si="2"/>
        <v>정상</v>
      </c>
      <c r="L911" s="4">
        <v>35000.0</v>
      </c>
      <c r="M911" s="4">
        <v>35000.0</v>
      </c>
      <c r="N911" s="4">
        <v>0.0</v>
      </c>
    </row>
    <row r="912">
      <c r="A912" s="6">
        <v>1134.0</v>
      </c>
      <c r="B912" s="4" t="s">
        <v>2053</v>
      </c>
      <c r="C912" s="4" t="s">
        <v>2263</v>
      </c>
      <c r="D912" s="4" t="s">
        <v>3676</v>
      </c>
      <c r="E912" s="4">
        <v>760723.0</v>
      </c>
      <c r="F912" s="6">
        <v>1.0</v>
      </c>
      <c r="G912" s="4" t="s">
        <v>1021</v>
      </c>
      <c r="H912" s="4" t="s">
        <v>1021</v>
      </c>
      <c r="I912" s="4" t="s">
        <v>1021</v>
      </c>
      <c r="J912" s="4" t="str">
        <f t="shared" si="1"/>
        <v>조윤경0052</v>
      </c>
      <c r="K912" s="3" t="str">
        <f t="shared" si="2"/>
        <v>정상</v>
      </c>
      <c r="L912" s="4">
        <v>35000.0</v>
      </c>
      <c r="M912" s="4">
        <v>35000.0</v>
      </c>
      <c r="N912" s="4">
        <v>0.0</v>
      </c>
    </row>
    <row r="913">
      <c r="A913" s="5">
        <v>1207.0</v>
      </c>
      <c r="B913" s="3" t="s">
        <v>1454</v>
      </c>
      <c r="C913" s="3" t="s">
        <v>3677</v>
      </c>
      <c r="D913" s="3" t="s">
        <v>3678</v>
      </c>
      <c r="E913" s="3">
        <v>650806.0</v>
      </c>
      <c r="F913" s="5">
        <v>1.0</v>
      </c>
      <c r="G913" s="3" t="s">
        <v>1021</v>
      </c>
      <c r="H913" s="3" t="s">
        <v>1021</v>
      </c>
      <c r="I913" s="3" t="s">
        <v>1021</v>
      </c>
      <c r="J913" s="4" t="str">
        <f t="shared" si="1"/>
        <v>조은경7963</v>
      </c>
      <c r="K913" s="3" t="str">
        <f t="shared" si="2"/>
        <v>정상</v>
      </c>
      <c r="L913" s="4">
        <v>35000.0</v>
      </c>
      <c r="M913" s="4">
        <v>35000.0</v>
      </c>
      <c r="N913" s="4">
        <v>0.0</v>
      </c>
    </row>
    <row r="914">
      <c r="A914" s="6">
        <v>375.0</v>
      </c>
      <c r="B914" s="4" t="s">
        <v>1086</v>
      </c>
      <c r="C914" s="4" t="s">
        <v>3679</v>
      </c>
      <c r="D914" s="4" t="s">
        <v>3680</v>
      </c>
      <c r="E914" s="4">
        <v>740310.0</v>
      </c>
      <c r="F914" s="6">
        <v>1.0</v>
      </c>
      <c r="G914" s="4" t="s">
        <v>1021</v>
      </c>
      <c r="H914" s="4" t="s">
        <v>1021</v>
      </c>
      <c r="I914" s="4" t="s">
        <v>1021</v>
      </c>
      <c r="J914" s="4" t="str">
        <f t="shared" si="1"/>
        <v>조정주2200</v>
      </c>
      <c r="K914" s="3" t="str">
        <f t="shared" si="2"/>
        <v>정상</v>
      </c>
      <c r="L914" s="4">
        <v>35000.0</v>
      </c>
      <c r="M914" s="4">
        <v>35000.0</v>
      </c>
      <c r="N914" s="4">
        <v>0.0</v>
      </c>
    </row>
    <row r="915">
      <c r="A915" s="5">
        <v>1109.0</v>
      </c>
      <c r="B915" s="3" t="s">
        <v>1420</v>
      </c>
      <c r="C915" s="3" t="s">
        <v>1521</v>
      </c>
      <c r="D915" s="3" t="s">
        <v>3681</v>
      </c>
      <c r="E915" s="3">
        <v>620322.0</v>
      </c>
      <c r="F915" s="5">
        <v>1.0</v>
      </c>
      <c r="G915" s="3" t="s">
        <v>1021</v>
      </c>
      <c r="H915" s="3" t="s">
        <v>1021</v>
      </c>
      <c r="I915" s="3" t="s">
        <v>1021</v>
      </c>
      <c r="J915" s="4" t="str">
        <f t="shared" si="1"/>
        <v>조정희2248</v>
      </c>
      <c r="K915" s="3" t="str">
        <f t="shared" si="2"/>
        <v>정상</v>
      </c>
      <c r="L915" s="4">
        <v>35000.0</v>
      </c>
      <c r="M915" s="4">
        <v>35000.0</v>
      </c>
      <c r="N915" s="4">
        <v>0.0</v>
      </c>
    </row>
    <row r="916">
      <c r="A916" s="6">
        <v>312.0</v>
      </c>
      <c r="B916" s="4" t="s">
        <v>2123</v>
      </c>
      <c r="C916" s="4" t="s">
        <v>3682</v>
      </c>
      <c r="D916" s="4" t="s">
        <v>3683</v>
      </c>
      <c r="E916" s="4">
        <v>560902.0</v>
      </c>
      <c r="F916" s="6">
        <v>1.0</v>
      </c>
      <c r="G916" s="4" t="s">
        <v>1021</v>
      </c>
      <c r="H916" s="4" t="s">
        <v>1021</v>
      </c>
      <c r="I916" s="4" t="s">
        <v>1021</v>
      </c>
      <c r="J916" s="4" t="str">
        <f t="shared" si="1"/>
        <v>조철래8040</v>
      </c>
      <c r="K916" s="3" t="str">
        <f t="shared" si="2"/>
        <v>정상</v>
      </c>
      <c r="L916" s="4">
        <v>35000.0</v>
      </c>
      <c r="M916" s="4">
        <v>35000.0</v>
      </c>
      <c r="N916" s="4">
        <v>0.0</v>
      </c>
    </row>
    <row r="917">
      <c r="A917" s="6">
        <v>1177.0</v>
      </c>
      <c r="B917" s="4" t="s">
        <v>1471</v>
      </c>
      <c r="C917" s="4" t="s">
        <v>3684</v>
      </c>
      <c r="D917" s="4" t="s">
        <v>3685</v>
      </c>
      <c r="E917" s="4">
        <v>641120.0</v>
      </c>
      <c r="F917" s="6">
        <v>1.0</v>
      </c>
      <c r="G917" s="4" t="s">
        <v>1021</v>
      </c>
      <c r="H917" s="4" t="s">
        <v>1021</v>
      </c>
      <c r="I917" s="4" t="s">
        <v>1021</v>
      </c>
      <c r="J917" s="4" t="str">
        <f t="shared" si="1"/>
        <v>조혜란7266</v>
      </c>
      <c r="K917" s="3" t="str">
        <f t="shared" si="2"/>
        <v>정상</v>
      </c>
      <c r="L917" s="4">
        <v>35000.0</v>
      </c>
      <c r="M917" s="4">
        <v>35000.0</v>
      </c>
      <c r="N917" s="4">
        <v>0.0</v>
      </c>
    </row>
    <row r="918">
      <c r="A918" s="5">
        <v>1132.0</v>
      </c>
      <c r="B918" s="3" t="s">
        <v>2053</v>
      </c>
      <c r="C918" s="3" t="s">
        <v>3686</v>
      </c>
      <c r="D918" s="3" t="s">
        <v>3687</v>
      </c>
      <c r="E918" s="3">
        <v>710321.0</v>
      </c>
      <c r="F918" s="5">
        <v>1.0</v>
      </c>
      <c r="G918" s="3" t="s">
        <v>1021</v>
      </c>
      <c r="H918" s="3" t="s">
        <v>1021</v>
      </c>
      <c r="I918" s="3" t="s">
        <v>1021</v>
      </c>
      <c r="J918" s="4" t="str">
        <f t="shared" si="1"/>
        <v>조혜원1088</v>
      </c>
      <c r="K918" s="3" t="str">
        <f t="shared" si="2"/>
        <v>정상</v>
      </c>
      <c r="L918" s="4">
        <v>35000.0</v>
      </c>
      <c r="M918" s="4">
        <v>35000.0</v>
      </c>
      <c r="N918" s="4">
        <v>0.0</v>
      </c>
    </row>
    <row r="919">
      <c r="A919" s="5">
        <v>640.0</v>
      </c>
      <c r="B919" s="3" t="s">
        <v>1007</v>
      </c>
      <c r="C919" s="3" t="s">
        <v>3688</v>
      </c>
      <c r="D919" s="3" t="s">
        <v>3689</v>
      </c>
      <c r="E919" s="3">
        <v>800121.0</v>
      </c>
      <c r="F919" s="5">
        <v>1.0</v>
      </c>
      <c r="G919" s="3" t="s">
        <v>1021</v>
      </c>
      <c r="H919" s="3" t="s">
        <v>1021</v>
      </c>
      <c r="I919" s="3" t="s">
        <v>1021</v>
      </c>
      <c r="J919" s="4" t="str">
        <f t="shared" si="1"/>
        <v>조희진3990</v>
      </c>
      <c r="K919" s="3" t="str">
        <f t="shared" si="2"/>
        <v>정상</v>
      </c>
      <c r="L919" s="4">
        <v>35000.0</v>
      </c>
      <c r="M919" s="4">
        <v>35000.0</v>
      </c>
      <c r="N919" s="4">
        <v>0.0</v>
      </c>
    </row>
    <row r="920">
      <c r="A920" s="5">
        <v>974.0</v>
      </c>
      <c r="B920" s="3" t="s">
        <v>1488</v>
      </c>
      <c r="C920" s="3" t="s">
        <v>3690</v>
      </c>
      <c r="D920" s="3" t="s">
        <v>3691</v>
      </c>
      <c r="E920" s="3">
        <v>571225.0</v>
      </c>
      <c r="F920" s="5">
        <v>1.0</v>
      </c>
      <c r="G920" s="3" t="s">
        <v>1021</v>
      </c>
      <c r="H920" s="3" t="s">
        <v>1021</v>
      </c>
      <c r="I920" s="3" t="s">
        <v>1021</v>
      </c>
      <c r="J920" s="4" t="str">
        <f t="shared" si="1"/>
        <v>주순복3132</v>
      </c>
      <c r="K920" s="3" t="str">
        <f t="shared" si="2"/>
        <v>정상</v>
      </c>
      <c r="L920" s="4">
        <v>35000.0</v>
      </c>
      <c r="M920" s="4">
        <v>35000.0</v>
      </c>
      <c r="N920" s="4">
        <v>0.0</v>
      </c>
    </row>
    <row r="921">
      <c r="A921" s="5">
        <v>1222.0</v>
      </c>
      <c r="B921" s="3" t="s">
        <v>1071</v>
      </c>
      <c r="C921" s="3" t="s">
        <v>3692</v>
      </c>
      <c r="D921" s="3" t="s">
        <v>3693</v>
      </c>
      <c r="E921" s="3">
        <v>540215.0</v>
      </c>
      <c r="F921" s="5">
        <v>1.0</v>
      </c>
      <c r="G921" s="3" t="s">
        <v>1021</v>
      </c>
      <c r="H921" s="3" t="s">
        <v>1021</v>
      </c>
      <c r="I921" s="3" t="s">
        <v>1021</v>
      </c>
      <c r="J921" s="4" t="str">
        <f t="shared" si="1"/>
        <v>진양희3381</v>
      </c>
      <c r="K921" s="3" t="str">
        <f t="shared" si="2"/>
        <v>정상</v>
      </c>
      <c r="L921" s="4">
        <v>35000.0</v>
      </c>
      <c r="M921" s="4">
        <v>35000.0</v>
      </c>
      <c r="N921" s="4">
        <v>0.0</v>
      </c>
      <c r="O921" s="3"/>
      <c r="P921" s="3"/>
      <c r="Q921" s="3"/>
    </row>
    <row r="922">
      <c r="A922" s="6">
        <v>877.0</v>
      </c>
      <c r="B922" s="4" t="s">
        <v>1621</v>
      </c>
      <c r="C922" s="4" t="s">
        <v>3694</v>
      </c>
      <c r="D922" s="4" t="s">
        <v>3695</v>
      </c>
      <c r="E922" s="4">
        <v>600201.0</v>
      </c>
      <c r="F922" s="6">
        <v>1.0</v>
      </c>
      <c r="G922" s="4" t="s">
        <v>1021</v>
      </c>
      <c r="H922" s="4" t="s">
        <v>1021</v>
      </c>
      <c r="I922" s="4" t="s">
        <v>1021</v>
      </c>
      <c r="J922" s="4" t="str">
        <f t="shared" si="1"/>
        <v>차서현3720</v>
      </c>
      <c r="K922" s="3" t="str">
        <f t="shared" si="2"/>
        <v>정상</v>
      </c>
      <c r="L922" s="4">
        <v>35000.0</v>
      </c>
      <c r="M922" s="4">
        <v>35000.0</v>
      </c>
      <c r="N922" s="4">
        <v>0.0</v>
      </c>
      <c r="O922" s="3"/>
      <c r="P922" s="3"/>
      <c r="Q922" s="3"/>
    </row>
    <row r="923">
      <c r="A923" s="6">
        <v>533.0</v>
      </c>
      <c r="B923" s="4" t="s">
        <v>2544</v>
      </c>
      <c r="C923" s="4" t="s">
        <v>3696</v>
      </c>
      <c r="D923" s="4" t="s">
        <v>3697</v>
      </c>
      <c r="E923" s="4">
        <v>650915.0</v>
      </c>
      <c r="F923" s="6">
        <v>1.0</v>
      </c>
      <c r="G923" s="4" t="s">
        <v>1021</v>
      </c>
      <c r="H923" s="4" t="s">
        <v>1021</v>
      </c>
      <c r="I923" s="4" t="s">
        <v>1021</v>
      </c>
      <c r="J923" s="4" t="str">
        <f t="shared" si="1"/>
        <v>차성희6260</v>
      </c>
      <c r="K923" s="3" t="str">
        <f t="shared" si="2"/>
        <v>정상</v>
      </c>
      <c r="L923" s="4">
        <v>35000.0</v>
      </c>
      <c r="M923" s="4">
        <v>35000.0</v>
      </c>
      <c r="N923" s="4">
        <v>0.0</v>
      </c>
    </row>
    <row r="924">
      <c r="A924" s="6">
        <v>343.0</v>
      </c>
      <c r="B924" s="4" t="s">
        <v>1052</v>
      </c>
      <c r="C924" s="4" t="s">
        <v>3698</v>
      </c>
      <c r="D924" s="4" t="s">
        <v>3699</v>
      </c>
      <c r="E924" s="4">
        <v>671201.0</v>
      </c>
      <c r="F924" s="6">
        <v>1.0</v>
      </c>
      <c r="G924" s="4" t="s">
        <v>1021</v>
      </c>
      <c r="H924" s="4" t="s">
        <v>1021</v>
      </c>
      <c r="I924" s="4" t="s">
        <v>1021</v>
      </c>
      <c r="J924" s="4" t="str">
        <f t="shared" si="1"/>
        <v>채연옥5539</v>
      </c>
      <c r="K924" s="3" t="str">
        <f t="shared" si="2"/>
        <v>정상</v>
      </c>
      <c r="L924" s="4">
        <v>35000.0</v>
      </c>
      <c r="M924" s="4">
        <v>35000.0</v>
      </c>
      <c r="N924" s="4">
        <v>0.0</v>
      </c>
      <c r="O924" s="3"/>
      <c r="P924" s="3"/>
      <c r="Q924" s="3"/>
    </row>
    <row r="925">
      <c r="A925" s="6">
        <v>716.0</v>
      </c>
      <c r="B925" s="4" t="s">
        <v>2234</v>
      </c>
      <c r="C925" s="4" t="s">
        <v>3700</v>
      </c>
      <c r="D925" s="4" t="s">
        <v>3701</v>
      </c>
      <c r="E925" s="4">
        <v>610820.0</v>
      </c>
      <c r="F925" s="6">
        <v>1.0</v>
      </c>
      <c r="G925" s="4" t="s">
        <v>1021</v>
      </c>
      <c r="H925" s="4" t="s">
        <v>1021</v>
      </c>
      <c r="I925" s="4" t="s">
        <v>1021</v>
      </c>
      <c r="J925" s="4" t="str">
        <f t="shared" si="1"/>
        <v>천순선7121</v>
      </c>
      <c r="K925" s="3" t="str">
        <f t="shared" si="2"/>
        <v>정상</v>
      </c>
      <c r="L925" s="4">
        <v>35000.0</v>
      </c>
      <c r="M925" s="4">
        <v>35000.0</v>
      </c>
      <c r="N925" s="4">
        <v>0.0</v>
      </c>
      <c r="O925" s="3"/>
      <c r="P925" s="3"/>
      <c r="Q925" s="3"/>
    </row>
    <row r="926">
      <c r="A926" s="5">
        <v>517.0</v>
      </c>
      <c r="B926" s="3" t="s">
        <v>1349</v>
      </c>
      <c r="C926" s="3" t="s">
        <v>3702</v>
      </c>
      <c r="D926" s="3" t="s">
        <v>3703</v>
      </c>
      <c r="E926" s="3">
        <v>580525.0</v>
      </c>
      <c r="F926" s="5">
        <v>1.0</v>
      </c>
      <c r="G926" s="3" t="s">
        <v>1021</v>
      </c>
      <c r="H926" s="3" t="s">
        <v>1021</v>
      </c>
      <c r="I926" s="3" t="s">
        <v>1021</v>
      </c>
      <c r="J926" s="4" t="str">
        <f t="shared" si="1"/>
        <v>최말경3739</v>
      </c>
      <c r="K926" s="3" t="str">
        <f t="shared" si="2"/>
        <v>정상</v>
      </c>
      <c r="L926" s="4">
        <v>35000.0</v>
      </c>
      <c r="M926" s="4">
        <v>35000.0</v>
      </c>
      <c r="N926" s="4">
        <v>0.0</v>
      </c>
    </row>
    <row r="927">
      <c r="A927" s="6">
        <v>985.0</v>
      </c>
      <c r="B927" s="4" t="s">
        <v>1022</v>
      </c>
      <c r="C927" s="4" t="s">
        <v>3704</v>
      </c>
      <c r="D927" s="4" t="s">
        <v>3705</v>
      </c>
      <c r="E927" s="4">
        <v>490808.0</v>
      </c>
      <c r="F927" s="6">
        <v>1.0</v>
      </c>
      <c r="G927" s="4" t="s">
        <v>1021</v>
      </c>
      <c r="H927" s="4" t="s">
        <v>1021</v>
      </c>
      <c r="I927" s="4" t="s">
        <v>1021</v>
      </c>
      <c r="J927" s="4" t="str">
        <f t="shared" si="1"/>
        <v>최미자5066</v>
      </c>
      <c r="K927" s="3" t="str">
        <f t="shared" si="2"/>
        <v>정상</v>
      </c>
      <c r="L927" s="4">
        <v>35000.0</v>
      </c>
      <c r="M927" s="4">
        <v>35000.0</v>
      </c>
      <c r="N927" s="4">
        <v>0.0</v>
      </c>
    </row>
    <row r="928">
      <c r="A928" s="5">
        <v>714.0</v>
      </c>
      <c r="B928" s="3" t="s">
        <v>2234</v>
      </c>
      <c r="C928" s="3" t="s">
        <v>3706</v>
      </c>
      <c r="D928" s="3" t="s">
        <v>3707</v>
      </c>
      <c r="E928" s="3">
        <v>690429.0</v>
      </c>
      <c r="F928" s="5">
        <v>1.0</v>
      </c>
      <c r="G928" s="3" t="s">
        <v>1021</v>
      </c>
      <c r="H928" s="3" t="s">
        <v>1021</v>
      </c>
      <c r="I928" s="3" t="s">
        <v>1021</v>
      </c>
      <c r="J928" s="4" t="str">
        <f t="shared" si="1"/>
        <v>최병숙5193</v>
      </c>
      <c r="K928" s="3" t="str">
        <f t="shared" si="2"/>
        <v>정상</v>
      </c>
      <c r="L928" s="4">
        <v>35000.0</v>
      </c>
      <c r="M928" s="4">
        <v>35000.0</v>
      </c>
      <c r="N928" s="4">
        <v>0.0</v>
      </c>
    </row>
    <row r="929">
      <c r="A929" s="6">
        <v>352.0</v>
      </c>
      <c r="B929" s="4" t="s">
        <v>1032</v>
      </c>
      <c r="C929" s="4" t="s">
        <v>3708</v>
      </c>
      <c r="D929" s="4" t="s">
        <v>3709</v>
      </c>
      <c r="E929" s="4">
        <v>840424.0</v>
      </c>
      <c r="F929" s="6">
        <v>1.0</v>
      </c>
      <c r="G929" s="4" t="s">
        <v>1021</v>
      </c>
      <c r="H929" s="4" t="s">
        <v>1021</v>
      </c>
      <c r="I929" s="4" t="s">
        <v>1021</v>
      </c>
      <c r="J929" s="4" t="str">
        <f t="shared" si="1"/>
        <v>최서원0704</v>
      </c>
      <c r="K929" s="3" t="str">
        <f t="shared" si="2"/>
        <v>정상</v>
      </c>
      <c r="L929" s="4">
        <v>35000.0</v>
      </c>
      <c r="M929" s="4">
        <v>35000.0</v>
      </c>
      <c r="N929" s="4">
        <v>0.0</v>
      </c>
    </row>
    <row r="930">
      <c r="A930" s="6">
        <v>294.0</v>
      </c>
      <c r="B930" s="4" t="s">
        <v>1636</v>
      </c>
      <c r="C930" s="4" t="s">
        <v>3710</v>
      </c>
      <c r="D930" s="4" t="s">
        <v>3711</v>
      </c>
      <c r="E930" s="4">
        <v>830717.0</v>
      </c>
      <c r="F930" s="6">
        <v>1.0</v>
      </c>
      <c r="G930" s="4" t="s">
        <v>1021</v>
      </c>
      <c r="H930" s="4" t="s">
        <v>1021</v>
      </c>
      <c r="I930" s="4" t="s">
        <v>1021</v>
      </c>
      <c r="J930" s="4" t="str">
        <f t="shared" si="1"/>
        <v>최선앵8318</v>
      </c>
      <c r="K930" s="3" t="str">
        <f t="shared" si="2"/>
        <v>정상</v>
      </c>
      <c r="L930" s="4">
        <v>35000.0</v>
      </c>
      <c r="M930" s="4">
        <v>35000.0</v>
      </c>
      <c r="N930" s="4">
        <v>0.0</v>
      </c>
    </row>
    <row r="931">
      <c r="A931" s="5">
        <v>479.0</v>
      </c>
      <c r="B931" s="3" t="s">
        <v>1042</v>
      </c>
      <c r="C931" s="3" t="s">
        <v>3712</v>
      </c>
      <c r="D931" s="3" t="s">
        <v>3713</v>
      </c>
      <c r="E931" s="3">
        <v>510513.0</v>
      </c>
      <c r="F931" s="5">
        <v>1.0</v>
      </c>
      <c r="G931" s="3" t="s">
        <v>1021</v>
      </c>
      <c r="H931" s="3" t="s">
        <v>1021</v>
      </c>
      <c r="I931" s="3" t="s">
        <v>1021</v>
      </c>
      <c r="J931" s="4" t="str">
        <f t="shared" si="1"/>
        <v>최순옥5724</v>
      </c>
      <c r="K931" s="3" t="str">
        <f t="shared" si="2"/>
        <v>정상</v>
      </c>
      <c r="L931" s="4">
        <v>35000.0</v>
      </c>
      <c r="M931" s="4">
        <v>35000.0</v>
      </c>
      <c r="N931" s="4">
        <v>0.0</v>
      </c>
    </row>
    <row r="932">
      <c r="A932" s="6">
        <v>532.0</v>
      </c>
      <c r="B932" s="4" t="s">
        <v>2544</v>
      </c>
      <c r="C932" s="4" t="s">
        <v>3714</v>
      </c>
      <c r="D932" s="4" t="s">
        <v>3715</v>
      </c>
      <c r="E932" s="4">
        <v>520621.0</v>
      </c>
      <c r="F932" s="6">
        <v>1.0</v>
      </c>
      <c r="G932" s="4" t="s">
        <v>1021</v>
      </c>
      <c r="H932" s="4" t="s">
        <v>1021</v>
      </c>
      <c r="I932" s="4" t="s">
        <v>1021</v>
      </c>
      <c r="J932" s="4" t="str">
        <f t="shared" si="1"/>
        <v>최순화6740</v>
      </c>
      <c r="K932" s="3" t="str">
        <f t="shared" si="2"/>
        <v>정상</v>
      </c>
      <c r="L932" s="4">
        <v>35000.0</v>
      </c>
      <c r="M932" s="4">
        <v>35000.0</v>
      </c>
      <c r="N932" s="4">
        <v>0.0</v>
      </c>
    </row>
    <row r="933">
      <c r="A933" s="6">
        <v>1013.0</v>
      </c>
      <c r="B933" s="4" t="s">
        <v>1269</v>
      </c>
      <c r="C933" s="4" t="s">
        <v>1241</v>
      </c>
      <c r="D933" s="4" t="s">
        <v>3716</v>
      </c>
      <c r="E933" s="4">
        <v>661116.0</v>
      </c>
      <c r="F933" s="6">
        <v>1.0</v>
      </c>
      <c r="G933" s="4" t="s">
        <v>1021</v>
      </c>
      <c r="H933" s="4" t="s">
        <v>1021</v>
      </c>
      <c r="I933" s="4" t="s">
        <v>1021</v>
      </c>
      <c r="J933" s="4" t="str">
        <f t="shared" si="1"/>
        <v>최영미9447</v>
      </c>
      <c r="K933" s="3" t="str">
        <f t="shared" si="2"/>
        <v>정상</v>
      </c>
      <c r="L933" s="4">
        <v>35000.0</v>
      </c>
      <c r="M933" s="4">
        <v>35000.0</v>
      </c>
      <c r="N933" s="4">
        <v>0.0</v>
      </c>
    </row>
    <row r="934">
      <c r="A934" s="6">
        <v>366.0</v>
      </c>
      <c r="B934" s="4" t="s">
        <v>1086</v>
      </c>
      <c r="C934" s="4" t="s">
        <v>3717</v>
      </c>
      <c r="D934" s="4" t="s">
        <v>3718</v>
      </c>
      <c r="E934" s="4">
        <v>591215.0</v>
      </c>
      <c r="F934" s="6">
        <v>1.0</v>
      </c>
      <c r="G934" s="4" t="s">
        <v>1021</v>
      </c>
      <c r="H934" s="4" t="s">
        <v>1021</v>
      </c>
      <c r="I934" s="4" t="s">
        <v>1021</v>
      </c>
      <c r="J934" s="4" t="str">
        <f t="shared" si="1"/>
        <v>최영옥7941</v>
      </c>
      <c r="K934" s="3" t="str">
        <f t="shared" si="2"/>
        <v>정상</v>
      </c>
      <c r="L934" s="4">
        <v>35000.0</v>
      </c>
      <c r="M934" s="4">
        <v>35000.0</v>
      </c>
      <c r="N934" s="4">
        <v>0.0</v>
      </c>
    </row>
    <row r="935">
      <c r="A935" s="6">
        <v>147.0</v>
      </c>
      <c r="B935" s="4" t="s">
        <v>996</v>
      </c>
      <c r="C935" s="4" t="s">
        <v>3719</v>
      </c>
      <c r="D935" s="4" t="s">
        <v>3720</v>
      </c>
      <c r="E935" s="4">
        <v>840210.0</v>
      </c>
      <c r="F935" s="6">
        <v>1.0</v>
      </c>
      <c r="G935" s="4" t="s">
        <v>1021</v>
      </c>
      <c r="H935" s="4" t="s">
        <v>1021</v>
      </c>
      <c r="I935" s="4" t="s">
        <v>1021</v>
      </c>
      <c r="J935" s="4" t="str">
        <f t="shared" si="1"/>
        <v>최윤미8775</v>
      </c>
      <c r="K935" s="3" t="str">
        <f t="shared" si="2"/>
        <v>정상</v>
      </c>
      <c r="L935" s="4">
        <v>35000.0</v>
      </c>
      <c r="M935" s="4">
        <v>35000.0</v>
      </c>
      <c r="N935" s="4">
        <v>0.0</v>
      </c>
    </row>
    <row r="936">
      <c r="A936" s="6">
        <v>1064.0</v>
      </c>
      <c r="B936" s="4" t="s">
        <v>1047</v>
      </c>
      <c r="C936" s="4" t="s">
        <v>3721</v>
      </c>
      <c r="D936" s="4" t="s">
        <v>3722</v>
      </c>
      <c r="E936" s="4">
        <v>730415.0</v>
      </c>
      <c r="F936" s="6">
        <v>1.0</v>
      </c>
      <c r="G936" s="4" t="s">
        <v>1021</v>
      </c>
      <c r="H936" s="4" t="s">
        <v>1021</v>
      </c>
      <c r="I936" s="4" t="s">
        <v>1021</v>
      </c>
      <c r="J936" s="4" t="str">
        <f t="shared" si="1"/>
        <v>최은정3459</v>
      </c>
      <c r="K936" s="3" t="str">
        <f t="shared" si="2"/>
        <v>정상</v>
      </c>
      <c r="L936" s="4">
        <v>35000.0</v>
      </c>
      <c r="M936" s="4">
        <v>35000.0</v>
      </c>
      <c r="N936" s="4">
        <v>0.0</v>
      </c>
    </row>
    <row r="937">
      <c r="A937" s="6">
        <v>719.0</v>
      </c>
      <c r="B937" s="4" t="s">
        <v>2234</v>
      </c>
      <c r="C937" s="4" t="s">
        <v>3723</v>
      </c>
      <c r="D937" s="4" t="s">
        <v>3724</v>
      </c>
      <c r="E937" s="4">
        <v>730113.0</v>
      </c>
      <c r="F937" s="6">
        <v>1.0</v>
      </c>
      <c r="G937" s="4" t="s">
        <v>1021</v>
      </c>
      <c r="H937" s="4" t="s">
        <v>1021</v>
      </c>
      <c r="I937" s="4" t="s">
        <v>1021</v>
      </c>
      <c r="J937" s="4" t="str">
        <f t="shared" si="1"/>
        <v>최인형0221</v>
      </c>
      <c r="K937" s="3" t="str">
        <f t="shared" si="2"/>
        <v>정상</v>
      </c>
      <c r="L937" s="4">
        <v>35000.0</v>
      </c>
      <c r="M937" s="4">
        <v>35000.0</v>
      </c>
      <c r="N937" s="4">
        <v>0.0</v>
      </c>
    </row>
    <row r="938">
      <c r="A938" s="5">
        <v>1168.0</v>
      </c>
      <c r="B938" s="3" t="s">
        <v>1501</v>
      </c>
      <c r="C938" s="3" t="s">
        <v>3725</v>
      </c>
      <c r="D938" s="3" t="s">
        <v>3726</v>
      </c>
      <c r="E938" s="3">
        <v>581027.0</v>
      </c>
      <c r="F938" s="5">
        <v>1.0</v>
      </c>
      <c r="G938" s="3" t="s">
        <v>1021</v>
      </c>
      <c r="H938" s="3" t="s">
        <v>1021</v>
      </c>
      <c r="I938" s="3" t="s">
        <v>1021</v>
      </c>
      <c r="J938" s="4" t="str">
        <f t="shared" si="1"/>
        <v>최정미3558</v>
      </c>
      <c r="K938" s="3" t="str">
        <f t="shared" si="2"/>
        <v>정상</v>
      </c>
      <c r="L938" s="4">
        <v>35000.0</v>
      </c>
      <c r="M938" s="4">
        <v>35000.0</v>
      </c>
      <c r="N938" s="4">
        <v>0.0</v>
      </c>
    </row>
    <row r="939">
      <c r="A939" s="6">
        <v>1014.0</v>
      </c>
      <c r="B939" s="4" t="s">
        <v>1269</v>
      </c>
      <c r="C939" s="4" t="s">
        <v>3727</v>
      </c>
      <c r="D939" s="4" t="s">
        <v>3728</v>
      </c>
      <c r="E939" s="4">
        <v>710206.0</v>
      </c>
      <c r="F939" s="6">
        <v>1.0</v>
      </c>
      <c r="G939" s="4" t="s">
        <v>1021</v>
      </c>
      <c r="H939" s="4" t="s">
        <v>1021</v>
      </c>
      <c r="I939" s="4" t="s">
        <v>1021</v>
      </c>
      <c r="J939" s="4" t="str">
        <f t="shared" si="1"/>
        <v>최정임4125</v>
      </c>
      <c r="K939" s="3" t="str">
        <f t="shared" si="2"/>
        <v>정상</v>
      </c>
      <c r="L939" s="4">
        <v>35000.0</v>
      </c>
      <c r="M939" s="4">
        <v>35000.0</v>
      </c>
      <c r="N939" s="4">
        <v>0.0</v>
      </c>
    </row>
    <row r="940">
      <c r="A940" s="6">
        <v>588.0</v>
      </c>
      <c r="B940" s="4" t="s">
        <v>1372</v>
      </c>
      <c r="C940" s="4" t="s">
        <v>3729</v>
      </c>
      <c r="D940" s="4" t="s">
        <v>3730</v>
      </c>
      <c r="E940" s="4">
        <v>670110.0</v>
      </c>
      <c r="F940" s="6">
        <v>1.0</v>
      </c>
      <c r="G940" s="4" t="s">
        <v>1021</v>
      </c>
      <c r="H940" s="4" t="s">
        <v>1021</v>
      </c>
      <c r="I940" s="4" t="s">
        <v>1021</v>
      </c>
      <c r="J940" s="4" t="str">
        <f t="shared" si="1"/>
        <v>최종문3276</v>
      </c>
      <c r="K940" s="3" t="str">
        <f t="shared" si="2"/>
        <v>정상</v>
      </c>
      <c r="L940" s="4">
        <v>35000.0</v>
      </c>
      <c r="M940" s="4">
        <v>35000.0</v>
      </c>
      <c r="N940" s="4">
        <v>0.0</v>
      </c>
    </row>
    <row r="941">
      <c r="A941" s="6">
        <v>231.0</v>
      </c>
      <c r="B941" s="4" t="s">
        <v>1933</v>
      </c>
      <c r="C941" s="4" t="s">
        <v>3731</v>
      </c>
      <c r="D941" s="4" t="s">
        <v>3732</v>
      </c>
      <c r="E941" s="4">
        <v>740211.0</v>
      </c>
      <c r="F941" s="6">
        <v>1.0</v>
      </c>
      <c r="G941" s="4" t="s">
        <v>1021</v>
      </c>
      <c r="H941" s="4" t="s">
        <v>1021</v>
      </c>
      <c r="I941" s="4" t="s">
        <v>1021</v>
      </c>
      <c r="J941" s="4" t="str">
        <f t="shared" si="1"/>
        <v>최진화3473</v>
      </c>
      <c r="K941" s="3" t="str">
        <f t="shared" si="2"/>
        <v>정상</v>
      </c>
      <c r="L941" s="4">
        <v>35000.0</v>
      </c>
      <c r="M941" s="4">
        <v>35000.0</v>
      </c>
      <c r="N941" s="4">
        <v>0.0</v>
      </c>
    </row>
    <row r="942">
      <c r="A942" s="6">
        <v>875.0</v>
      </c>
      <c r="B942" s="4" t="s">
        <v>1621</v>
      </c>
      <c r="C942" s="4" t="s">
        <v>3733</v>
      </c>
      <c r="D942" s="4" t="s">
        <v>3734</v>
      </c>
      <c r="E942" s="4">
        <v>691006.0</v>
      </c>
      <c r="F942" s="6">
        <v>1.0</v>
      </c>
      <c r="G942" s="4" t="s">
        <v>1021</v>
      </c>
      <c r="H942" s="4" t="s">
        <v>1021</v>
      </c>
      <c r="I942" s="4" t="s">
        <v>1021</v>
      </c>
      <c r="J942" s="4" t="str">
        <f t="shared" si="1"/>
        <v>최향미6770</v>
      </c>
      <c r="K942" s="3" t="str">
        <f t="shared" si="2"/>
        <v>정상</v>
      </c>
      <c r="L942" s="4">
        <v>35000.0</v>
      </c>
      <c r="M942" s="4">
        <v>35000.0</v>
      </c>
      <c r="N942" s="4">
        <v>0.0</v>
      </c>
    </row>
    <row r="943">
      <c r="A943" s="6">
        <v>351.0</v>
      </c>
      <c r="B943" s="4" t="s">
        <v>1032</v>
      </c>
      <c r="C943" s="4" t="s">
        <v>3735</v>
      </c>
      <c r="D943" s="4" t="s">
        <v>3736</v>
      </c>
      <c r="E943" s="4">
        <v>700730.0</v>
      </c>
      <c r="F943" s="6">
        <v>1.0</v>
      </c>
      <c r="G943" s="4" t="s">
        <v>1021</v>
      </c>
      <c r="H943" s="4" t="s">
        <v>1021</v>
      </c>
      <c r="I943" s="4" t="s">
        <v>1021</v>
      </c>
      <c r="J943" s="4" t="str">
        <f t="shared" si="1"/>
        <v>최현정2817</v>
      </c>
      <c r="K943" s="3" t="str">
        <f t="shared" si="2"/>
        <v>정상</v>
      </c>
      <c r="L943" s="4">
        <v>35000.0</v>
      </c>
      <c r="M943" s="4">
        <v>35000.0</v>
      </c>
      <c r="N943" s="4">
        <v>0.0</v>
      </c>
    </row>
    <row r="944">
      <c r="A944" s="6">
        <v>787.0</v>
      </c>
      <c r="B944" s="4" t="s">
        <v>1830</v>
      </c>
      <c r="C944" s="4" t="s">
        <v>3737</v>
      </c>
      <c r="D944" s="4" t="s">
        <v>3738</v>
      </c>
      <c r="E944" s="4">
        <v>620118.0</v>
      </c>
      <c r="F944" s="6">
        <v>1.0</v>
      </c>
      <c r="G944" s="4" t="s">
        <v>1021</v>
      </c>
      <c r="H944" s="4" t="s">
        <v>1021</v>
      </c>
      <c r="I944" s="4" t="s">
        <v>1021</v>
      </c>
      <c r="J944" s="4" t="str">
        <f t="shared" si="1"/>
        <v>최효원1176</v>
      </c>
      <c r="K944" s="3" t="str">
        <f t="shared" si="2"/>
        <v>정상</v>
      </c>
      <c r="L944" s="4">
        <v>35000.0</v>
      </c>
      <c r="M944" s="4">
        <v>35000.0</v>
      </c>
      <c r="N944" s="4">
        <v>0.0</v>
      </c>
    </row>
    <row r="945">
      <c r="A945" s="6">
        <v>934.0</v>
      </c>
      <c r="B945" s="4" t="s">
        <v>1523</v>
      </c>
      <c r="C945" s="4" t="s">
        <v>3739</v>
      </c>
      <c r="D945" s="4" t="s">
        <v>3740</v>
      </c>
      <c r="E945" s="4">
        <v>780115.0</v>
      </c>
      <c r="F945" s="6">
        <v>1.0</v>
      </c>
      <c r="G945" s="4" t="s">
        <v>1021</v>
      </c>
      <c r="H945" s="4" t="s">
        <v>1021</v>
      </c>
      <c r="I945" s="4" t="s">
        <v>1021</v>
      </c>
      <c r="J945" s="4" t="str">
        <f t="shared" si="1"/>
        <v>최희성8926</v>
      </c>
      <c r="K945" s="3" t="str">
        <f t="shared" si="2"/>
        <v>정상</v>
      </c>
      <c r="L945" s="4">
        <v>35000.0</v>
      </c>
      <c r="M945" s="4">
        <v>35000.0</v>
      </c>
      <c r="N945" s="4">
        <v>0.0</v>
      </c>
    </row>
    <row r="946">
      <c r="A946" s="6">
        <v>722.0</v>
      </c>
      <c r="B946" s="4" t="s">
        <v>2234</v>
      </c>
      <c r="C946" s="4" t="s">
        <v>3741</v>
      </c>
      <c r="D946" s="4" t="s">
        <v>3742</v>
      </c>
      <c r="E946" s="4">
        <v>641201.0</v>
      </c>
      <c r="F946" s="6">
        <v>1.0</v>
      </c>
      <c r="G946" s="4" t="s">
        <v>1021</v>
      </c>
      <c r="H946" s="4" t="s">
        <v>1021</v>
      </c>
      <c r="I946" s="4" t="s">
        <v>1021</v>
      </c>
      <c r="J946" s="4" t="str">
        <f t="shared" si="1"/>
        <v>최희월7136</v>
      </c>
      <c r="K946" s="3" t="str">
        <f t="shared" si="2"/>
        <v>정상</v>
      </c>
      <c r="L946" s="4">
        <v>35000.0</v>
      </c>
      <c r="M946" s="4">
        <v>35000.0</v>
      </c>
      <c r="N946" s="4">
        <v>0.0</v>
      </c>
    </row>
    <row r="947">
      <c r="A947" s="6">
        <v>504.0</v>
      </c>
      <c r="B947" s="4" t="s">
        <v>1095</v>
      </c>
      <c r="C947" s="4" t="s">
        <v>3743</v>
      </c>
      <c r="D947" s="4" t="s">
        <v>3744</v>
      </c>
      <c r="E947" s="4">
        <v>600220.0</v>
      </c>
      <c r="F947" s="6">
        <v>1.0</v>
      </c>
      <c r="G947" s="4" t="s">
        <v>1021</v>
      </c>
      <c r="H947" s="4" t="s">
        <v>1021</v>
      </c>
      <c r="I947" s="4" t="s">
        <v>1021</v>
      </c>
      <c r="J947" s="4" t="str">
        <f t="shared" si="1"/>
        <v>하귀자6554</v>
      </c>
      <c r="K947" s="3" t="str">
        <f t="shared" si="2"/>
        <v>정상</v>
      </c>
      <c r="L947" s="4">
        <v>35000.0</v>
      </c>
      <c r="M947" s="4">
        <v>35000.0</v>
      </c>
      <c r="N947" s="4">
        <v>0.0</v>
      </c>
    </row>
    <row r="948">
      <c r="A948" s="6">
        <v>982.0</v>
      </c>
      <c r="B948" s="4" t="s">
        <v>1022</v>
      </c>
      <c r="C948" s="4" t="s">
        <v>3745</v>
      </c>
      <c r="D948" s="4" t="s">
        <v>3746</v>
      </c>
      <c r="E948" s="4">
        <v>620825.0</v>
      </c>
      <c r="F948" s="6">
        <v>1.0</v>
      </c>
      <c r="G948" s="4" t="s">
        <v>1021</v>
      </c>
      <c r="H948" s="4" t="s">
        <v>1021</v>
      </c>
      <c r="I948" s="4" t="s">
        <v>1021</v>
      </c>
      <c r="J948" s="4" t="str">
        <f t="shared" si="1"/>
        <v>한근석2884</v>
      </c>
      <c r="K948" s="3" t="str">
        <f t="shared" si="2"/>
        <v>정상</v>
      </c>
      <c r="L948" s="4">
        <v>35000.0</v>
      </c>
      <c r="M948" s="4">
        <v>35000.0</v>
      </c>
      <c r="N948" s="4">
        <v>0.0</v>
      </c>
    </row>
    <row r="949">
      <c r="A949" s="5">
        <v>754.0</v>
      </c>
      <c r="B949" s="3" t="s">
        <v>2156</v>
      </c>
      <c r="C949" s="3" t="s">
        <v>1065</v>
      </c>
      <c r="D949" s="3" t="s">
        <v>3747</v>
      </c>
      <c r="E949" s="3">
        <v>600811.0</v>
      </c>
      <c r="F949" s="5">
        <v>1.0</v>
      </c>
      <c r="G949" s="3" t="s">
        <v>1021</v>
      </c>
      <c r="H949" s="3" t="s">
        <v>1021</v>
      </c>
      <c r="I949" s="3" t="s">
        <v>1021</v>
      </c>
      <c r="J949" s="4" t="str">
        <f t="shared" si="1"/>
        <v>한명희6290</v>
      </c>
      <c r="K949" s="3" t="str">
        <f t="shared" si="2"/>
        <v>정상</v>
      </c>
      <c r="L949" s="4">
        <v>35000.0</v>
      </c>
      <c r="M949" s="4">
        <v>35000.0</v>
      </c>
      <c r="N949" s="4">
        <v>0.0</v>
      </c>
    </row>
    <row r="950">
      <c r="A950" s="6">
        <v>826.0</v>
      </c>
      <c r="B950" s="4" t="s">
        <v>1367</v>
      </c>
      <c r="C950" s="4" t="s">
        <v>3748</v>
      </c>
      <c r="D950" s="4" t="s">
        <v>3749</v>
      </c>
      <c r="E950" s="4">
        <v>610918.0</v>
      </c>
      <c r="F950" s="6">
        <v>1.0</v>
      </c>
      <c r="G950" s="4" t="s">
        <v>1021</v>
      </c>
      <c r="H950" s="4" t="s">
        <v>1021</v>
      </c>
      <c r="I950" s="4" t="s">
        <v>1021</v>
      </c>
      <c r="J950" s="4" t="str">
        <f t="shared" si="1"/>
        <v>한미연9358</v>
      </c>
      <c r="K950" s="3" t="str">
        <f t="shared" si="2"/>
        <v>정상</v>
      </c>
      <c r="L950" s="4">
        <v>35000.0</v>
      </c>
      <c r="M950" s="4">
        <v>35000.0</v>
      </c>
      <c r="N950" s="4">
        <v>0.0</v>
      </c>
    </row>
    <row r="951">
      <c r="A951" s="5">
        <v>1060.0</v>
      </c>
      <c r="B951" s="3" t="s">
        <v>1047</v>
      </c>
      <c r="C951" s="3" t="s">
        <v>3750</v>
      </c>
      <c r="D951" s="3" t="s">
        <v>3751</v>
      </c>
      <c r="E951" s="3">
        <v>650325.0</v>
      </c>
      <c r="F951" s="5">
        <v>1.0</v>
      </c>
      <c r="G951" s="3" t="s">
        <v>1021</v>
      </c>
      <c r="H951" s="3" t="s">
        <v>1021</v>
      </c>
      <c r="I951" s="3" t="s">
        <v>1021</v>
      </c>
      <c r="J951" s="4" t="str">
        <f t="shared" si="1"/>
        <v>한미희7196</v>
      </c>
      <c r="K951" s="3" t="str">
        <f t="shared" si="2"/>
        <v>정상</v>
      </c>
      <c r="L951" s="4">
        <v>35000.0</v>
      </c>
      <c r="M951" s="4">
        <v>35000.0</v>
      </c>
      <c r="N951" s="4">
        <v>0.0</v>
      </c>
    </row>
    <row r="952">
      <c r="A952" s="6">
        <v>1076.0</v>
      </c>
      <c r="B952" s="4" t="s">
        <v>1076</v>
      </c>
      <c r="C952" s="4" t="s">
        <v>3752</v>
      </c>
      <c r="D952" s="4" t="s">
        <v>3753</v>
      </c>
      <c r="E952" s="4">
        <v>720222.0</v>
      </c>
      <c r="F952" s="6">
        <v>1.0</v>
      </c>
      <c r="G952" s="4" t="s">
        <v>1021</v>
      </c>
      <c r="H952" s="4" t="s">
        <v>1021</v>
      </c>
      <c r="I952" s="4" t="s">
        <v>1021</v>
      </c>
      <c r="J952" s="4" t="str">
        <f t="shared" si="1"/>
        <v>한상덕4484</v>
      </c>
      <c r="K952" s="3" t="str">
        <f t="shared" si="2"/>
        <v>정상</v>
      </c>
      <c r="L952" s="4">
        <v>35000.0</v>
      </c>
      <c r="M952" s="4">
        <v>35000.0</v>
      </c>
      <c r="N952" s="4">
        <v>0.0</v>
      </c>
    </row>
    <row r="953">
      <c r="A953" s="6">
        <v>250.0</v>
      </c>
      <c r="B953" s="4" t="s">
        <v>1752</v>
      </c>
      <c r="C953" s="4" t="s">
        <v>3754</v>
      </c>
      <c r="D953" s="4" t="s">
        <v>3755</v>
      </c>
      <c r="E953" s="4">
        <v>880229.0</v>
      </c>
      <c r="F953" s="6">
        <v>1.0</v>
      </c>
      <c r="G953" s="4" t="s">
        <v>1021</v>
      </c>
      <c r="H953" s="4" t="s">
        <v>1021</v>
      </c>
      <c r="I953" s="4" t="s">
        <v>1021</v>
      </c>
      <c r="J953" s="4" t="str">
        <f t="shared" si="1"/>
        <v>한아름7911</v>
      </c>
      <c r="K953" s="3" t="str">
        <f t="shared" si="2"/>
        <v>정상</v>
      </c>
      <c r="L953" s="4">
        <v>35000.0</v>
      </c>
      <c r="M953" s="4">
        <v>35000.0</v>
      </c>
      <c r="N953" s="4">
        <v>0.0</v>
      </c>
    </row>
    <row r="954">
      <c r="A954" s="6">
        <v>1027.0</v>
      </c>
      <c r="B954" s="4" t="s">
        <v>1062</v>
      </c>
      <c r="C954" s="4" t="s">
        <v>3756</v>
      </c>
      <c r="D954" s="4" t="s">
        <v>3757</v>
      </c>
      <c r="E954" s="4">
        <v>630803.0</v>
      </c>
      <c r="F954" s="6">
        <v>1.0</v>
      </c>
      <c r="G954" s="4" t="s">
        <v>1021</v>
      </c>
      <c r="H954" s="4" t="s">
        <v>1021</v>
      </c>
      <c r="I954" s="4" t="s">
        <v>1021</v>
      </c>
      <c r="J954" s="4" t="str">
        <f t="shared" si="1"/>
        <v>한애리순1436</v>
      </c>
      <c r="K954" s="3" t="str">
        <f t="shared" si="2"/>
        <v>정상</v>
      </c>
      <c r="L954" s="4">
        <v>35000.0</v>
      </c>
      <c r="M954" s="4">
        <v>35000.0</v>
      </c>
      <c r="N954" s="4">
        <v>0.0</v>
      </c>
    </row>
    <row r="955">
      <c r="A955" s="6">
        <v>1070.0</v>
      </c>
      <c r="B955" s="4" t="s">
        <v>1076</v>
      </c>
      <c r="C955" s="4" t="s">
        <v>3758</v>
      </c>
      <c r="D955" s="4" t="s">
        <v>3759</v>
      </c>
      <c r="E955" s="4">
        <v>651010.0</v>
      </c>
      <c r="F955" s="6">
        <v>1.0</v>
      </c>
      <c r="G955" s="4" t="s">
        <v>1021</v>
      </c>
      <c r="H955" s="4" t="s">
        <v>1021</v>
      </c>
      <c r="I955" s="4" t="s">
        <v>1021</v>
      </c>
      <c r="J955" s="4" t="str">
        <f t="shared" si="1"/>
        <v>한연심8802</v>
      </c>
      <c r="K955" s="3" t="str">
        <f t="shared" si="2"/>
        <v>정상</v>
      </c>
      <c r="L955" s="4">
        <v>35000.0</v>
      </c>
      <c r="M955" s="4">
        <v>35000.0</v>
      </c>
      <c r="N955" s="4">
        <v>0.0</v>
      </c>
    </row>
    <row r="956">
      <c r="A956" s="5">
        <v>1158.0</v>
      </c>
      <c r="B956" s="3" t="s">
        <v>1165</v>
      </c>
      <c r="C956" s="3" t="s">
        <v>3760</v>
      </c>
      <c r="D956" s="3" t="s">
        <v>3761</v>
      </c>
      <c r="E956" s="3">
        <v>620205.0</v>
      </c>
      <c r="F956" s="5">
        <v>1.0</v>
      </c>
      <c r="G956" s="3" t="s">
        <v>1021</v>
      </c>
      <c r="H956" s="3" t="s">
        <v>1021</v>
      </c>
      <c r="I956" s="3" t="s">
        <v>1021</v>
      </c>
      <c r="J956" s="4" t="str">
        <f t="shared" si="1"/>
        <v>한전훈1864</v>
      </c>
      <c r="K956" s="3" t="str">
        <f t="shared" si="2"/>
        <v>정상</v>
      </c>
      <c r="L956" s="4">
        <v>35000.0</v>
      </c>
      <c r="M956" s="4">
        <v>35000.0</v>
      </c>
      <c r="N956" s="4">
        <v>0.0</v>
      </c>
    </row>
    <row r="957">
      <c r="A957" s="5">
        <v>805.0</v>
      </c>
      <c r="B957" s="3" t="s">
        <v>1232</v>
      </c>
      <c r="C957" s="3" t="s">
        <v>3762</v>
      </c>
      <c r="D957" s="3" t="s">
        <v>3763</v>
      </c>
      <c r="E957" s="3">
        <v>590306.0</v>
      </c>
      <c r="F957" s="5">
        <v>1.0</v>
      </c>
      <c r="G957" s="3" t="s">
        <v>1021</v>
      </c>
      <c r="H957" s="3" t="s">
        <v>1021</v>
      </c>
      <c r="I957" s="3" t="s">
        <v>1021</v>
      </c>
      <c r="J957" s="4" t="str">
        <f t="shared" si="1"/>
        <v>한효주4437</v>
      </c>
      <c r="K957" s="3" t="str">
        <f t="shared" si="2"/>
        <v>정상</v>
      </c>
      <c r="L957" s="4">
        <v>35000.0</v>
      </c>
      <c r="M957" s="4">
        <v>35000.0</v>
      </c>
      <c r="N957" s="4">
        <v>0.0</v>
      </c>
    </row>
    <row r="958">
      <c r="A958" s="6">
        <v>884.0</v>
      </c>
      <c r="B958" s="4" t="s">
        <v>1114</v>
      </c>
      <c r="C958" s="4" t="s">
        <v>3764</v>
      </c>
      <c r="D958" s="4" t="s">
        <v>3765</v>
      </c>
      <c r="E958" s="4">
        <v>630911.0</v>
      </c>
      <c r="F958" s="6">
        <v>1.0</v>
      </c>
      <c r="G958" s="4" t="s">
        <v>1021</v>
      </c>
      <c r="H958" s="4" t="s">
        <v>1021</v>
      </c>
      <c r="I958" s="4" t="s">
        <v>1021</v>
      </c>
      <c r="J958" s="4" t="str">
        <f t="shared" si="1"/>
        <v>함종헌2351</v>
      </c>
      <c r="K958" s="3" t="str">
        <f t="shared" si="2"/>
        <v>정상</v>
      </c>
      <c r="L958" s="4">
        <v>35000.0</v>
      </c>
      <c r="M958" s="4">
        <v>35000.0</v>
      </c>
      <c r="N958" s="4">
        <v>0.0</v>
      </c>
    </row>
    <row r="959">
      <c r="A959" s="5">
        <v>823.0</v>
      </c>
      <c r="B959" s="3" t="s">
        <v>1124</v>
      </c>
      <c r="C959" s="3" t="s">
        <v>3766</v>
      </c>
      <c r="D959" s="3" t="s">
        <v>3767</v>
      </c>
      <c r="E959" s="3">
        <v>650628.0</v>
      </c>
      <c r="F959" s="5">
        <v>1.0</v>
      </c>
      <c r="G959" s="3" t="s">
        <v>1021</v>
      </c>
      <c r="H959" s="3" t="s">
        <v>1021</v>
      </c>
      <c r="I959" s="3" t="s">
        <v>1021</v>
      </c>
      <c r="J959" s="4" t="str">
        <f t="shared" si="1"/>
        <v>허경희1370</v>
      </c>
      <c r="K959" s="3" t="str">
        <f t="shared" si="2"/>
        <v>정상</v>
      </c>
      <c r="L959" s="4">
        <v>35000.0</v>
      </c>
      <c r="M959" s="4">
        <v>35000.0</v>
      </c>
      <c r="N959" s="4">
        <v>0.0</v>
      </c>
    </row>
    <row r="960">
      <c r="A960" s="5">
        <v>559.0</v>
      </c>
      <c r="B960" s="3" t="s">
        <v>1255</v>
      </c>
      <c r="C960" s="3" t="s">
        <v>3768</v>
      </c>
      <c r="D960" s="3" t="s">
        <v>3769</v>
      </c>
      <c r="E960" s="3">
        <v>610611.0</v>
      </c>
      <c r="F960" s="5">
        <v>1.0</v>
      </c>
      <c r="G960" s="3" t="s">
        <v>1021</v>
      </c>
      <c r="H960" s="3" t="s">
        <v>1021</v>
      </c>
      <c r="I960" s="3" t="s">
        <v>1021</v>
      </c>
      <c r="J960" s="4" t="str">
        <f t="shared" si="1"/>
        <v>허명숙8799</v>
      </c>
      <c r="K960" s="3" t="str">
        <f t="shared" si="2"/>
        <v>정상</v>
      </c>
      <c r="L960" s="4">
        <v>35000.0</v>
      </c>
      <c r="M960" s="4">
        <v>35000.0</v>
      </c>
      <c r="N960" s="4">
        <v>0.0</v>
      </c>
    </row>
    <row r="961">
      <c r="A961" s="6">
        <v>461.0</v>
      </c>
      <c r="B961" s="4" t="s">
        <v>1626</v>
      </c>
      <c r="C961" s="4" t="s">
        <v>3770</v>
      </c>
      <c r="D961" s="4" t="s">
        <v>3771</v>
      </c>
      <c r="E961" s="4">
        <v>671008.0</v>
      </c>
      <c r="F961" s="6">
        <v>1.0</v>
      </c>
      <c r="G961" s="4" t="s">
        <v>1021</v>
      </c>
      <c r="H961" s="4" t="s">
        <v>1021</v>
      </c>
      <c r="I961" s="4" t="s">
        <v>1021</v>
      </c>
      <c r="J961" s="4" t="str">
        <f t="shared" si="1"/>
        <v>허수순4412</v>
      </c>
      <c r="K961" s="3" t="str">
        <f t="shared" si="2"/>
        <v>정상</v>
      </c>
      <c r="L961" s="4">
        <v>35000.0</v>
      </c>
      <c r="M961" s="4">
        <v>35000.0</v>
      </c>
      <c r="N961" s="4">
        <v>0.0</v>
      </c>
    </row>
    <row r="962">
      <c r="A962" s="5">
        <v>990.0</v>
      </c>
      <c r="B962" s="3" t="s">
        <v>1022</v>
      </c>
      <c r="C962" s="3" t="s">
        <v>3772</v>
      </c>
      <c r="D962" s="3" t="s">
        <v>3773</v>
      </c>
      <c r="E962" s="3">
        <v>561223.0</v>
      </c>
      <c r="F962" s="5">
        <v>1.0</v>
      </c>
      <c r="G962" s="3" t="s">
        <v>1021</v>
      </c>
      <c r="H962" s="3" t="s">
        <v>1021</v>
      </c>
      <c r="I962" s="3" t="s">
        <v>1021</v>
      </c>
      <c r="J962" s="4" t="str">
        <f t="shared" si="1"/>
        <v>허은숙4230</v>
      </c>
      <c r="K962" s="3" t="str">
        <f t="shared" si="2"/>
        <v>정상</v>
      </c>
      <c r="L962" s="4">
        <v>35000.0</v>
      </c>
      <c r="M962" s="4">
        <v>35000.0</v>
      </c>
      <c r="N962" s="4">
        <v>0.0</v>
      </c>
    </row>
    <row r="963">
      <c r="A963" s="5">
        <v>400.0</v>
      </c>
      <c r="B963" s="3" t="s">
        <v>1195</v>
      </c>
      <c r="C963" s="3" t="s">
        <v>3774</v>
      </c>
      <c r="D963" s="3" t="s">
        <v>3775</v>
      </c>
      <c r="E963" s="3">
        <v>670421.0</v>
      </c>
      <c r="F963" s="5">
        <v>1.0</v>
      </c>
      <c r="G963" s="3" t="s">
        <v>1021</v>
      </c>
      <c r="H963" s="3" t="s">
        <v>1021</v>
      </c>
      <c r="I963" s="3" t="s">
        <v>1021</v>
      </c>
      <c r="J963" s="4" t="str">
        <f t="shared" si="1"/>
        <v>허정수6443</v>
      </c>
      <c r="K963" s="3" t="str">
        <f t="shared" si="2"/>
        <v>정상</v>
      </c>
      <c r="L963" s="4">
        <v>35000.0</v>
      </c>
      <c r="M963" s="4">
        <v>35000.0</v>
      </c>
      <c r="N963" s="4">
        <v>0.0</v>
      </c>
    </row>
    <row r="964">
      <c r="A964" s="6">
        <v>926.0</v>
      </c>
      <c r="B964" s="4" t="s">
        <v>1001</v>
      </c>
      <c r="C964" s="4" t="s">
        <v>3776</v>
      </c>
      <c r="D964" s="4" t="s">
        <v>3777</v>
      </c>
      <c r="E964" s="4">
        <v>820225.0</v>
      </c>
      <c r="F964" s="6">
        <v>1.0</v>
      </c>
      <c r="G964" s="4" t="s">
        <v>1021</v>
      </c>
      <c r="H964" s="4" t="s">
        <v>1021</v>
      </c>
      <c r="I964" s="4" t="s">
        <v>1021</v>
      </c>
      <c r="J964" s="4" t="str">
        <f t="shared" si="1"/>
        <v>홍미경3119</v>
      </c>
      <c r="K964" s="3" t="str">
        <f t="shared" si="2"/>
        <v>정상</v>
      </c>
      <c r="L964" s="4">
        <v>35000.0</v>
      </c>
      <c r="M964" s="4">
        <v>35000.0</v>
      </c>
      <c r="N964" s="4">
        <v>0.0</v>
      </c>
    </row>
    <row r="965">
      <c r="A965" s="6">
        <v>957.0</v>
      </c>
      <c r="B965" s="4" t="s">
        <v>1547</v>
      </c>
      <c r="C965" s="4" t="s">
        <v>3778</v>
      </c>
      <c r="D965" s="4" t="s">
        <v>3779</v>
      </c>
      <c r="E965" s="4">
        <v>560820.0</v>
      </c>
      <c r="F965" s="6">
        <v>1.0</v>
      </c>
      <c r="G965" s="4" t="s">
        <v>1021</v>
      </c>
      <c r="H965" s="4" t="s">
        <v>1021</v>
      </c>
      <c r="I965" s="4" t="s">
        <v>1021</v>
      </c>
      <c r="J965" s="4" t="str">
        <f t="shared" si="1"/>
        <v>홍미자0185</v>
      </c>
      <c r="K965" s="3" t="str">
        <f t="shared" si="2"/>
        <v>정상</v>
      </c>
      <c r="L965" s="4">
        <v>35000.0</v>
      </c>
      <c r="M965" s="4">
        <v>35000.0</v>
      </c>
      <c r="N965" s="4">
        <v>0.0</v>
      </c>
    </row>
    <row r="966">
      <c r="A966" s="5">
        <v>390.0</v>
      </c>
      <c r="B966" s="3" t="s">
        <v>1317</v>
      </c>
      <c r="C966" s="3" t="s">
        <v>3780</v>
      </c>
      <c r="D966" s="3" t="s">
        <v>3781</v>
      </c>
      <c r="E966" s="3">
        <v>531004.0</v>
      </c>
      <c r="F966" s="5">
        <v>1.0</v>
      </c>
      <c r="G966" s="3" t="s">
        <v>1021</v>
      </c>
      <c r="H966" s="3" t="s">
        <v>1021</v>
      </c>
      <c r="I966" s="3" t="s">
        <v>1021</v>
      </c>
      <c r="J966" s="4" t="str">
        <f t="shared" si="1"/>
        <v>홍성기5148</v>
      </c>
      <c r="K966" s="3" t="str">
        <f t="shared" si="2"/>
        <v>정상</v>
      </c>
      <c r="L966" s="4">
        <v>35000.0</v>
      </c>
      <c r="M966" s="4">
        <v>35000.0</v>
      </c>
      <c r="N966" s="4">
        <v>0.0</v>
      </c>
    </row>
    <row r="967">
      <c r="A967" s="6">
        <v>455.0</v>
      </c>
      <c r="B967" s="4" t="s">
        <v>1626</v>
      </c>
      <c r="C967" s="4" t="s">
        <v>3782</v>
      </c>
      <c r="D967" s="4" t="s">
        <v>3783</v>
      </c>
      <c r="E967" s="4">
        <v>561223.0</v>
      </c>
      <c r="F967" s="6">
        <v>1.0</v>
      </c>
      <c r="G967" s="4" t="s">
        <v>1021</v>
      </c>
      <c r="H967" s="4" t="s">
        <v>1021</v>
      </c>
      <c r="I967" s="4" t="s">
        <v>1021</v>
      </c>
      <c r="J967" s="4" t="str">
        <f t="shared" si="1"/>
        <v>홍순도9242</v>
      </c>
      <c r="K967" s="3" t="str">
        <f t="shared" si="2"/>
        <v>정상</v>
      </c>
      <c r="L967" s="4">
        <v>35000.0</v>
      </c>
      <c r="M967" s="4">
        <v>35000.0</v>
      </c>
      <c r="N967" s="4">
        <v>0.0</v>
      </c>
    </row>
    <row r="968">
      <c r="A968" s="6">
        <v>1131.0</v>
      </c>
      <c r="B968" s="4" t="s">
        <v>2053</v>
      </c>
      <c r="C968" s="4" t="s">
        <v>3784</v>
      </c>
      <c r="D968" s="4" t="s">
        <v>3785</v>
      </c>
      <c r="E968" s="4">
        <v>551102.0</v>
      </c>
      <c r="F968" s="6">
        <v>1.0</v>
      </c>
      <c r="G968" s="4" t="s">
        <v>1021</v>
      </c>
      <c r="H968" s="4" t="s">
        <v>1021</v>
      </c>
      <c r="I968" s="4" t="s">
        <v>1021</v>
      </c>
      <c r="J968" s="4" t="str">
        <f t="shared" si="1"/>
        <v>홍순주5114</v>
      </c>
      <c r="K968" s="3" t="str">
        <f t="shared" si="2"/>
        <v>정상</v>
      </c>
      <c r="L968" s="4">
        <v>35000.0</v>
      </c>
      <c r="M968" s="4">
        <v>35000.0</v>
      </c>
      <c r="N968" s="4">
        <v>0.0</v>
      </c>
    </row>
    <row r="969">
      <c r="A969" s="6">
        <v>1108.0</v>
      </c>
      <c r="B969" s="4" t="s">
        <v>1420</v>
      </c>
      <c r="C969" s="4" t="s">
        <v>3786</v>
      </c>
      <c r="D969" s="4" t="s">
        <v>3787</v>
      </c>
      <c r="E969" s="4">
        <v>521213.0</v>
      </c>
      <c r="F969" s="6">
        <v>1.0</v>
      </c>
      <c r="G969" s="4" t="s">
        <v>1021</v>
      </c>
      <c r="H969" s="4" t="s">
        <v>1021</v>
      </c>
      <c r="I969" s="4" t="s">
        <v>1021</v>
      </c>
      <c r="J969" s="4" t="str">
        <f t="shared" si="1"/>
        <v>홍인영4033</v>
      </c>
      <c r="K969" s="3" t="str">
        <f t="shared" si="2"/>
        <v>정상</v>
      </c>
      <c r="L969" s="4">
        <v>35000.0</v>
      </c>
      <c r="M969" s="4">
        <v>35000.0</v>
      </c>
      <c r="N969" s="4">
        <v>0.0</v>
      </c>
    </row>
    <row r="970">
      <c r="A970" s="5">
        <v>769.0</v>
      </c>
      <c r="B970" s="3" t="s">
        <v>1292</v>
      </c>
      <c r="C970" s="3" t="s">
        <v>3788</v>
      </c>
      <c r="D970" s="3" t="s">
        <v>3789</v>
      </c>
      <c r="E970" s="3">
        <v>560507.0</v>
      </c>
      <c r="F970" s="5">
        <v>1.0</v>
      </c>
      <c r="G970" s="3" t="s">
        <v>1021</v>
      </c>
      <c r="H970" s="3" t="s">
        <v>1021</v>
      </c>
      <c r="I970" s="3" t="s">
        <v>1021</v>
      </c>
      <c r="J970" s="4" t="str">
        <f t="shared" si="1"/>
        <v>홍지희1227</v>
      </c>
      <c r="K970" s="3" t="str">
        <f t="shared" si="2"/>
        <v>정상</v>
      </c>
      <c r="L970" s="4">
        <v>35000.0</v>
      </c>
      <c r="M970" s="4">
        <v>35000.0</v>
      </c>
      <c r="N970" s="4">
        <v>0.0</v>
      </c>
    </row>
    <row r="971">
      <c r="A971" s="6">
        <v>537.0</v>
      </c>
      <c r="B971" s="4" t="s">
        <v>1713</v>
      </c>
      <c r="C971" s="4" t="s">
        <v>3790</v>
      </c>
      <c r="D971" s="4" t="s">
        <v>3791</v>
      </c>
      <c r="E971" s="4">
        <v>610818.0</v>
      </c>
      <c r="F971" s="6">
        <v>1.0</v>
      </c>
      <c r="G971" s="4" t="s">
        <v>1021</v>
      </c>
      <c r="H971" s="4" t="s">
        <v>1021</v>
      </c>
      <c r="I971" s="4" t="s">
        <v>1021</v>
      </c>
      <c r="J971" s="4" t="str">
        <f t="shared" si="1"/>
        <v>홍현녀0197</v>
      </c>
      <c r="K971" s="3" t="str">
        <f t="shared" si="2"/>
        <v>정상</v>
      </c>
      <c r="L971" s="4">
        <v>35000.0</v>
      </c>
      <c r="M971" s="4">
        <v>35000.0</v>
      </c>
      <c r="N971" s="4">
        <v>0.0</v>
      </c>
    </row>
    <row r="972">
      <c r="A972" s="6">
        <v>1129.0</v>
      </c>
      <c r="B972" s="4" t="s">
        <v>1358</v>
      </c>
      <c r="C972" s="4" t="s">
        <v>3792</v>
      </c>
      <c r="D972" s="4" t="s">
        <v>3793</v>
      </c>
      <c r="E972" s="4">
        <v>600115.0</v>
      </c>
      <c r="F972" s="6">
        <v>1.0</v>
      </c>
      <c r="G972" s="4" t="s">
        <v>1021</v>
      </c>
      <c r="H972" s="4" t="s">
        <v>1021</v>
      </c>
      <c r="I972" s="4" t="s">
        <v>1021</v>
      </c>
      <c r="J972" s="4" t="str">
        <f t="shared" si="1"/>
        <v>황경자0928</v>
      </c>
      <c r="K972" s="3" t="str">
        <f t="shared" si="2"/>
        <v>정상</v>
      </c>
      <c r="L972" s="4">
        <v>35000.0</v>
      </c>
      <c r="M972" s="4">
        <v>35000.0</v>
      </c>
      <c r="N972" s="4">
        <v>0.0</v>
      </c>
    </row>
    <row r="973">
      <c r="A973" s="5">
        <v>675.0</v>
      </c>
      <c r="B973" s="3" t="s">
        <v>1214</v>
      </c>
      <c r="C973" s="3" t="s">
        <v>3794</v>
      </c>
      <c r="D973" s="3" t="s">
        <v>3795</v>
      </c>
      <c r="E973" s="3">
        <v>590915.0</v>
      </c>
      <c r="F973" s="5">
        <v>1.0</v>
      </c>
      <c r="G973" s="3" t="s">
        <v>1021</v>
      </c>
      <c r="H973" s="3" t="s">
        <v>1021</v>
      </c>
      <c r="I973" s="3" t="s">
        <v>1021</v>
      </c>
      <c r="J973" s="4" t="str">
        <f t="shared" si="1"/>
        <v>황명숙7657</v>
      </c>
      <c r="K973" s="3" t="str">
        <f t="shared" si="2"/>
        <v>정상</v>
      </c>
      <c r="L973" s="4">
        <v>35000.0</v>
      </c>
      <c r="M973" s="4">
        <v>35000.0</v>
      </c>
      <c r="N973" s="4">
        <v>0.0</v>
      </c>
    </row>
    <row r="974">
      <c r="A974" s="5">
        <v>1053.0</v>
      </c>
      <c r="B974" s="3" t="s">
        <v>1047</v>
      </c>
      <c r="C974" s="3" t="s">
        <v>3796</v>
      </c>
      <c r="D974" s="3" t="s">
        <v>3797</v>
      </c>
      <c r="E974" s="3">
        <v>470103.0</v>
      </c>
      <c r="F974" s="5">
        <v>1.0</v>
      </c>
      <c r="G974" s="3" t="s">
        <v>1021</v>
      </c>
      <c r="H974" s="3" t="s">
        <v>1021</v>
      </c>
      <c r="I974" s="3" t="s">
        <v>1021</v>
      </c>
      <c r="J974" s="4" t="str">
        <f t="shared" si="1"/>
        <v>황문숙9910</v>
      </c>
      <c r="K974" s="3" t="str">
        <f t="shared" si="2"/>
        <v>정상</v>
      </c>
      <c r="L974" s="4">
        <v>35000.0</v>
      </c>
      <c r="M974" s="4">
        <v>35000.0</v>
      </c>
      <c r="N974" s="4">
        <v>0.0</v>
      </c>
      <c r="O974" s="3"/>
      <c r="P974" s="3"/>
      <c r="Q974" s="3"/>
    </row>
    <row r="975">
      <c r="A975" s="5">
        <v>1215.0</v>
      </c>
      <c r="B975" s="3" t="s">
        <v>1454</v>
      </c>
      <c r="C975" s="3" t="s">
        <v>3798</v>
      </c>
      <c r="D975" s="3" t="s">
        <v>3799</v>
      </c>
      <c r="E975" s="3">
        <v>650211.0</v>
      </c>
      <c r="F975" s="5">
        <v>1.0</v>
      </c>
      <c r="G975" s="3" t="s">
        <v>1021</v>
      </c>
      <c r="H975" s="3" t="s">
        <v>1021</v>
      </c>
      <c r="I975" s="3" t="s">
        <v>1021</v>
      </c>
      <c r="J975" s="4" t="str">
        <f t="shared" si="1"/>
        <v>황수빈4562</v>
      </c>
      <c r="K975" s="3" t="str">
        <f t="shared" si="2"/>
        <v>정상</v>
      </c>
      <c r="L975" s="4">
        <v>35000.0</v>
      </c>
      <c r="M975" s="4">
        <v>35000.0</v>
      </c>
      <c r="N975" s="4">
        <v>0.0</v>
      </c>
      <c r="O975" s="3"/>
      <c r="P975" s="3"/>
      <c r="Q975" s="3"/>
    </row>
    <row r="976">
      <c r="A976" s="6">
        <v>426.0</v>
      </c>
      <c r="B976" s="4" t="s">
        <v>1730</v>
      </c>
      <c r="C976" s="4" t="s">
        <v>3800</v>
      </c>
      <c r="D976" s="4" t="s">
        <v>3801</v>
      </c>
      <c r="E976" s="4">
        <v>700606.0</v>
      </c>
      <c r="F976" s="6">
        <v>1.0</v>
      </c>
      <c r="G976" s="4" t="s">
        <v>1021</v>
      </c>
      <c r="H976" s="4" t="s">
        <v>1021</v>
      </c>
      <c r="I976" s="4" t="s">
        <v>1021</v>
      </c>
      <c r="J976" s="4" t="str">
        <f t="shared" si="1"/>
        <v>황은영0255</v>
      </c>
      <c r="K976" s="3" t="str">
        <f t="shared" si="2"/>
        <v>정상</v>
      </c>
      <c r="L976" s="4">
        <v>35000.0</v>
      </c>
      <c r="M976" s="4">
        <v>35000.0</v>
      </c>
      <c r="N976" s="4">
        <v>0.0</v>
      </c>
      <c r="O976" s="3"/>
      <c r="P976" s="3"/>
      <c r="Q976" s="3"/>
    </row>
    <row r="977">
      <c r="A977" s="6">
        <v>1230.0</v>
      </c>
      <c r="B977" s="4" t="s">
        <v>1209</v>
      </c>
      <c r="C977" s="4" t="s">
        <v>3802</v>
      </c>
      <c r="D977" s="4" t="s">
        <v>3803</v>
      </c>
      <c r="E977" s="4">
        <v>620123.0</v>
      </c>
      <c r="F977" s="6">
        <v>1.0</v>
      </c>
      <c r="G977" s="4" t="s">
        <v>1021</v>
      </c>
      <c r="H977" s="4" t="s">
        <v>1021</v>
      </c>
      <c r="I977" s="4" t="s">
        <v>1021</v>
      </c>
      <c r="J977" s="4" t="str">
        <f t="shared" si="1"/>
        <v>황은주4622</v>
      </c>
      <c r="K977" s="3" t="str">
        <f t="shared" si="2"/>
        <v>정상</v>
      </c>
      <c r="L977" s="4">
        <v>35000.0</v>
      </c>
      <c r="M977" s="4">
        <v>35000.0</v>
      </c>
      <c r="N977" s="4">
        <v>0.0</v>
      </c>
      <c r="O977" s="3"/>
      <c r="P977" s="3"/>
      <c r="Q977" s="3"/>
    </row>
    <row r="978">
      <c r="A978" s="6">
        <v>793.0</v>
      </c>
      <c r="B978" s="4" t="s">
        <v>2932</v>
      </c>
      <c r="C978" s="4" t="s">
        <v>3804</v>
      </c>
      <c r="D978" s="4" t="s">
        <v>3805</v>
      </c>
      <c r="E978" s="4">
        <v>700903.0</v>
      </c>
      <c r="F978" s="6">
        <v>1.0</v>
      </c>
      <c r="G978" s="4" t="s">
        <v>1021</v>
      </c>
      <c r="H978" s="4" t="s">
        <v>1021</v>
      </c>
      <c r="I978" s="4" t="s">
        <v>1021</v>
      </c>
      <c r="J978" s="4" t="str">
        <f t="shared" si="1"/>
        <v>황은화0793</v>
      </c>
      <c r="K978" s="3" t="str">
        <f t="shared" si="2"/>
        <v>정상</v>
      </c>
      <c r="L978" s="4">
        <v>35000.0</v>
      </c>
      <c r="M978" s="4">
        <v>35000.0</v>
      </c>
      <c r="N978" s="4">
        <v>0.0</v>
      </c>
    </row>
    <row r="979">
      <c r="A979" s="5">
        <v>929.0</v>
      </c>
      <c r="B979" s="3" t="s">
        <v>1001</v>
      </c>
      <c r="C979" s="3" t="s">
        <v>3806</v>
      </c>
      <c r="D979" s="3" t="s">
        <v>3807</v>
      </c>
      <c r="E979" s="3">
        <v>720301.0</v>
      </c>
      <c r="F979" s="5">
        <v>1.0</v>
      </c>
      <c r="G979" s="3" t="s">
        <v>1021</v>
      </c>
      <c r="H979" s="3" t="s">
        <v>1021</v>
      </c>
      <c r="I979" s="3" t="s">
        <v>1021</v>
      </c>
      <c r="J979" s="4" t="str">
        <f t="shared" si="1"/>
        <v>LEE TAYLOR NAYON0616</v>
      </c>
      <c r="K979" s="3" t="str">
        <f t="shared" si="2"/>
        <v>정상</v>
      </c>
      <c r="L979" s="4">
        <v>35000.0</v>
      </c>
      <c r="M979" s="4">
        <v>35000.0</v>
      </c>
      <c r="N979" s="4">
        <v>0.0</v>
      </c>
    </row>
    <row r="980">
      <c r="A980" s="5">
        <v>723.0</v>
      </c>
      <c r="B980" s="3" t="s">
        <v>2234</v>
      </c>
      <c r="C980" s="3" t="s">
        <v>2744</v>
      </c>
      <c r="D980" s="3" t="s">
        <v>3808</v>
      </c>
      <c r="E980" s="3">
        <v>601015.0</v>
      </c>
      <c r="F980" s="5">
        <v>1.0</v>
      </c>
      <c r="G980" s="3"/>
      <c r="H980" s="3"/>
      <c r="I980" s="3"/>
      <c r="J980" s="4" t="str">
        <f t="shared" si="1"/>
        <v>이혜경5362</v>
      </c>
      <c r="K980" s="3" t="str">
        <f t="shared" si="2"/>
        <v>정상</v>
      </c>
      <c r="L980" s="4">
        <v>35000.0</v>
      </c>
      <c r="M980" s="4">
        <v>35000.0</v>
      </c>
      <c r="N980" s="4">
        <v>0.0</v>
      </c>
    </row>
    <row r="981">
      <c r="A981" s="5">
        <v>1278.0</v>
      </c>
      <c r="B981" s="3" t="s">
        <v>3809</v>
      </c>
      <c r="C981" s="3" t="s">
        <v>1406</v>
      </c>
      <c r="D981" s="3" t="s">
        <v>3810</v>
      </c>
      <c r="E981" s="3">
        <v>560815.0</v>
      </c>
      <c r="F981" s="5">
        <v>2.0</v>
      </c>
      <c r="G981" s="3" t="s">
        <v>3811</v>
      </c>
      <c r="H981" s="3" t="s">
        <v>3812</v>
      </c>
      <c r="I981" s="3">
        <v>640215.0</v>
      </c>
      <c r="J981" s="4" t="str">
        <f t="shared" si="1"/>
        <v>김영희5394</v>
      </c>
      <c r="K981" s="3" t="str">
        <f t="shared" si="2"/>
        <v>정상</v>
      </c>
      <c r="L981" s="4">
        <v>70000.0</v>
      </c>
      <c r="M981" s="4">
        <v>70000.0</v>
      </c>
      <c r="N981" s="4">
        <v>0.0</v>
      </c>
    </row>
    <row r="982">
      <c r="A982" s="5">
        <v>1277.0</v>
      </c>
      <c r="B982" s="3" t="s">
        <v>3813</v>
      </c>
      <c r="C982" s="3" t="s">
        <v>3814</v>
      </c>
      <c r="D982" s="3" t="s">
        <v>3815</v>
      </c>
      <c r="E982" s="3">
        <v>851224.0</v>
      </c>
      <c r="F982" s="5">
        <v>2.0</v>
      </c>
      <c r="G982" s="3" t="s">
        <v>3816</v>
      </c>
      <c r="H982" s="3" t="s">
        <v>3817</v>
      </c>
      <c r="I982" s="3">
        <v>790721.0</v>
      </c>
      <c r="J982" s="4" t="str">
        <f t="shared" si="1"/>
        <v>차수진1224</v>
      </c>
      <c r="K982" s="3" t="str">
        <f t="shared" si="2"/>
        <v>정상</v>
      </c>
      <c r="L982" s="4">
        <v>70000.0</v>
      </c>
      <c r="M982" s="4">
        <v>70000.0</v>
      </c>
      <c r="N982" s="4">
        <v>0.0</v>
      </c>
    </row>
    <row r="983">
      <c r="A983" s="5">
        <v>1276.0</v>
      </c>
      <c r="B983" s="3" t="s">
        <v>3818</v>
      </c>
      <c r="C983" s="3" t="s">
        <v>3819</v>
      </c>
      <c r="D983" s="3" t="s">
        <v>3820</v>
      </c>
      <c r="E983" s="3">
        <v>751027.0</v>
      </c>
      <c r="F983" s="5">
        <v>1.0</v>
      </c>
      <c r="G983" s="3" t="s">
        <v>1021</v>
      </c>
      <c r="H983" s="3" t="s">
        <v>1021</v>
      </c>
      <c r="I983" s="3" t="s">
        <v>1021</v>
      </c>
      <c r="J983" s="4" t="str">
        <f t="shared" si="1"/>
        <v>박규현5383</v>
      </c>
      <c r="K983" s="3" t="str">
        <f t="shared" si="2"/>
        <v>정상</v>
      </c>
      <c r="L983" s="4">
        <v>35000.0</v>
      </c>
      <c r="M983" s="4">
        <v>35000.0</v>
      </c>
      <c r="N983" s="4">
        <v>0.0</v>
      </c>
    </row>
    <row r="984">
      <c r="A984" s="5">
        <v>1275.0</v>
      </c>
      <c r="B984" s="3" t="s">
        <v>3821</v>
      </c>
      <c r="C984" s="3" t="s">
        <v>3822</v>
      </c>
      <c r="D984" s="3" t="s">
        <v>3823</v>
      </c>
      <c r="E984" s="3">
        <v>660306.0</v>
      </c>
      <c r="F984" s="5">
        <v>2.0</v>
      </c>
      <c r="G984" s="3" t="s">
        <v>2968</v>
      </c>
      <c r="H984" s="3" t="s">
        <v>3824</v>
      </c>
      <c r="I984" s="3">
        <v>960303.0</v>
      </c>
      <c r="J984" s="4" t="str">
        <f t="shared" si="1"/>
        <v>강종오8620</v>
      </c>
      <c r="K984" s="3" t="str">
        <f t="shared" si="2"/>
        <v>정상</v>
      </c>
      <c r="L984" s="4">
        <v>70000.0</v>
      </c>
      <c r="M984" s="4">
        <v>70000.0</v>
      </c>
      <c r="N984" s="4">
        <v>0.0</v>
      </c>
    </row>
    <row r="985">
      <c r="A985" s="5">
        <v>1274.0</v>
      </c>
      <c r="B985" s="3" t="s">
        <v>3825</v>
      </c>
      <c r="C985" s="3" t="s">
        <v>3826</v>
      </c>
      <c r="D985" s="3" t="s">
        <v>3827</v>
      </c>
      <c r="E985" s="3">
        <v>590930.0</v>
      </c>
      <c r="F985" s="5">
        <v>1.0</v>
      </c>
      <c r="G985" s="3" t="s">
        <v>1021</v>
      </c>
      <c r="H985" s="3" t="s">
        <v>1021</v>
      </c>
      <c r="I985" s="3" t="s">
        <v>1021</v>
      </c>
      <c r="J985" s="4" t="str">
        <f t="shared" si="1"/>
        <v>손미화8192</v>
      </c>
      <c r="K985" s="3" t="str">
        <f t="shared" si="2"/>
        <v>정상</v>
      </c>
      <c r="L985" s="4">
        <v>35000.0</v>
      </c>
      <c r="M985" s="4">
        <v>35000.0</v>
      </c>
      <c r="N985" s="4">
        <v>0.0</v>
      </c>
    </row>
    <row r="986">
      <c r="A986" s="5">
        <v>1273.0</v>
      </c>
      <c r="B986" s="3" t="s">
        <v>3828</v>
      </c>
      <c r="C986" s="3" t="s">
        <v>3829</v>
      </c>
      <c r="D986" s="3" t="s">
        <v>3830</v>
      </c>
      <c r="E986" s="3">
        <v>620808.0</v>
      </c>
      <c r="F986" s="5">
        <v>1.0</v>
      </c>
      <c r="G986" s="3" t="s">
        <v>1021</v>
      </c>
      <c r="H986" s="3" t="s">
        <v>1021</v>
      </c>
      <c r="I986" s="3" t="s">
        <v>1021</v>
      </c>
      <c r="J986" s="4" t="str">
        <f t="shared" si="1"/>
        <v>황남순9282</v>
      </c>
      <c r="K986" s="3" t="str">
        <f t="shared" si="2"/>
        <v>정상</v>
      </c>
      <c r="L986" s="4">
        <v>35000.0</v>
      </c>
      <c r="M986" s="4">
        <v>35000.0</v>
      </c>
      <c r="N986" s="4">
        <v>0.0</v>
      </c>
    </row>
    <row r="987">
      <c r="A987" s="5">
        <v>1272.0</v>
      </c>
      <c r="B987" s="3" t="s">
        <v>3831</v>
      </c>
      <c r="C987" s="3" t="s">
        <v>3832</v>
      </c>
      <c r="D987" s="3" t="s">
        <v>3833</v>
      </c>
      <c r="E987" s="3">
        <v>580805.0</v>
      </c>
      <c r="F987" s="5">
        <v>1.0</v>
      </c>
      <c r="G987" s="3" t="s">
        <v>1021</v>
      </c>
      <c r="H987" s="3" t="s">
        <v>1021</v>
      </c>
      <c r="I987" s="3" t="s">
        <v>1021</v>
      </c>
      <c r="J987" s="4" t="str">
        <f t="shared" si="1"/>
        <v>임순빈4525</v>
      </c>
      <c r="K987" s="3" t="str">
        <f t="shared" si="2"/>
        <v>정상</v>
      </c>
      <c r="L987" s="4">
        <v>35000.0</v>
      </c>
      <c r="M987" s="4">
        <v>35000.0</v>
      </c>
      <c r="N987" s="4">
        <v>0.0</v>
      </c>
    </row>
    <row r="988">
      <c r="A988" s="5">
        <v>1271.0</v>
      </c>
      <c r="B988" s="3" t="s">
        <v>3834</v>
      </c>
      <c r="C988" s="3" t="s">
        <v>3835</v>
      </c>
      <c r="D988" s="3" t="s">
        <v>3836</v>
      </c>
      <c r="E988" s="3">
        <v>561115.0</v>
      </c>
      <c r="F988" s="5">
        <v>2.0</v>
      </c>
      <c r="G988" s="3" t="s">
        <v>2355</v>
      </c>
      <c r="H988" s="3" t="s">
        <v>3837</v>
      </c>
      <c r="I988" s="3">
        <v>710416.0</v>
      </c>
      <c r="J988" s="4" t="str">
        <f t="shared" si="1"/>
        <v>이금봉6142</v>
      </c>
      <c r="K988" s="3" t="str">
        <f t="shared" si="2"/>
        <v>정상</v>
      </c>
      <c r="L988" s="4">
        <v>70000.0</v>
      </c>
      <c r="M988" s="4">
        <v>70000.0</v>
      </c>
      <c r="N988" s="4">
        <v>0.0</v>
      </c>
    </row>
    <row r="989">
      <c r="A989" s="5">
        <v>1270.0</v>
      </c>
      <c r="B989" s="3" t="s">
        <v>3838</v>
      </c>
      <c r="C989" s="3" t="s">
        <v>3839</v>
      </c>
      <c r="D989" s="3" t="s">
        <v>3840</v>
      </c>
      <c r="E989" s="3">
        <v>811225.0</v>
      </c>
      <c r="F989" s="5">
        <v>1.0</v>
      </c>
      <c r="G989" s="3" t="s">
        <v>1021</v>
      </c>
      <c r="H989" s="3" t="s">
        <v>1021</v>
      </c>
      <c r="I989" s="3" t="s">
        <v>1021</v>
      </c>
      <c r="J989" s="4" t="str">
        <f t="shared" si="1"/>
        <v>양영주6549</v>
      </c>
      <c r="K989" s="3" t="str">
        <f t="shared" si="2"/>
        <v>정상</v>
      </c>
      <c r="L989" s="4">
        <v>35000.0</v>
      </c>
      <c r="M989" s="4">
        <v>35000.0</v>
      </c>
      <c r="N989" s="4">
        <v>0.0</v>
      </c>
    </row>
    <row r="990">
      <c r="A990" s="5">
        <v>1269.0</v>
      </c>
      <c r="B990" s="3" t="s">
        <v>3841</v>
      </c>
      <c r="C990" s="3" t="s">
        <v>3842</v>
      </c>
      <c r="D990" s="3" t="s">
        <v>3843</v>
      </c>
      <c r="E990" s="3">
        <v>640623.0</v>
      </c>
      <c r="F990" s="5">
        <v>1.0</v>
      </c>
      <c r="G990" s="3" t="s">
        <v>1021</v>
      </c>
      <c r="H990" s="3" t="s">
        <v>1021</v>
      </c>
      <c r="I990" s="3" t="s">
        <v>1021</v>
      </c>
      <c r="J990" s="4" t="str">
        <f t="shared" si="1"/>
        <v>이복남7212</v>
      </c>
      <c r="K990" s="3" t="str">
        <f t="shared" si="2"/>
        <v>정상</v>
      </c>
      <c r="L990" s="4">
        <v>35000.0</v>
      </c>
      <c r="M990" s="4">
        <v>35000.0</v>
      </c>
      <c r="N990" s="4">
        <v>0.0</v>
      </c>
    </row>
    <row r="991">
      <c r="A991" s="5">
        <v>1268.0</v>
      </c>
      <c r="B991" s="3" t="s">
        <v>3844</v>
      </c>
      <c r="C991" s="3" t="s">
        <v>3845</v>
      </c>
      <c r="D991" s="3" t="s">
        <v>3846</v>
      </c>
      <c r="E991" s="3">
        <v>581025.0</v>
      </c>
      <c r="F991" s="5">
        <v>1.0</v>
      </c>
      <c r="G991" s="3" t="s">
        <v>1021</v>
      </c>
      <c r="H991" s="3" t="s">
        <v>1021</v>
      </c>
      <c r="I991" s="3" t="s">
        <v>1021</v>
      </c>
      <c r="J991" s="4" t="str">
        <f t="shared" si="1"/>
        <v>오금순9367</v>
      </c>
      <c r="K991" s="3" t="str">
        <f t="shared" si="2"/>
        <v>정상</v>
      </c>
      <c r="L991" s="4">
        <v>35000.0</v>
      </c>
      <c r="M991" s="4">
        <v>35000.0</v>
      </c>
      <c r="N991" s="4">
        <v>0.0</v>
      </c>
    </row>
    <row r="992">
      <c r="A992" s="5">
        <v>1267.0</v>
      </c>
      <c r="B992" s="3" t="s">
        <v>3847</v>
      </c>
      <c r="C992" s="3" t="s">
        <v>3848</v>
      </c>
      <c r="D992" s="3" t="s">
        <v>3849</v>
      </c>
      <c r="E992" s="3">
        <v>620515.0</v>
      </c>
      <c r="F992" s="5">
        <v>1.0</v>
      </c>
      <c r="G992" s="3" t="s">
        <v>1021</v>
      </c>
      <c r="H992" s="3" t="s">
        <v>1021</v>
      </c>
      <c r="I992" s="3" t="s">
        <v>1021</v>
      </c>
      <c r="J992" s="4" t="str">
        <f t="shared" si="1"/>
        <v>손영숙5896</v>
      </c>
      <c r="K992" s="3" t="str">
        <f t="shared" si="2"/>
        <v>정상</v>
      </c>
      <c r="L992" s="4">
        <v>35000.0</v>
      </c>
      <c r="M992" s="4">
        <v>35000.0</v>
      </c>
      <c r="N992" s="4">
        <v>0.0</v>
      </c>
    </row>
    <row r="993">
      <c r="A993" s="5">
        <v>1266.0</v>
      </c>
      <c r="B993" s="3" t="s">
        <v>3850</v>
      </c>
      <c r="C993" s="3" t="s">
        <v>3851</v>
      </c>
      <c r="D993" s="3" t="s">
        <v>3852</v>
      </c>
      <c r="E993" s="3">
        <v>611223.0</v>
      </c>
      <c r="F993" s="5">
        <v>2.0</v>
      </c>
      <c r="G993" s="3" t="s">
        <v>3853</v>
      </c>
      <c r="H993" s="3" t="s">
        <v>3854</v>
      </c>
      <c r="I993" s="3">
        <v>660930.0</v>
      </c>
      <c r="J993" s="4" t="str">
        <f t="shared" si="1"/>
        <v>황은옥8084</v>
      </c>
      <c r="K993" s="3" t="str">
        <f t="shared" si="2"/>
        <v>정상</v>
      </c>
      <c r="L993" s="4">
        <v>70000.0</v>
      </c>
      <c r="M993" s="4">
        <v>70000.0</v>
      </c>
      <c r="N993" s="4">
        <v>0.0</v>
      </c>
    </row>
    <row r="994">
      <c r="A994" s="5">
        <v>1265.0</v>
      </c>
      <c r="B994" s="3" t="s">
        <v>3855</v>
      </c>
      <c r="C994" s="3" t="s">
        <v>3856</v>
      </c>
      <c r="D994" s="3" t="s">
        <v>3857</v>
      </c>
      <c r="E994" s="3">
        <v>560330.0</v>
      </c>
      <c r="F994" s="5">
        <v>1.0</v>
      </c>
      <c r="G994" s="3" t="s">
        <v>1021</v>
      </c>
      <c r="H994" s="3" t="s">
        <v>1021</v>
      </c>
      <c r="I994" s="3" t="s">
        <v>1021</v>
      </c>
      <c r="J994" s="4" t="str">
        <f t="shared" si="1"/>
        <v>이희옥0619</v>
      </c>
      <c r="K994" s="3" t="str">
        <f t="shared" si="2"/>
        <v>중복</v>
      </c>
      <c r="L994" s="4">
        <v>35000.0</v>
      </c>
      <c r="M994" s="4">
        <v>140000.0</v>
      </c>
      <c r="N994" s="4">
        <v>105000.0</v>
      </c>
    </row>
    <row r="995">
      <c r="A995" s="5">
        <v>1264.0</v>
      </c>
      <c r="B995" s="3" t="s">
        <v>3858</v>
      </c>
      <c r="C995" s="3" t="s">
        <v>3859</v>
      </c>
      <c r="D995" s="3" t="s">
        <v>3860</v>
      </c>
      <c r="E995" s="3">
        <v>510419.0</v>
      </c>
      <c r="F995" s="5">
        <v>2.0</v>
      </c>
      <c r="G995" s="3" t="s">
        <v>3861</v>
      </c>
      <c r="H995" s="3" t="s">
        <v>3862</v>
      </c>
      <c r="I995" s="3">
        <v>520131.0</v>
      </c>
      <c r="J995" s="4" t="str">
        <f t="shared" si="1"/>
        <v>이재민2527</v>
      </c>
      <c r="K995" s="3" t="str">
        <f t="shared" si="2"/>
        <v>정상</v>
      </c>
      <c r="L995" s="4">
        <v>70000.0</v>
      </c>
      <c r="M995" s="4">
        <v>70000.0</v>
      </c>
      <c r="N995" s="4">
        <v>0.0</v>
      </c>
    </row>
    <row r="996">
      <c r="A996" s="5">
        <v>1263.0</v>
      </c>
      <c r="B996" s="3" t="s">
        <v>3863</v>
      </c>
      <c r="C996" s="3" t="s">
        <v>3864</v>
      </c>
      <c r="D996" s="3" t="s">
        <v>3865</v>
      </c>
      <c r="E996" s="3">
        <v>610225.0</v>
      </c>
      <c r="F996" s="5">
        <v>1.0</v>
      </c>
      <c r="G996" s="3" t="s">
        <v>1021</v>
      </c>
      <c r="H996" s="3" t="s">
        <v>1021</v>
      </c>
      <c r="I996" s="3" t="s">
        <v>1021</v>
      </c>
      <c r="J996" s="4" t="str">
        <f t="shared" si="1"/>
        <v>황명선3881</v>
      </c>
      <c r="K996" s="3" t="str">
        <f t="shared" si="2"/>
        <v>정상</v>
      </c>
      <c r="L996" s="4">
        <v>35000.0</v>
      </c>
      <c r="M996" s="4">
        <v>35000.0</v>
      </c>
      <c r="N996" s="4">
        <v>0.0</v>
      </c>
    </row>
    <row r="997">
      <c r="A997" s="5">
        <v>1262.0</v>
      </c>
      <c r="B997" s="3" t="s">
        <v>3866</v>
      </c>
      <c r="C997" s="3" t="s">
        <v>3867</v>
      </c>
      <c r="D997" s="3" t="s">
        <v>3868</v>
      </c>
      <c r="E997" s="3">
        <v>650306.0</v>
      </c>
      <c r="F997" s="5">
        <v>1.0</v>
      </c>
      <c r="G997" s="3" t="s">
        <v>1021</v>
      </c>
      <c r="H997" s="3" t="s">
        <v>1021</v>
      </c>
      <c r="I997" s="3" t="s">
        <v>1021</v>
      </c>
      <c r="J997" s="4" t="str">
        <f t="shared" si="1"/>
        <v>김인혜0306</v>
      </c>
      <c r="K997" s="3" t="str">
        <f t="shared" si="2"/>
        <v>정상</v>
      </c>
      <c r="L997" s="4">
        <v>35000.0</v>
      </c>
      <c r="M997" s="4">
        <v>35000.0</v>
      </c>
      <c r="N997" s="4">
        <v>0.0</v>
      </c>
    </row>
    <row r="998">
      <c r="A998" s="5">
        <v>1261.0</v>
      </c>
      <c r="B998" s="3" t="s">
        <v>3869</v>
      </c>
      <c r="C998" s="3" t="s">
        <v>3870</v>
      </c>
      <c r="D998" s="3" t="s">
        <v>3871</v>
      </c>
      <c r="E998" s="3">
        <v>570108.0</v>
      </c>
      <c r="F998" s="5">
        <v>2.0</v>
      </c>
      <c r="G998" s="3" t="s">
        <v>3872</v>
      </c>
      <c r="H998" s="3" t="s">
        <v>3873</v>
      </c>
      <c r="I998" s="3">
        <v>530122.0</v>
      </c>
      <c r="J998" s="4" t="str">
        <f t="shared" si="1"/>
        <v>공나윤5944</v>
      </c>
      <c r="K998" s="3" t="str">
        <f t="shared" si="2"/>
        <v>정상</v>
      </c>
      <c r="L998" s="4">
        <v>70000.0</v>
      </c>
      <c r="M998" s="4">
        <v>70000.0</v>
      </c>
      <c r="N998" s="4">
        <v>0.0</v>
      </c>
    </row>
    <row r="999">
      <c r="A999" s="5">
        <v>1260.0</v>
      </c>
      <c r="B999" s="3" t="s">
        <v>3874</v>
      </c>
      <c r="C999" s="3" t="s">
        <v>3875</v>
      </c>
      <c r="D999" s="3" t="s">
        <v>3876</v>
      </c>
      <c r="E999" s="3">
        <v>740908.0</v>
      </c>
      <c r="F999" s="5">
        <v>1.0</v>
      </c>
      <c r="G999" s="3" t="s">
        <v>1021</v>
      </c>
      <c r="H999" s="3" t="s">
        <v>1021</v>
      </c>
      <c r="I999" s="3" t="s">
        <v>1021</v>
      </c>
      <c r="J999" s="4" t="str">
        <f t="shared" si="1"/>
        <v>박지영6373</v>
      </c>
      <c r="K999" s="3" t="str">
        <f t="shared" si="2"/>
        <v>정상</v>
      </c>
      <c r="L999" s="4">
        <v>35000.0</v>
      </c>
      <c r="M999" s="4">
        <v>35000.0</v>
      </c>
      <c r="N999" s="4">
        <v>0.0</v>
      </c>
    </row>
    <row r="1000">
      <c r="A1000" s="5">
        <v>1259.0</v>
      </c>
      <c r="B1000" s="3" t="s">
        <v>3877</v>
      </c>
      <c r="C1000" s="3" t="s">
        <v>3878</v>
      </c>
      <c r="D1000" s="3" t="s">
        <v>3879</v>
      </c>
      <c r="E1000" s="3">
        <v>570329.0</v>
      </c>
      <c r="F1000" s="5">
        <v>1.0</v>
      </c>
      <c r="G1000" s="3" t="s">
        <v>1021</v>
      </c>
      <c r="H1000" s="3" t="s">
        <v>1021</v>
      </c>
      <c r="I1000" s="3" t="s">
        <v>1021</v>
      </c>
      <c r="J1000" s="4" t="str">
        <f t="shared" si="1"/>
        <v>나경희3088</v>
      </c>
      <c r="K1000" s="3" t="str">
        <f t="shared" si="2"/>
        <v>정상</v>
      </c>
      <c r="L1000" s="4">
        <v>35000.0</v>
      </c>
      <c r="M1000" s="4">
        <v>35000.0</v>
      </c>
      <c r="N1000" s="4">
        <v>0.0</v>
      </c>
    </row>
    <row r="1001">
      <c r="A1001" s="5">
        <v>1258.0</v>
      </c>
      <c r="B1001" s="3" t="s">
        <v>3880</v>
      </c>
      <c r="C1001" s="3" t="s">
        <v>3881</v>
      </c>
      <c r="D1001" s="3" t="s">
        <v>3882</v>
      </c>
      <c r="E1001" s="3">
        <v>680103.0</v>
      </c>
      <c r="F1001" s="5">
        <v>1.0</v>
      </c>
      <c r="G1001" s="3" t="s">
        <v>1021</v>
      </c>
      <c r="H1001" s="3" t="s">
        <v>1021</v>
      </c>
      <c r="I1001" s="3" t="s">
        <v>1021</v>
      </c>
      <c r="J1001" s="4" t="str">
        <f t="shared" si="1"/>
        <v>황연자7927</v>
      </c>
      <c r="K1001" s="3" t="str">
        <f t="shared" si="2"/>
        <v>정상</v>
      </c>
      <c r="L1001" s="4">
        <v>35000.0</v>
      </c>
      <c r="M1001" s="4">
        <v>35000.0</v>
      </c>
      <c r="N1001" s="4">
        <v>0.0</v>
      </c>
    </row>
    <row r="1002">
      <c r="A1002" s="5">
        <v>1257.0</v>
      </c>
      <c r="B1002" s="3" t="s">
        <v>3883</v>
      </c>
      <c r="C1002" s="3" t="s">
        <v>3884</v>
      </c>
      <c r="D1002" s="3" t="s">
        <v>3885</v>
      </c>
      <c r="E1002" s="3">
        <v>640321.0</v>
      </c>
      <c r="F1002" s="5">
        <v>2.0</v>
      </c>
      <c r="G1002" s="3" t="s">
        <v>3886</v>
      </c>
      <c r="H1002" s="3" t="s">
        <v>3887</v>
      </c>
      <c r="I1002" s="3">
        <v>590627.0</v>
      </c>
      <c r="J1002" s="4" t="str">
        <f t="shared" si="1"/>
        <v>김정화6109</v>
      </c>
      <c r="K1002" s="3" t="str">
        <f t="shared" si="2"/>
        <v>정상</v>
      </c>
      <c r="L1002" s="4">
        <v>70000.0</v>
      </c>
      <c r="M1002" s="4">
        <v>70000.0</v>
      </c>
      <c r="N1002" s="4">
        <v>0.0</v>
      </c>
    </row>
    <row r="1003">
      <c r="A1003" s="5">
        <v>1256.0</v>
      </c>
      <c r="B1003" s="3" t="s">
        <v>3888</v>
      </c>
      <c r="C1003" s="3" t="s">
        <v>3889</v>
      </c>
      <c r="D1003" s="3" t="s">
        <v>3890</v>
      </c>
      <c r="E1003" s="3">
        <v>540913.0</v>
      </c>
      <c r="F1003" s="5">
        <v>1.0</v>
      </c>
      <c r="G1003" s="3" t="s">
        <v>1021</v>
      </c>
      <c r="H1003" s="3" t="s">
        <v>1021</v>
      </c>
      <c r="I1003" s="3" t="s">
        <v>1021</v>
      </c>
      <c r="J1003" s="4" t="str">
        <f t="shared" si="1"/>
        <v>정옥녀8291</v>
      </c>
      <c r="K1003" s="3" t="str">
        <f t="shared" si="2"/>
        <v>정상</v>
      </c>
      <c r="L1003" s="4">
        <v>35000.0</v>
      </c>
      <c r="M1003" s="4">
        <v>35000.0</v>
      </c>
      <c r="N1003" s="4">
        <v>0.0</v>
      </c>
    </row>
    <row r="1004">
      <c r="A1004" s="5">
        <v>1255.0</v>
      </c>
      <c r="B1004" s="3" t="s">
        <v>3891</v>
      </c>
      <c r="C1004" s="3" t="s">
        <v>2813</v>
      </c>
      <c r="D1004" s="3" t="s">
        <v>3892</v>
      </c>
      <c r="E1004" s="3">
        <v>600323.0</v>
      </c>
      <c r="F1004" s="5">
        <v>1.0</v>
      </c>
      <c r="G1004" s="3" t="s">
        <v>1021</v>
      </c>
      <c r="H1004" s="3" t="s">
        <v>1021</v>
      </c>
      <c r="I1004" s="3" t="s">
        <v>1021</v>
      </c>
      <c r="J1004" s="4" t="str">
        <f t="shared" si="1"/>
        <v>김미숙7611</v>
      </c>
      <c r="K1004" s="3" t="str">
        <f t="shared" si="2"/>
        <v>정상</v>
      </c>
      <c r="L1004" s="4">
        <v>35000.0</v>
      </c>
      <c r="M1004" s="4">
        <v>35000.0</v>
      </c>
      <c r="N1004" s="4">
        <v>0.0</v>
      </c>
    </row>
    <row r="1005">
      <c r="A1005" s="5">
        <v>1254.0</v>
      </c>
      <c r="B1005" s="3" t="s">
        <v>3893</v>
      </c>
      <c r="C1005" s="3" t="s">
        <v>3894</v>
      </c>
      <c r="D1005" s="3" t="s">
        <v>3895</v>
      </c>
      <c r="E1005" s="3">
        <v>650410.0</v>
      </c>
      <c r="F1005" s="5">
        <v>1.0</v>
      </c>
      <c r="G1005" s="3" t="s">
        <v>1021</v>
      </c>
      <c r="H1005" s="3" t="s">
        <v>1021</v>
      </c>
      <c r="I1005" s="3" t="s">
        <v>1021</v>
      </c>
      <c r="J1005" s="4" t="str">
        <f t="shared" si="1"/>
        <v>신지우2577</v>
      </c>
      <c r="K1005" s="3" t="str">
        <f t="shared" si="2"/>
        <v>정상</v>
      </c>
      <c r="L1005" s="4">
        <v>35000.0</v>
      </c>
      <c r="M1005" s="4">
        <v>35000.0</v>
      </c>
      <c r="N1005" s="4">
        <v>0.0</v>
      </c>
    </row>
    <row r="1006">
      <c r="A1006" s="5">
        <v>1253.0</v>
      </c>
      <c r="B1006" s="3" t="s">
        <v>3896</v>
      </c>
      <c r="C1006" s="3" t="s">
        <v>3897</v>
      </c>
      <c r="D1006" s="3" t="s">
        <v>3898</v>
      </c>
      <c r="E1006" s="3">
        <v>741109.0</v>
      </c>
      <c r="F1006" s="5">
        <v>1.0</v>
      </c>
      <c r="G1006" s="3" t="s">
        <v>1021</v>
      </c>
      <c r="H1006" s="3" t="s">
        <v>1021</v>
      </c>
      <c r="I1006" s="3" t="s">
        <v>1021</v>
      </c>
      <c r="J1006" s="4" t="str">
        <f t="shared" si="1"/>
        <v>박현선0621</v>
      </c>
      <c r="K1006" s="3" t="str">
        <f t="shared" si="2"/>
        <v>정상</v>
      </c>
      <c r="L1006" s="4">
        <v>35000.0</v>
      </c>
      <c r="M1006" s="4">
        <v>35000.0</v>
      </c>
      <c r="N1006" s="4">
        <v>0.0</v>
      </c>
    </row>
    <row r="1007">
      <c r="A1007" s="5">
        <v>1252.0</v>
      </c>
      <c r="B1007" s="3" t="s">
        <v>3899</v>
      </c>
      <c r="C1007" s="3" t="s">
        <v>2378</v>
      </c>
      <c r="D1007" s="3" t="s">
        <v>3900</v>
      </c>
      <c r="E1007" s="3">
        <v>700313.0</v>
      </c>
      <c r="F1007" s="5">
        <v>1.0</v>
      </c>
      <c r="G1007" s="3" t="s">
        <v>1021</v>
      </c>
      <c r="H1007" s="3" t="s">
        <v>1021</v>
      </c>
      <c r="I1007" s="3" t="s">
        <v>1021</v>
      </c>
      <c r="J1007" s="4" t="str">
        <f t="shared" si="1"/>
        <v>김혜란2120</v>
      </c>
      <c r="K1007" s="3" t="str">
        <f t="shared" si="2"/>
        <v>정상</v>
      </c>
      <c r="L1007" s="4">
        <v>35000.0</v>
      </c>
      <c r="M1007" s="4">
        <v>35000.0</v>
      </c>
      <c r="N1007" s="4">
        <v>0.0</v>
      </c>
    </row>
    <row r="1008">
      <c r="A1008" s="5">
        <v>1251.0</v>
      </c>
      <c r="B1008" s="3" t="s">
        <v>3901</v>
      </c>
      <c r="C1008" s="3" t="s">
        <v>3902</v>
      </c>
      <c r="D1008" s="3" t="s">
        <v>3903</v>
      </c>
      <c r="E1008" s="3">
        <v>580205.0</v>
      </c>
      <c r="F1008" s="5">
        <v>1.0</v>
      </c>
      <c r="G1008" s="3" t="s">
        <v>1021</v>
      </c>
      <c r="H1008" s="3" t="s">
        <v>1021</v>
      </c>
      <c r="I1008" s="3" t="s">
        <v>1021</v>
      </c>
      <c r="J1008" s="4" t="str">
        <f t="shared" si="1"/>
        <v>노영숙6512</v>
      </c>
      <c r="K1008" s="3" t="str">
        <f t="shared" si="2"/>
        <v>정상</v>
      </c>
      <c r="L1008" s="4">
        <v>35000.0</v>
      </c>
      <c r="M1008" s="4">
        <v>35000.0</v>
      </c>
      <c r="N1008" s="4">
        <v>0.0</v>
      </c>
    </row>
    <row r="1009">
      <c r="A1009" s="5">
        <v>1250.0</v>
      </c>
      <c r="B1009" s="3" t="s">
        <v>3904</v>
      </c>
      <c r="C1009" s="3" t="s">
        <v>3905</v>
      </c>
      <c r="D1009" s="3" t="s">
        <v>3906</v>
      </c>
      <c r="E1009" s="3">
        <v>680930.0</v>
      </c>
      <c r="F1009" s="5">
        <v>2.0</v>
      </c>
      <c r="G1009" s="3" t="s">
        <v>3907</v>
      </c>
      <c r="H1009" s="3" t="s">
        <v>3908</v>
      </c>
      <c r="I1009" s="3">
        <v>680724.0</v>
      </c>
      <c r="J1009" s="4" t="str">
        <f t="shared" si="1"/>
        <v>경현옥7399</v>
      </c>
      <c r="K1009" s="3" t="str">
        <f t="shared" si="2"/>
        <v>정상</v>
      </c>
      <c r="L1009" s="4">
        <v>70000.0</v>
      </c>
      <c r="M1009" s="4">
        <v>70000.0</v>
      </c>
      <c r="N1009" s="4">
        <v>0.0</v>
      </c>
    </row>
    <row r="1010">
      <c r="A1010" s="5">
        <v>1249.0</v>
      </c>
      <c r="B1010" s="3" t="s">
        <v>3909</v>
      </c>
      <c r="C1010" s="3" t="s">
        <v>2747</v>
      </c>
      <c r="D1010" s="3" t="s">
        <v>3910</v>
      </c>
      <c r="E1010" s="3">
        <v>790215.0</v>
      </c>
      <c r="F1010" s="5">
        <v>2.0</v>
      </c>
      <c r="G1010" s="3" t="s">
        <v>3911</v>
      </c>
      <c r="H1010" s="3" t="s">
        <v>3912</v>
      </c>
      <c r="I1010" s="3">
        <v>741101.0</v>
      </c>
      <c r="J1010" s="4" t="str">
        <f t="shared" si="1"/>
        <v>이혜은2027</v>
      </c>
      <c r="K1010" s="3" t="str">
        <f t="shared" si="2"/>
        <v>정상</v>
      </c>
      <c r="L1010" s="4">
        <v>70000.0</v>
      </c>
      <c r="M1010" s="4">
        <v>70000.0</v>
      </c>
      <c r="N1010" s="4">
        <v>0.0</v>
      </c>
    </row>
  </sheetData>
  <autoFilter ref="$A$1:$N$1010">
    <sortState ref="A1:N1010">
      <sortCondition descending="1" ref="F1:F1010"/>
      <sortCondition descending="1" ref="N1:N1010"/>
      <sortCondition descending="1" ref="G1:G1010"/>
      <sortCondition ref="J1:J1010"/>
      <sortCondition descending="1" ref="M1:M1010"/>
      <sortCondition ref="K1:K1010"/>
      <sortCondition ref="C1:C1010"/>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3" max="3" width="17.38"/>
    <col customWidth="1" min="4" max="6" width="13.13"/>
    <col customWidth="1" min="7" max="7" width="7.38"/>
    <col customWidth="1" min="9" max="9" width="11.63"/>
    <col customWidth="1" min="16" max="16" width="19.25"/>
  </cols>
  <sheetData>
    <row r="1">
      <c r="A1" s="10" t="s">
        <v>3913</v>
      </c>
      <c r="B1" s="10" t="s">
        <v>3914</v>
      </c>
      <c r="C1" s="10" t="s">
        <v>3915</v>
      </c>
      <c r="D1" s="10" t="s">
        <v>3916</v>
      </c>
      <c r="E1" s="10" t="s">
        <v>3917</v>
      </c>
      <c r="F1" s="10" t="s">
        <v>3918</v>
      </c>
      <c r="G1" s="10" t="s">
        <v>3919</v>
      </c>
      <c r="H1" s="11" t="s">
        <v>3920</v>
      </c>
      <c r="I1" s="12" t="s">
        <v>3921</v>
      </c>
      <c r="J1" s="12" t="s">
        <v>3922</v>
      </c>
      <c r="K1" s="12" t="s">
        <v>3923</v>
      </c>
      <c r="L1" s="13" t="s">
        <v>3924</v>
      </c>
      <c r="M1" s="14" t="s">
        <v>3916</v>
      </c>
      <c r="N1" s="14" t="s">
        <v>3925</v>
      </c>
      <c r="O1" s="14" t="s">
        <v>3926</v>
      </c>
      <c r="P1" s="14" t="s">
        <v>3927</v>
      </c>
      <c r="Q1" s="14" t="s">
        <v>3928</v>
      </c>
      <c r="R1" s="14" t="s">
        <v>3929</v>
      </c>
      <c r="S1" s="14" t="s">
        <v>3930</v>
      </c>
      <c r="T1" s="15"/>
    </row>
    <row r="2">
      <c r="A2" s="16" t="s">
        <v>3931</v>
      </c>
      <c r="B2" s="17" t="s">
        <v>3932</v>
      </c>
      <c r="C2" s="17" t="s">
        <v>556</v>
      </c>
      <c r="D2" s="17" t="str">
        <f>vlookup(C2,'1. 신청자리스트'!J:N,2,false)</f>
        <v>정상</v>
      </c>
      <c r="E2" s="17" t="str">
        <f>if(D2="정상","",vlookup(C2,'1. 신청자리스트'!J:N,6,false))</f>
        <v/>
      </c>
      <c r="F2" s="17" t="s">
        <v>556</v>
      </c>
      <c r="G2" s="18">
        <v>70000.0</v>
      </c>
      <c r="H2" s="19" t="s">
        <v>3933</v>
      </c>
      <c r="I2" s="20"/>
      <c r="J2" s="20"/>
      <c r="K2" s="20"/>
      <c r="L2" s="21"/>
      <c r="M2" s="22"/>
      <c r="N2" s="22"/>
      <c r="O2" s="22"/>
      <c r="P2" s="22"/>
      <c r="Q2" s="22"/>
      <c r="R2" s="22"/>
      <c r="S2" s="22"/>
      <c r="T2" s="23"/>
    </row>
    <row r="3">
      <c r="A3" s="16" t="s">
        <v>3934</v>
      </c>
      <c r="B3" s="17" t="s">
        <v>3935</v>
      </c>
      <c r="C3" s="17" t="s">
        <v>1</v>
      </c>
      <c r="D3" s="17" t="str">
        <f>vlookup(C3,'1. 신청자리스트'!J:N,2,false)</f>
        <v>정상</v>
      </c>
      <c r="E3" s="17"/>
      <c r="F3" s="17" t="s">
        <v>3936</v>
      </c>
      <c r="G3" s="18">
        <v>35000.0</v>
      </c>
      <c r="H3" s="19" t="s">
        <v>3937</v>
      </c>
      <c r="I3" s="20"/>
      <c r="J3" s="20"/>
      <c r="K3" s="20"/>
      <c r="L3" s="21"/>
      <c r="M3" s="22"/>
      <c r="N3" s="22"/>
      <c r="O3" s="22"/>
      <c r="P3" s="22"/>
      <c r="Q3" s="22"/>
      <c r="R3" s="22"/>
      <c r="S3" s="22"/>
      <c r="T3" s="23"/>
    </row>
    <row r="4">
      <c r="A4" s="16" t="s">
        <v>3938</v>
      </c>
      <c r="B4" s="17" t="s">
        <v>3935</v>
      </c>
      <c r="C4" s="17" t="s">
        <v>2</v>
      </c>
      <c r="D4" s="17" t="str">
        <f>vlookup(C4,'1. 신청자리스트'!J:N,2,false)</f>
        <v>정상</v>
      </c>
      <c r="E4" s="17"/>
      <c r="F4" s="17" t="s">
        <v>2</v>
      </c>
      <c r="G4" s="18">
        <v>35000.0</v>
      </c>
      <c r="H4" s="19" t="s">
        <v>3939</v>
      </c>
      <c r="I4" s="20"/>
      <c r="J4" s="20"/>
      <c r="K4" s="20"/>
      <c r="L4" s="21"/>
      <c r="M4" s="22"/>
      <c r="N4" s="22"/>
      <c r="O4" s="22"/>
      <c r="P4" s="22"/>
      <c r="Q4" s="22"/>
      <c r="R4" s="22"/>
      <c r="S4" s="22"/>
      <c r="T4" s="23"/>
    </row>
    <row r="5">
      <c r="A5" s="16" t="s">
        <v>3940</v>
      </c>
      <c r="B5" s="17" t="s">
        <v>3935</v>
      </c>
      <c r="C5" s="17" t="s">
        <v>557</v>
      </c>
      <c r="D5" s="17" t="str">
        <f>vlookup(C5,'1. 신청자리스트'!J:N,2,false)</f>
        <v>정상</v>
      </c>
      <c r="E5" s="17"/>
      <c r="F5" s="17" t="s">
        <v>557</v>
      </c>
      <c r="G5" s="18">
        <v>70000.0</v>
      </c>
      <c r="H5" s="19" t="s">
        <v>3941</v>
      </c>
      <c r="I5" s="20"/>
      <c r="J5" s="20"/>
      <c r="K5" s="20"/>
      <c r="L5" s="21"/>
      <c r="M5" s="22"/>
      <c r="N5" s="22"/>
      <c r="O5" s="22"/>
      <c r="P5" s="22"/>
      <c r="Q5" s="22"/>
      <c r="R5" s="22"/>
      <c r="S5" s="22"/>
      <c r="T5" s="23"/>
    </row>
    <row r="6">
      <c r="A6" s="16" t="s">
        <v>3942</v>
      </c>
      <c r="B6" s="17" t="s">
        <v>3943</v>
      </c>
      <c r="C6" s="17" t="s">
        <v>3</v>
      </c>
      <c r="D6" s="17" t="str">
        <f>vlookup(C6,'1. 신청자리스트'!J:N,2,false)</f>
        <v>정상</v>
      </c>
      <c r="E6" s="17"/>
      <c r="F6" s="17" t="s">
        <v>3</v>
      </c>
      <c r="G6" s="18">
        <v>35000.0</v>
      </c>
      <c r="H6" s="19" t="s">
        <v>3944</v>
      </c>
      <c r="I6" s="20"/>
      <c r="J6" s="20"/>
      <c r="K6" s="20"/>
      <c r="L6" s="21"/>
      <c r="M6" s="22"/>
      <c r="N6" s="22"/>
      <c r="O6" s="22"/>
      <c r="P6" s="22"/>
      <c r="Q6" s="22"/>
      <c r="R6" s="22"/>
      <c r="S6" s="22"/>
      <c r="T6" s="23"/>
    </row>
    <row r="7">
      <c r="A7" s="16" t="s">
        <v>3945</v>
      </c>
      <c r="B7" s="17" t="s">
        <v>3935</v>
      </c>
      <c r="C7" s="17" t="s">
        <v>558</v>
      </c>
      <c r="D7" s="17" t="str">
        <f>vlookup(C7,'1. 신청자리스트'!J:N,2,false)</f>
        <v>정상</v>
      </c>
      <c r="E7" s="17"/>
      <c r="F7" s="17" t="s">
        <v>558</v>
      </c>
      <c r="G7" s="18">
        <v>70000.0</v>
      </c>
      <c r="H7" s="19" t="s">
        <v>3946</v>
      </c>
      <c r="I7" s="20"/>
      <c r="J7" s="20"/>
      <c r="K7" s="20"/>
      <c r="L7" s="21"/>
      <c r="M7" s="22"/>
      <c r="N7" s="22"/>
      <c r="O7" s="22"/>
      <c r="P7" s="22"/>
      <c r="Q7" s="22"/>
      <c r="R7" s="22"/>
      <c r="S7" s="22"/>
      <c r="T7" s="23"/>
    </row>
    <row r="8">
      <c r="A8" s="16" t="s">
        <v>3945</v>
      </c>
      <c r="B8" s="17" t="s">
        <v>3935</v>
      </c>
      <c r="C8" s="17" t="s">
        <v>4</v>
      </c>
      <c r="D8" s="17" t="str">
        <f>vlookup(C8,'1. 신청자리스트'!J:N,2,false)</f>
        <v>정상</v>
      </c>
      <c r="E8" s="17"/>
      <c r="F8" s="17" t="s">
        <v>4</v>
      </c>
      <c r="G8" s="18">
        <v>35000.0</v>
      </c>
      <c r="H8" s="19" t="s">
        <v>3939</v>
      </c>
      <c r="I8" s="20"/>
      <c r="J8" s="20"/>
      <c r="K8" s="20"/>
      <c r="L8" s="21"/>
      <c r="M8" s="22"/>
      <c r="N8" s="22"/>
      <c r="O8" s="22"/>
      <c r="P8" s="22"/>
      <c r="Q8" s="22"/>
      <c r="R8" s="22"/>
      <c r="S8" s="22"/>
      <c r="T8" s="23"/>
    </row>
    <row r="9">
      <c r="A9" s="24" t="s">
        <v>3940</v>
      </c>
      <c r="B9" s="25" t="s">
        <v>3935</v>
      </c>
      <c r="C9" s="25" t="s">
        <v>559</v>
      </c>
      <c r="D9" s="17" t="str">
        <f>vlookup(C9,'1. 신청자리스트'!J:N,2,false)</f>
        <v>정상</v>
      </c>
      <c r="E9" s="25"/>
      <c r="F9" s="25" t="s">
        <v>3947</v>
      </c>
      <c r="G9" s="26">
        <v>70000.0</v>
      </c>
      <c r="H9" s="27" t="s">
        <v>3948</v>
      </c>
      <c r="I9" s="28"/>
      <c r="J9" s="28"/>
      <c r="K9" s="28"/>
      <c r="L9" s="29"/>
      <c r="M9" s="22"/>
      <c r="N9" s="22"/>
      <c r="O9" s="22"/>
      <c r="P9" s="22"/>
      <c r="Q9" s="22"/>
      <c r="R9" s="22"/>
      <c r="S9" s="22"/>
      <c r="T9" s="23"/>
    </row>
    <row r="10">
      <c r="A10" s="16" t="s">
        <v>3949</v>
      </c>
      <c r="B10" s="17" t="s">
        <v>3932</v>
      </c>
      <c r="C10" s="17" t="s">
        <v>6</v>
      </c>
      <c r="D10" s="17" t="str">
        <f>vlookup(C10,'1. 신청자리스트'!J:N,2,false)</f>
        <v>정상</v>
      </c>
      <c r="E10" s="17"/>
      <c r="F10" s="17" t="s">
        <v>6</v>
      </c>
      <c r="G10" s="18">
        <v>35000.0</v>
      </c>
      <c r="H10" s="19" t="s">
        <v>3950</v>
      </c>
      <c r="I10" s="20"/>
      <c r="J10" s="20"/>
      <c r="K10" s="20"/>
      <c r="L10" s="21"/>
      <c r="M10" s="22"/>
      <c r="N10" s="22"/>
      <c r="O10" s="22"/>
      <c r="P10" s="22"/>
      <c r="Q10" s="22"/>
      <c r="R10" s="22"/>
      <c r="S10" s="22"/>
      <c r="T10" s="23"/>
    </row>
    <row r="11">
      <c r="A11" s="16" t="s">
        <v>3951</v>
      </c>
      <c r="B11" s="17" t="s">
        <v>3935</v>
      </c>
      <c r="C11" s="17" t="s">
        <v>560</v>
      </c>
      <c r="D11" s="17" t="str">
        <f>vlookup(C11,'1. 신청자리스트'!J:N,2,false)</f>
        <v>정상</v>
      </c>
      <c r="E11" s="17"/>
      <c r="F11" s="17" t="s">
        <v>560</v>
      </c>
      <c r="G11" s="18">
        <v>70000.0</v>
      </c>
      <c r="H11" s="19" t="s">
        <v>3952</v>
      </c>
      <c r="I11" s="20"/>
      <c r="J11" s="20"/>
      <c r="K11" s="20"/>
      <c r="L11" s="21"/>
      <c r="M11" s="22"/>
      <c r="N11" s="22"/>
      <c r="O11" s="22"/>
      <c r="P11" s="22"/>
      <c r="Q11" s="22"/>
      <c r="R11" s="22"/>
      <c r="S11" s="22"/>
      <c r="T11" s="23"/>
    </row>
    <row r="12">
      <c r="A12" s="16" t="s">
        <v>3953</v>
      </c>
      <c r="B12" s="17" t="s">
        <v>3935</v>
      </c>
      <c r="C12" s="17" t="s">
        <v>561</v>
      </c>
      <c r="D12" s="17" t="str">
        <f>vlookup(C12,'1. 신청자리스트'!J:N,2,false)</f>
        <v>정상</v>
      </c>
      <c r="E12" s="17"/>
      <c r="F12" s="17" t="s">
        <v>3954</v>
      </c>
      <c r="G12" s="18">
        <v>70000.0</v>
      </c>
      <c r="H12" s="19" t="s">
        <v>3941</v>
      </c>
      <c r="I12" s="20"/>
      <c r="J12" s="20"/>
      <c r="K12" s="20"/>
      <c r="L12" s="21"/>
      <c r="M12" s="22"/>
      <c r="N12" s="22"/>
      <c r="O12" s="22"/>
      <c r="P12" s="22"/>
      <c r="Q12" s="22"/>
      <c r="R12" s="22"/>
      <c r="S12" s="22"/>
      <c r="T12" s="23"/>
    </row>
    <row r="13">
      <c r="A13" s="30" t="s">
        <v>3955</v>
      </c>
      <c r="B13" s="31" t="s">
        <v>3935</v>
      </c>
      <c r="C13" s="31" t="s">
        <v>3956</v>
      </c>
      <c r="D13" s="17" t="str">
        <f>vlookup(C13,'1. 신청자리스트'!J:N,2,false)</f>
        <v>정상</v>
      </c>
      <c r="E13" s="31"/>
      <c r="F13" s="31" t="s">
        <v>3956</v>
      </c>
      <c r="G13" s="32">
        <v>70000.0</v>
      </c>
      <c r="H13" s="33" t="s">
        <v>3946</v>
      </c>
      <c r="I13" s="34" t="str">
        <f>VLOOKUP(C13, '문의'!D:E, 2, FALSE)</f>
        <v>#N/A</v>
      </c>
      <c r="J13" s="35" t="s">
        <v>3823</v>
      </c>
      <c r="K13" s="36" t="s">
        <v>3957</v>
      </c>
      <c r="L13" s="37" t="s">
        <v>3958</v>
      </c>
      <c r="M13" s="38" t="s">
        <v>3959</v>
      </c>
      <c r="N13" s="38" t="s">
        <v>3960</v>
      </c>
      <c r="O13" s="38" t="s">
        <v>3960</v>
      </c>
      <c r="P13" s="39"/>
      <c r="Q13" s="39"/>
      <c r="R13" s="40"/>
      <c r="S13" s="39"/>
      <c r="T13" s="41"/>
    </row>
    <row r="14">
      <c r="A14" s="24" t="s">
        <v>3938</v>
      </c>
      <c r="B14" s="25" t="s">
        <v>3935</v>
      </c>
      <c r="C14" s="25" t="s">
        <v>7</v>
      </c>
      <c r="D14" s="17" t="str">
        <f>vlookup(C14,'1. 신청자리스트'!J:N,2,false)</f>
        <v>정상</v>
      </c>
      <c r="E14" s="25"/>
      <c r="F14" s="25" t="s">
        <v>2960</v>
      </c>
      <c r="G14" s="26">
        <v>35000.0</v>
      </c>
      <c r="H14" s="27" t="s">
        <v>3961</v>
      </c>
      <c r="I14" s="28"/>
      <c r="J14" s="28"/>
      <c r="K14" s="28"/>
      <c r="L14" s="29"/>
      <c r="M14" s="22"/>
      <c r="N14" s="22"/>
      <c r="O14" s="22"/>
      <c r="P14" s="22"/>
      <c r="Q14" s="22"/>
      <c r="R14" s="22"/>
      <c r="S14" s="22"/>
      <c r="T14" s="23"/>
    </row>
    <row r="15">
      <c r="A15" s="24" t="s">
        <v>3962</v>
      </c>
      <c r="B15" s="25" t="s">
        <v>3935</v>
      </c>
      <c r="C15" s="25" t="s">
        <v>8</v>
      </c>
      <c r="D15" s="17" t="str">
        <f>vlookup(C15,'1. 신청자리스트'!J:N,2,false)</f>
        <v>정상</v>
      </c>
      <c r="E15" s="25"/>
      <c r="F15" s="25" t="s">
        <v>2962</v>
      </c>
      <c r="G15" s="26">
        <v>35000.0</v>
      </c>
      <c r="H15" s="27" t="s">
        <v>3946</v>
      </c>
      <c r="I15" s="28"/>
      <c r="J15" s="28"/>
      <c r="K15" s="28"/>
      <c r="L15" s="29"/>
      <c r="M15" s="22"/>
      <c r="N15" s="22"/>
      <c r="O15" s="22"/>
      <c r="P15" s="22"/>
      <c r="Q15" s="22"/>
      <c r="R15" s="22"/>
      <c r="S15" s="22"/>
      <c r="T15" s="23"/>
    </row>
    <row r="16">
      <c r="A16" s="16" t="s">
        <v>3963</v>
      </c>
      <c r="B16" s="17" t="s">
        <v>3935</v>
      </c>
      <c r="C16" s="17" t="s">
        <v>563</v>
      </c>
      <c r="D16" s="17" t="str">
        <f>vlookup(C16,'1. 신청자리스트'!J:N,2,false)</f>
        <v>정상</v>
      </c>
      <c r="E16" s="17"/>
      <c r="F16" s="17" t="s">
        <v>563</v>
      </c>
      <c r="G16" s="18">
        <v>70000.0</v>
      </c>
      <c r="H16" s="19" t="s">
        <v>3939</v>
      </c>
      <c r="I16" s="20"/>
      <c r="J16" s="20"/>
      <c r="K16" s="20"/>
      <c r="L16" s="21"/>
      <c r="M16" s="22"/>
      <c r="N16" s="22"/>
      <c r="O16" s="22"/>
      <c r="P16" s="22"/>
      <c r="Q16" s="22"/>
      <c r="R16" s="22"/>
      <c r="S16" s="22"/>
      <c r="T16" s="23"/>
    </row>
    <row r="17">
      <c r="A17" s="24" t="s">
        <v>3962</v>
      </c>
      <c r="B17" s="25" t="s">
        <v>3935</v>
      </c>
      <c r="C17" s="25" t="s">
        <v>9</v>
      </c>
      <c r="D17" s="17" t="str">
        <f>vlookup(C17,'1. 신청자리스트'!J:N,2,false)</f>
        <v>정상</v>
      </c>
      <c r="E17" s="25"/>
      <c r="F17" s="25" t="s">
        <v>2964</v>
      </c>
      <c r="G17" s="26">
        <v>35000.0</v>
      </c>
      <c r="H17" s="27" t="s">
        <v>3948</v>
      </c>
      <c r="I17" s="28"/>
      <c r="J17" s="28"/>
      <c r="K17" s="28"/>
      <c r="L17" s="29"/>
      <c r="M17" s="22"/>
      <c r="N17" s="22"/>
      <c r="O17" s="22"/>
      <c r="P17" s="22"/>
      <c r="Q17" s="22"/>
      <c r="R17" s="22"/>
      <c r="S17" s="22"/>
      <c r="T17" s="23"/>
    </row>
    <row r="18">
      <c r="A18" s="16" t="s">
        <v>3940</v>
      </c>
      <c r="B18" s="17" t="s">
        <v>3935</v>
      </c>
      <c r="C18" s="17" t="s">
        <v>10</v>
      </c>
      <c r="D18" s="17" t="str">
        <f>vlookup(C18,'1. 신청자리스트'!J:N,2,false)</f>
        <v>정상</v>
      </c>
      <c r="E18" s="17"/>
      <c r="F18" s="17" t="s">
        <v>10</v>
      </c>
      <c r="G18" s="18">
        <v>35000.0</v>
      </c>
      <c r="H18" s="19" t="s">
        <v>3946</v>
      </c>
      <c r="I18" s="20"/>
      <c r="J18" s="20"/>
      <c r="K18" s="20"/>
      <c r="L18" s="21"/>
      <c r="M18" s="22"/>
      <c r="N18" s="22"/>
      <c r="O18" s="22"/>
      <c r="P18" s="22"/>
      <c r="Q18" s="22"/>
      <c r="R18" s="22"/>
      <c r="S18" s="22"/>
      <c r="T18" s="23"/>
    </row>
    <row r="19">
      <c r="A19" s="16" t="s">
        <v>3942</v>
      </c>
      <c r="B19" s="17" t="s">
        <v>3935</v>
      </c>
      <c r="C19" s="17" t="s">
        <v>11</v>
      </c>
      <c r="D19" s="17" t="str">
        <f>vlookup(C19,'1. 신청자리스트'!J:N,2,false)</f>
        <v>정상</v>
      </c>
      <c r="E19" s="17"/>
      <c r="F19" s="17" t="s">
        <v>11</v>
      </c>
      <c r="G19" s="18">
        <v>35000.0</v>
      </c>
      <c r="H19" s="19" t="s">
        <v>3941</v>
      </c>
      <c r="I19" s="20"/>
      <c r="J19" s="20"/>
      <c r="K19" s="20"/>
      <c r="L19" s="21"/>
      <c r="M19" s="22"/>
      <c r="N19" s="22"/>
      <c r="O19" s="22"/>
      <c r="P19" s="22"/>
      <c r="Q19" s="22"/>
      <c r="R19" s="22"/>
      <c r="S19" s="22"/>
      <c r="T19" s="23"/>
    </row>
    <row r="20">
      <c r="A20" s="24" t="s">
        <v>3945</v>
      </c>
      <c r="B20" s="25" t="s">
        <v>3932</v>
      </c>
      <c r="C20" s="25" t="s">
        <v>564</v>
      </c>
      <c r="D20" s="17" t="str">
        <f>vlookup(C20,'1. 신청자리스트'!J:N,2,false)</f>
        <v>정상</v>
      </c>
      <c r="E20" s="25"/>
      <c r="F20" s="25" t="s">
        <v>2635</v>
      </c>
      <c r="G20" s="26">
        <v>70000.0</v>
      </c>
      <c r="H20" s="27" t="s">
        <v>3964</v>
      </c>
      <c r="I20" s="28"/>
      <c r="J20" s="28"/>
      <c r="K20" s="28"/>
      <c r="L20" s="29"/>
      <c r="M20" s="22"/>
      <c r="N20" s="22"/>
      <c r="O20" s="22"/>
      <c r="P20" s="22"/>
      <c r="Q20" s="22"/>
      <c r="R20" s="22"/>
      <c r="S20" s="22"/>
      <c r="T20" s="23"/>
    </row>
    <row r="21">
      <c r="A21" s="16" t="s">
        <v>3951</v>
      </c>
      <c r="B21" s="17" t="s">
        <v>3935</v>
      </c>
      <c r="C21" s="17" t="s">
        <v>12</v>
      </c>
      <c r="D21" s="17" t="str">
        <f>vlookup(C21,'1. 신청자리스트'!J:N,2,false)</f>
        <v>정상</v>
      </c>
      <c r="E21" s="17"/>
      <c r="F21" s="17" t="s">
        <v>12</v>
      </c>
      <c r="G21" s="18">
        <v>35000.0</v>
      </c>
      <c r="H21" s="19" t="s">
        <v>3937</v>
      </c>
      <c r="I21" s="20"/>
      <c r="J21" s="20"/>
      <c r="K21" s="20"/>
      <c r="L21" s="21"/>
      <c r="M21" s="22"/>
      <c r="N21" s="22"/>
      <c r="O21" s="22"/>
      <c r="P21" s="22"/>
      <c r="Q21" s="22"/>
      <c r="R21" s="22"/>
      <c r="S21" s="22"/>
      <c r="T21" s="23"/>
    </row>
    <row r="22">
      <c r="A22" s="24" t="s">
        <v>3965</v>
      </c>
      <c r="B22" s="25" t="s">
        <v>3935</v>
      </c>
      <c r="C22" s="25" t="s">
        <v>13</v>
      </c>
      <c r="D22" s="17" t="str">
        <f>vlookup(C22,'1. 신청자리스트'!J:N,2,false)</f>
        <v>정상</v>
      </c>
      <c r="E22" s="25"/>
      <c r="F22" s="25" t="s">
        <v>2972</v>
      </c>
      <c r="G22" s="26">
        <v>35000.0</v>
      </c>
      <c r="H22" s="27" t="s">
        <v>3948</v>
      </c>
      <c r="I22" s="28"/>
      <c r="J22" s="28"/>
      <c r="K22" s="28"/>
      <c r="L22" s="29"/>
      <c r="M22" s="22"/>
      <c r="N22" s="22"/>
      <c r="O22" s="22"/>
      <c r="P22" s="22"/>
      <c r="Q22" s="22"/>
      <c r="R22" s="22"/>
      <c r="S22" s="22"/>
      <c r="T22" s="23"/>
    </row>
    <row r="23">
      <c r="A23" s="16" t="s">
        <v>3966</v>
      </c>
      <c r="B23" s="17" t="s">
        <v>3935</v>
      </c>
      <c r="C23" s="17" t="s">
        <v>14</v>
      </c>
      <c r="D23" s="17" t="str">
        <f>vlookup(C23,'1. 신청자리스트'!J:N,2,false)</f>
        <v>정상</v>
      </c>
      <c r="E23" s="17"/>
      <c r="F23" s="17" t="s">
        <v>14</v>
      </c>
      <c r="G23" s="18">
        <v>35000.0</v>
      </c>
      <c r="H23" s="19" t="s">
        <v>3952</v>
      </c>
      <c r="I23" s="20"/>
      <c r="J23" s="20"/>
      <c r="K23" s="20"/>
      <c r="L23" s="21"/>
      <c r="M23" s="22"/>
      <c r="N23" s="22"/>
      <c r="O23" s="22"/>
      <c r="P23" s="22"/>
      <c r="Q23" s="22"/>
      <c r="R23" s="22"/>
      <c r="S23" s="22"/>
      <c r="T23" s="23"/>
    </row>
    <row r="24">
      <c r="A24" s="16" t="s">
        <v>3945</v>
      </c>
      <c r="B24" s="17" t="s">
        <v>3935</v>
      </c>
      <c r="C24" s="17" t="s">
        <v>15</v>
      </c>
      <c r="D24" s="17" t="str">
        <f>vlookup(C24,'1. 신청자리스트'!J:N,2,false)</f>
        <v>정상</v>
      </c>
      <c r="E24" s="17"/>
      <c r="F24" s="17" t="s">
        <v>3967</v>
      </c>
      <c r="G24" s="18">
        <v>35000.0</v>
      </c>
      <c r="H24" s="19" t="s">
        <v>3968</v>
      </c>
      <c r="I24" s="20"/>
      <c r="J24" s="20"/>
      <c r="K24" s="20"/>
      <c r="L24" s="21"/>
      <c r="M24" s="22"/>
      <c r="N24" s="22"/>
      <c r="O24" s="22"/>
      <c r="P24" s="22"/>
      <c r="Q24" s="22"/>
      <c r="R24" s="22"/>
      <c r="S24" s="22"/>
      <c r="T24" s="23"/>
    </row>
    <row r="25">
      <c r="A25" s="30" t="s">
        <v>3953</v>
      </c>
      <c r="B25" s="31" t="s">
        <v>3935</v>
      </c>
      <c r="C25" s="31" t="s">
        <v>3969</v>
      </c>
      <c r="D25" s="17" t="str">
        <f>vlookup(C25,'1. 신청자리스트'!J:N,2,false)</f>
        <v>정상</v>
      </c>
      <c r="E25" s="31"/>
      <c r="F25" s="31" t="s">
        <v>3905</v>
      </c>
      <c r="G25" s="32">
        <v>70000.0</v>
      </c>
      <c r="H25" s="33" t="s">
        <v>3941</v>
      </c>
      <c r="I25" s="34" t="str">
        <f>VLOOKUP(C25, '문의'!D:E, 2, FALSE)</f>
        <v>[취소/환불] 신청내역을 찾을수 없다고 하네요
 입금내역 캡쳐를 해났는데 찾을수 업다니 취소 신청합니다 
 계좌번호 12805572012001 입니다 
 우리은행 경현옥</v>
      </c>
      <c r="J25" s="34">
        <f t="array" ref="J25">INDEX('문의'!C:C, MATCH(C25, '문의'!D:D, 0))</f>
        <v>1041147399</v>
      </c>
      <c r="K25" s="34" t="s">
        <v>3957</v>
      </c>
      <c r="L25" s="37" t="s">
        <v>3970</v>
      </c>
      <c r="M25" s="42"/>
      <c r="N25" s="42"/>
      <c r="O25" s="42"/>
      <c r="P25" s="43"/>
      <c r="Q25" s="42"/>
      <c r="R25" s="44"/>
      <c r="S25" s="42"/>
      <c r="T25" s="41"/>
    </row>
    <row r="26">
      <c r="A26" s="16" t="s">
        <v>3940</v>
      </c>
      <c r="B26" s="17" t="s">
        <v>3932</v>
      </c>
      <c r="C26" s="17" t="s">
        <v>16</v>
      </c>
      <c r="D26" s="17" t="str">
        <f>vlookup(C26,'1. 신청자리스트'!J:N,2,false)</f>
        <v>정상</v>
      </c>
      <c r="E26" s="17"/>
      <c r="F26" s="17" t="s">
        <v>16</v>
      </c>
      <c r="G26" s="18">
        <v>35000.0</v>
      </c>
      <c r="H26" s="19" t="s">
        <v>3971</v>
      </c>
      <c r="I26" s="20"/>
      <c r="J26" s="20"/>
      <c r="K26" s="20"/>
      <c r="L26" s="21"/>
      <c r="M26" s="22"/>
      <c r="N26" s="22"/>
      <c r="O26" s="22"/>
      <c r="P26" s="22"/>
      <c r="Q26" s="22"/>
      <c r="R26" s="22"/>
      <c r="S26" s="22"/>
      <c r="T26" s="23"/>
    </row>
    <row r="27">
      <c r="A27" s="16" t="s">
        <v>3945</v>
      </c>
      <c r="B27" s="17" t="s">
        <v>3935</v>
      </c>
      <c r="C27" s="17" t="s">
        <v>565</v>
      </c>
      <c r="D27" s="17" t="str">
        <f>vlookup(C27,'1. 신청자리스트'!J:N,2,false)</f>
        <v>정상</v>
      </c>
      <c r="E27" s="17"/>
      <c r="F27" s="17" t="s">
        <v>565</v>
      </c>
      <c r="G27" s="18">
        <v>70000.0</v>
      </c>
      <c r="H27" s="19" t="s">
        <v>3941</v>
      </c>
      <c r="I27" s="20"/>
      <c r="J27" s="20"/>
      <c r="K27" s="20"/>
      <c r="L27" s="21"/>
      <c r="M27" s="22"/>
      <c r="N27" s="22"/>
      <c r="O27" s="22"/>
      <c r="P27" s="22"/>
      <c r="Q27" s="22"/>
      <c r="R27" s="22"/>
      <c r="S27" s="22"/>
      <c r="T27" s="23"/>
    </row>
    <row r="28">
      <c r="A28" s="16" t="s">
        <v>3949</v>
      </c>
      <c r="B28" s="17" t="s">
        <v>3935</v>
      </c>
      <c r="C28" s="17" t="s">
        <v>566</v>
      </c>
      <c r="D28" s="17" t="str">
        <f>vlookup(C28,'1. 신청자리스트'!J:N,2,false)</f>
        <v>정상</v>
      </c>
      <c r="E28" s="17"/>
      <c r="F28" s="17" t="s">
        <v>566</v>
      </c>
      <c r="G28" s="18">
        <v>70000.0</v>
      </c>
      <c r="H28" s="19" t="s">
        <v>3941</v>
      </c>
      <c r="I28" s="20"/>
      <c r="J28" s="20"/>
      <c r="K28" s="20"/>
      <c r="L28" s="21"/>
      <c r="M28" s="22"/>
      <c r="N28" s="22"/>
      <c r="O28" s="22"/>
      <c r="P28" s="22"/>
      <c r="Q28" s="22"/>
      <c r="R28" s="22"/>
      <c r="S28" s="22"/>
      <c r="T28" s="23"/>
    </row>
    <row r="29">
      <c r="A29" s="16" t="s">
        <v>3940</v>
      </c>
      <c r="B29" s="17" t="s">
        <v>3943</v>
      </c>
      <c r="C29" s="17" t="s">
        <v>567</v>
      </c>
      <c r="D29" s="17" t="str">
        <f>vlookup(C29,'1. 신청자리스트'!J:N,2,false)</f>
        <v>정상</v>
      </c>
      <c r="E29" s="17"/>
      <c r="F29" s="17" t="s">
        <v>567</v>
      </c>
      <c r="G29" s="18">
        <v>70000.0</v>
      </c>
      <c r="H29" s="19" t="s">
        <v>3944</v>
      </c>
      <c r="I29" s="20"/>
      <c r="J29" s="20"/>
      <c r="K29" s="20"/>
      <c r="L29" s="21"/>
      <c r="M29" s="22"/>
      <c r="N29" s="22"/>
      <c r="O29" s="22"/>
      <c r="P29" s="22"/>
      <c r="Q29" s="22"/>
      <c r="R29" s="22"/>
      <c r="S29" s="22"/>
      <c r="T29" s="23"/>
    </row>
    <row r="30">
      <c r="A30" s="24" t="s">
        <v>3972</v>
      </c>
      <c r="B30" s="25" t="s">
        <v>3935</v>
      </c>
      <c r="C30" s="25" t="s">
        <v>17</v>
      </c>
      <c r="D30" s="17" t="str">
        <f>vlookup(C30,'1. 신청자리스트'!J:N,2,false)</f>
        <v>정상</v>
      </c>
      <c r="E30" s="25"/>
      <c r="F30" s="25" t="s">
        <v>3973</v>
      </c>
      <c r="G30" s="26">
        <v>35000.0</v>
      </c>
      <c r="H30" s="27" t="s">
        <v>3948</v>
      </c>
      <c r="I30" s="28"/>
      <c r="J30" s="28"/>
      <c r="K30" s="28"/>
      <c r="L30" s="29"/>
      <c r="M30" s="22"/>
      <c r="N30" s="22"/>
      <c r="O30" s="22"/>
      <c r="P30" s="22"/>
      <c r="Q30" s="22"/>
      <c r="R30" s="22"/>
      <c r="S30" s="22"/>
      <c r="T30" s="23"/>
    </row>
    <row r="31">
      <c r="A31" s="16" t="s">
        <v>3940</v>
      </c>
      <c r="B31" s="17" t="s">
        <v>3932</v>
      </c>
      <c r="C31" s="17" t="s">
        <v>568</v>
      </c>
      <c r="D31" s="17" t="str">
        <f>vlookup(C31,'1. 신청자리스트'!J:N,2,false)</f>
        <v>정상</v>
      </c>
      <c r="E31" s="17"/>
      <c r="F31" s="17" t="s">
        <v>568</v>
      </c>
      <c r="G31" s="18">
        <v>70000.0</v>
      </c>
      <c r="H31" s="19" t="s">
        <v>3974</v>
      </c>
      <c r="I31" s="20"/>
      <c r="J31" s="20"/>
      <c r="K31" s="20"/>
      <c r="L31" s="21"/>
      <c r="M31" s="22"/>
      <c r="N31" s="22"/>
      <c r="O31" s="22"/>
      <c r="P31" s="22"/>
      <c r="Q31" s="22"/>
      <c r="R31" s="22"/>
      <c r="S31" s="22"/>
      <c r="T31" s="23"/>
    </row>
    <row r="32">
      <c r="A32" s="16" t="s">
        <v>3975</v>
      </c>
      <c r="B32" s="17" t="s">
        <v>3935</v>
      </c>
      <c r="C32" s="17" t="s">
        <v>569</v>
      </c>
      <c r="D32" s="17" t="str">
        <f>vlookup(C32,'1. 신청자리스트'!J:N,2,false)</f>
        <v>정상</v>
      </c>
      <c r="E32" s="17"/>
      <c r="F32" s="17" t="s">
        <v>3976</v>
      </c>
      <c r="G32" s="18">
        <v>70000.0</v>
      </c>
      <c r="H32" s="19" t="s">
        <v>3946</v>
      </c>
      <c r="I32" s="20"/>
      <c r="J32" s="20"/>
      <c r="K32" s="20"/>
      <c r="L32" s="21"/>
      <c r="M32" s="22"/>
      <c r="N32" s="22"/>
      <c r="O32" s="22"/>
      <c r="P32" s="22"/>
      <c r="Q32" s="22"/>
      <c r="R32" s="22"/>
      <c r="S32" s="22"/>
      <c r="T32" s="23"/>
    </row>
    <row r="33">
      <c r="A33" s="30" t="s">
        <v>3938</v>
      </c>
      <c r="B33" s="31" t="s">
        <v>3932</v>
      </c>
      <c r="C33" s="31" t="s">
        <v>3977</v>
      </c>
      <c r="D33" s="17" t="str">
        <f>vlookup(C33,'1. 신청자리스트'!J:N,2,false)</f>
        <v>정상</v>
      </c>
      <c r="E33" s="31"/>
      <c r="F33" s="31" t="s">
        <v>3977</v>
      </c>
      <c r="G33" s="32">
        <v>70000.0</v>
      </c>
      <c r="H33" s="33" t="s">
        <v>3978</v>
      </c>
      <c r="I33" s="34" t="str">
        <f>VLOOKUP(C33, '문의'!D:E, 2, FALSE)</f>
        <v>[취소/환불] 신청된줄 알고
 입금했습니다
 나중에 확인하니 안된거네요ㅜ
 환불계좌
 국민 347 21 0261 158
 금액 70,000 원</v>
      </c>
      <c r="J33" s="34">
        <f t="array" ref="J33">INDEX('문의'!C:C, MATCH(C33, '문의'!D:D, 0))</f>
        <v>1087205944</v>
      </c>
      <c r="K33" s="34" t="s">
        <v>3957</v>
      </c>
      <c r="L33" s="37" t="s">
        <v>3979</v>
      </c>
      <c r="M33" s="42"/>
      <c r="N33" s="42"/>
      <c r="O33" s="42"/>
      <c r="P33" s="42"/>
      <c r="Q33" s="42"/>
      <c r="R33" s="44"/>
      <c r="S33" s="42"/>
      <c r="T33" s="41"/>
    </row>
    <row r="34">
      <c r="A34" s="16" t="s">
        <v>3980</v>
      </c>
      <c r="B34" s="17" t="s">
        <v>3932</v>
      </c>
      <c r="C34" s="17" t="s">
        <v>18</v>
      </c>
      <c r="D34" s="17" t="str">
        <f>vlookup(C34,'1. 신청자리스트'!J:N,2,false)</f>
        <v>정상</v>
      </c>
      <c r="E34" s="17"/>
      <c r="F34" s="17" t="s">
        <v>18</v>
      </c>
      <c r="G34" s="18">
        <v>35000.0</v>
      </c>
      <c r="H34" s="19" t="s">
        <v>3981</v>
      </c>
      <c r="I34" s="20"/>
      <c r="J34" s="20"/>
      <c r="K34" s="20"/>
      <c r="L34" s="21"/>
      <c r="M34" s="22"/>
      <c r="N34" s="22"/>
      <c r="O34" s="22"/>
      <c r="P34" s="22"/>
      <c r="Q34" s="22"/>
      <c r="R34" s="22"/>
      <c r="S34" s="22"/>
      <c r="T34" s="23"/>
    </row>
    <row r="35">
      <c r="A35" s="24" t="s">
        <v>3945</v>
      </c>
      <c r="B35" s="25" t="s">
        <v>3935</v>
      </c>
      <c r="C35" s="25" t="s">
        <v>19</v>
      </c>
      <c r="D35" s="17" t="str">
        <f>vlookup(C35,'1. 신청자리스트'!J:N,2,false)</f>
        <v>정상</v>
      </c>
      <c r="E35" s="25"/>
      <c r="F35" s="25" t="s">
        <v>3982</v>
      </c>
      <c r="G35" s="26">
        <v>35000.0</v>
      </c>
      <c r="H35" s="27" t="s">
        <v>3983</v>
      </c>
      <c r="I35" s="28"/>
      <c r="J35" s="28"/>
      <c r="K35" s="28"/>
      <c r="L35" s="29"/>
      <c r="M35" s="22"/>
      <c r="N35" s="22"/>
      <c r="O35" s="22"/>
      <c r="P35" s="22"/>
      <c r="Q35" s="22"/>
      <c r="R35" s="22"/>
      <c r="S35" s="22"/>
      <c r="T35" s="23"/>
    </row>
    <row r="36">
      <c r="A36" s="16" t="s">
        <v>3984</v>
      </c>
      <c r="B36" s="17" t="s">
        <v>3935</v>
      </c>
      <c r="C36" s="17" t="s">
        <v>20</v>
      </c>
      <c r="D36" s="17" t="str">
        <f>vlookup(C36,'1. 신청자리스트'!J:N,2,false)</f>
        <v>정상</v>
      </c>
      <c r="E36" s="17"/>
      <c r="F36" s="17" t="s">
        <v>20</v>
      </c>
      <c r="G36" s="18">
        <v>35000.0</v>
      </c>
      <c r="H36" s="19" t="s">
        <v>3941</v>
      </c>
      <c r="I36" s="20"/>
      <c r="J36" s="20"/>
      <c r="K36" s="20"/>
      <c r="L36" s="21"/>
      <c r="M36" s="22"/>
      <c r="N36" s="22"/>
      <c r="O36" s="22"/>
      <c r="P36" s="22"/>
      <c r="Q36" s="22"/>
      <c r="R36" s="22"/>
      <c r="S36" s="22"/>
      <c r="T36" s="23"/>
    </row>
    <row r="37">
      <c r="A37" s="16" t="s">
        <v>3942</v>
      </c>
      <c r="B37" s="17" t="s">
        <v>3935</v>
      </c>
      <c r="C37" s="17" t="s">
        <v>21</v>
      </c>
      <c r="D37" s="17" t="str">
        <f>vlookup(C37,'1. 신청자리스트'!J:N,2,false)</f>
        <v>정상</v>
      </c>
      <c r="E37" s="17"/>
      <c r="F37" s="17" t="s">
        <v>21</v>
      </c>
      <c r="G37" s="18">
        <v>35000.0</v>
      </c>
      <c r="H37" s="19" t="s">
        <v>3946</v>
      </c>
      <c r="I37" s="20"/>
      <c r="J37" s="20"/>
      <c r="K37" s="20"/>
      <c r="L37" s="21"/>
      <c r="M37" s="22"/>
      <c r="N37" s="22"/>
      <c r="O37" s="22"/>
      <c r="P37" s="22"/>
      <c r="Q37" s="22"/>
      <c r="R37" s="22"/>
      <c r="S37" s="22"/>
      <c r="T37" s="23"/>
    </row>
    <row r="38">
      <c r="A38" s="24" t="s">
        <v>3985</v>
      </c>
      <c r="B38" s="25" t="s">
        <v>3935</v>
      </c>
      <c r="C38" s="25" t="s">
        <v>22</v>
      </c>
      <c r="D38" s="17" t="str">
        <f>vlookup(C38,'1. 신청자리스트'!J:N,2,false)</f>
        <v>정상</v>
      </c>
      <c r="E38" s="25"/>
      <c r="F38" s="25" t="s">
        <v>2990</v>
      </c>
      <c r="G38" s="26">
        <v>35000.0</v>
      </c>
      <c r="H38" s="27" t="s">
        <v>3948</v>
      </c>
      <c r="I38" s="28"/>
      <c r="J38" s="28"/>
      <c r="K38" s="28"/>
      <c r="L38" s="29"/>
      <c r="M38" s="22"/>
      <c r="N38" s="22"/>
      <c r="O38" s="22"/>
      <c r="P38" s="22"/>
      <c r="Q38" s="22"/>
      <c r="R38" s="22"/>
      <c r="S38" s="22"/>
      <c r="T38" s="23"/>
    </row>
    <row r="39">
      <c r="A39" s="16" t="s">
        <v>3942</v>
      </c>
      <c r="B39" s="17" t="s">
        <v>3932</v>
      </c>
      <c r="C39" s="17" t="s">
        <v>571</v>
      </c>
      <c r="D39" s="17" t="str">
        <f>vlookup(C39,'1. 신청자리스트'!J:N,2,false)</f>
        <v>정상</v>
      </c>
      <c r="E39" s="17"/>
      <c r="F39" s="17" t="s">
        <v>571</v>
      </c>
      <c r="G39" s="18">
        <v>70000.0</v>
      </c>
      <c r="H39" s="19" t="s">
        <v>3986</v>
      </c>
      <c r="I39" s="20"/>
      <c r="J39" s="20"/>
      <c r="K39" s="20"/>
      <c r="L39" s="21"/>
      <c r="M39" s="22"/>
      <c r="N39" s="22"/>
      <c r="O39" s="22"/>
      <c r="P39" s="22"/>
      <c r="Q39" s="22"/>
      <c r="R39" s="22"/>
      <c r="S39" s="22"/>
      <c r="T39" s="23"/>
    </row>
    <row r="40">
      <c r="A40" s="16" t="s">
        <v>3985</v>
      </c>
      <c r="B40" s="17" t="s">
        <v>3932</v>
      </c>
      <c r="C40" s="17" t="s">
        <v>25</v>
      </c>
      <c r="D40" s="17" t="str">
        <f>vlookup(C40,'1. 신청자리스트'!J:N,2,false)</f>
        <v>정상</v>
      </c>
      <c r="E40" s="17"/>
      <c r="F40" s="17" t="s">
        <v>25</v>
      </c>
      <c r="G40" s="18">
        <v>35000.0</v>
      </c>
      <c r="H40" s="19" t="s">
        <v>3987</v>
      </c>
      <c r="I40" s="20"/>
      <c r="J40" s="20"/>
      <c r="K40" s="20"/>
      <c r="L40" s="21"/>
      <c r="M40" s="22"/>
      <c r="N40" s="22"/>
      <c r="O40" s="22"/>
      <c r="P40" s="22"/>
      <c r="Q40" s="22"/>
      <c r="R40" s="22"/>
      <c r="S40" s="22"/>
      <c r="T40" s="23"/>
    </row>
    <row r="41">
      <c r="A41" s="16" t="s">
        <v>3949</v>
      </c>
      <c r="B41" s="17" t="s">
        <v>3935</v>
      </c>
      <c r="C41" s="17" t="s">
        <v>26</v>
      </c>
      <c r="D41" s="17" t="str">
        <f>vlookup(C41,'1. 신청자리스트'!J:N,2,false)</f>
        <v>정상</v>
      </c>
      <c r="E41" s="17"/>
      <c r="F41" s="17" t="s">
        <v>26</v>
      </c>
      <c r="G41" s="18">
        <v>35000.0</v>
      </c>
      <c r="H41" s="19" t="s">
        <v>3983</v>
      </c>
      <c r="I41" s="20"/>
      <c r="J41" s="20"/>
      <c r="K41" s="20"/>
      <c r="L41" s="21"/>
      <c r="M41" s="22"/>
      <c r="N41" s="22"/>
      <c r="O41" s="22"/>
      <c r="P41" s="22"/>
      <c r="Q41" s="22"/>
      <c r="R41" s="22"/>
      <c r="S41" s="22"/>
      <c r="T41" s="23"/>
    </row>
    <row r="42">
      <c r="A42" s="16" t="s">
        <v>3940</v>
      </c>
      <c r="B42" s="17" t="s">
        <v>3935</v>
      </c>
      <c r="C42" s="17" t="s">
        <v>27</v>
      </c>
      <c r="D42" s="17" t="str">
        <f>vlookup(C42,'1. 신청자리스트'!J:N,2,false)</f>
        <v>정상</v>
      </c>
      <c r="E42" s="17"/>
      <c r="F42" s="17" t="s">
        <v>27</v>
      </c>
      <c r="G42" s="18">
        <v>35000.0</v>
      </c>
      <c r="H42" s="19" t="s">
        <v>3946</v>
      </c>
      <c r="I42" s="20"/>
      <c r="J42" s="20"/>
      <c r="K42" s="20"/>
      <c r="L42" s="21"/>
      <c r="M42" s="22"/>
      <c r="N42" s="22"/>
      <c r="O42" s="22"/>
      <c r="P42" s="22"/>
      <c r="Q42" s="22"/>
      <c r="R42" s="22"/>
      <c r="S42" s="22"/>
      <c r="T42" s="23"/>
    </row>
    <row r="43">
      <c r="A43" s="16" t="s">
        <v>3940</v>
      </c>
      <c r="B43" s="17" t="s">
        <v>3935</v>
      </c>
      <c r="C43" s="17" t="s">
        <v>28</v>
      </c>
      <c r="D43" s="17" t="str">
        <f>vlookup(C43,'1. 신청자리스트'!J:N,2,false)</f>
        <v>정상</v>
      </c>
      <c r="E43" s="17"/>
      <c r="F43" s="17" t="s">
        <v>3988</v>
      </c>
      <c r="G43" s="18">
        <v>35000.0</v>
      </c>
      <c r="H43" s="19" t="s">
        <v>3983</v>
      </c>
      <c r="I43" s="20"/>
      <c r="J43" s="20"/>
      <c r="K43" s="20"/>
      <c r="L43" s="21"/>
      <c r="M43" s="22"/>
      <c r="N43" s="22"/>
      <c r="O43" s="22"/>
      <c r="P43" s="22"/>
      <c r="Q43" s="22"/>
      <c r="R43" s="22"/>
      <c r="S43" s="22"/>
      <c r="T43" s="23"/>
    </row>
    <row r="44">
      <c r="A44" s="16" t="s">
        <v>3989</v>
      </c>
      <c r="B44" s="17" t="s">
        <v>3935</v>
      </c>
      <c r="C44" s="17" t="s">
        <v>30</v>
      </c>
      <c r="D44" s="17" t="str">
        <f>vlookup(C44,'1. 신청자리스트'!J:N,2,false)</f>
        <v>정상</v>
      </c>
      <c r="E44" s="17"/>
      <c r="F44" s="17" t="s">
        <v>30</v>
      </c>
      <c r="G44" s="18">
        <v>35000.0</v>
      </c>
      <c r="H44" s="19" t="s">
        <v>3990</v>
      </c>
      <c r="I44" s="20"/>
      <c r="J44" s="20"/>
      <c r="K44" s="20"/>
      <c r="L44" s="21"/>
      <c r="M44" s="22"/>
      <c r="N44" s="22"/>
      <c r="O44" s="22"/>
      <c r="P44" s="22"/>
      <c r="Q44" s="22"/>
      <c r="R44" s="22"/>
      <c r="S44" s="22"/>
      <c r="T44" s="23"/>
    </row>
    <row r="45">
      <c r="A45" s="16" t="s">
        <v>3940</v>
      </c>
      <c r="B45" s="17" t="s">
        <v>3935</v>
      </c>
      <c r="C45" s="17" t="s">
        <v>31</v>
      </c>
      <c r="D45" s="17" t="str">
        <f>vlookup(C45,'1. 신청자리스트'!J:N,2,false)</f>
        <v>정상</v>
      </c>
      <c r="E45" s="17"/>
      <c r="F45" s="17" t="s">
        <v>3991</v>
      </c>
      <c r="G45" s="18">
        <v>35000.0</v>
      </c>
      <c r="H45" s="19" t="s">
        <v>3992</v>
      </c>
      <c r="I45" s="20"/>
      <c r="J45" s="20"/>
      <c r="K45" s="20"/>
      <c r="L45" s="21"/>
      <c r="M45" s="22"/>
      <c r="N45" s="22"/>
      <c r="O45" s="22"/>
      <c r="P45" s="22"/>
      <c r="Q45" s="22"/>
      <c r="R45" s="22"/>
      <c r="S45" s="22"/>
      <c r="T45" s="23"/>
    </row>
    <row r="46">
      <c r="A46" s="24" t="s">
        <v>3942</v>
      </c>
      <c r="B46" s="25" t="s">
        <v>3993</v>
      </c>
      <c r="C46" s="25" t="s">
        <v>32</v>
      </c>
      <c r="D46" s="17" t="str">
        <f>vlookup(C46,'1. 신청자리스트'!J:N,2,false)</f>
        <v>정상</v>
      </c>
      <c r="E46" s="25"/>
      <c r="F46" s="25" t="s">
        <v>3003</v>
      </c>
      <c r="G46" s="26">
        <v>35000.0</v>
      </c>
      <c r="H46" s="27" t="s">
        <v>3939</v>
      </c>
      <c r="I46" s="45"/>
      <c r="J46" s="45"/>
      <c r="K46" s="45" t="s">
        <v>3994</v>
      </c>
      <c r="L46" s="29"/>
      <c r="M46" s="22"/>
      <c r="N46" s="22"/>
      <c r="O46" s="22"/>
      <c r="P46" s="22"/>
      <c r="Q46" s="22"/>
      <c r="R46" s="22"/>
      <c r="S46" s="22"/>
      <c r="T46" s="23"/>
    </row>
    <row r="47">
      <c r="A47" s="16" t="s">
        <v>3942</v>
      </c>
      <c r="B47" s="17" t="s">
        <v>3935</v>
      </c>
      <c r="C47" s="17" t="s">
        <v>33</v>
      </c>
      <c r="D47" s="17" t="str">
        <f>vlookup(C47,'1. 신청자리스트'!J:N,2,false)</f>
        <v>정상</v>
      </c>
      <c r="E47" s="17"/>
      <c r="F47" s="17" t="s">
        <v>33</v>
      </c>
      <c r="G47" s="18">
        <v>35000.0</v>
      </c>
      <c r="H47" s="19" t="s">
        <v>3983</v>
      </c>
      <c r="I47" s="20"/>
      <c r="J47" s="20"/>
      <c r="K47" s="20"/>
      <c r="L47" s="21"/>
      <c r="M47" s="22"/>
      <c r="N47" s="22"/>
      <c r="O47" s="22"/>
      <c r="P47" s="22"/>
      <c r="Q47" s="22"/>
      <c r="R47" s="22"/>
      <c r="S47" s="22"/>
      <c r="T47" s="23"/>
    </row>
    <row r="48">
      <c r="A48" s="16" t="s">
        <v>3940</v>
      </c>
      <c r="B48" s="17" t="s">
        <v>3935</v>
      </c>
      <c r="C48" s="17" t="s">
        <v>572</v>
      </c>
      <c r="D48" s="17" t="str">
        <f>vlookup(C48,'1. 신청자리스트'!J:N,2,false)</f>
        <v>정상</v>
      </c>
      <c r="E48" s="17"/>
      <c r="F48" s="17" t="s">
        <v>572</v>
      </c>
      <c r="G48" s="18">
        <v>70000.0</v>
      </c>
      <c r="H48" s="19" t="s">
        <v>3948</v>
      </c>
      <c r="I48" s="20"/>
      <c r="J48" s="20"/>
      <c r="K48" s="20"/>
      <c r="L48" s="21"/>
      <c r="M48" s="22"/>
      <c r="N48" s="22"/>
      <c r="O48" s="22"/>
      <c r="P48" s="22"/>
      <c r="Q48" s="22"/>
      <c r="R48" s="22"/>
      <c r="S48" s="22"/>
      <c r="T48" s="23"/>
    </row>
    <row r="49">
      <c r="A49" s="16" t="s">
        <v>3931</v>
      </c>
      <c r="B49" s="17" t="s">
        <v>3935</v>
      </c>
      <c r="C49" s="17" t="s">
        <v>34</v>
      </c>
      <c r="D49" s="17" t="str">
        <f>vlookup(C49,'1. 신청자리스트'!J:N,2,false)</f>
        <v>정상</v>
      </c>
      <c r="E49" s="17"/>
      <c r="F49" s="17" t="s">
        <v>34</v>
      </c>
      <c r="G49" s="18">
        <v>35000.0</v>
      </c>
      <c r="H49" s="19" t="s">
        <v>3995</v>
      </c>
      <c r="I49" s="20"/>
      <c r="J49" s="20"/>
      <c r="K49" s="20"/>
      <c r="L49" s="21"/>
      <c r="M49" s="22"/>
      <c r="N49" s="22"/>
      <c r="O49" s="22"/>
      <c r="P49" s="22"/>
      <c r="Q49" s="22"/>
      <c r="R49" s="22"/>
      <c r="S49" s="22"/>
      <c r="T49" s="23"/>
    </row>
    <row r="50">
      <c r="A50" s="16" t="s">
        <v>3980</v>
      </c>
      <c r="B50" s="17" t="s">
        <v>3932</v>
      </c>
      <c r="C50" s="17" t="s">
        <v>35</v>
      </c>
      <c r="D50" s="17" t="str">
        <f>vlookup(C50,'1. 신청자리스트'!J:N,2,false)</f>
        <v>정상</v>
      </c>
      <c r="E50" s="17"/>
      <c r="F50" s="17" t="s">
        <v>35</v>
      </c>
      <c r="G50" s="18">
        <v>35000.0</v>
      </c>
      <c r="H50" s="19" t="s">
        <v>3996</v>
      </c>
      <c r="I50" s="20"/>
      <c r="J50" s="20"/>
      <c r="K50" s="20"/>
      <c r="L50" s="21"/>
      <c r="M50" s="22"/>
      <c r="N50" s="22"/>
      <c r="O50" s="22"/>
      <c r="P50" s="22"/>
      <c r="Q50" s="22"/>
      <c r="R50" s="22"/>
      <c r="S50" s="22"/>
      <c r="T50" s="23"/>
    </row>
    <row r="51">
      <c r="A51" s="16" t="s">
        <v>3945</v>
      </c>
      <c r="B51" s="17" t="s">
        <v>3935</v>
      </c>
      <c r="C51" s="17" t="s">
        <v>573</v>
      </c>
      <c r="D51" s="17" t="str">
        <f>vlookup(C51,'1. 신청자리스트'!J:N,2,false)</f>
        <v>정상</v>
      </c>
      <c r="E51" s="17"/>
      <c r="F51" s="17" t="s">
        <v>573</v>
      </c>
      <c r="G51" s="18">
        <v>70000.0</v>
      </c>
      <c r="H51" s="19" t="s">
        <v>3948</v>
      </c>
      <c r="I51" s="20"/>
      <c r="J51" s="20"/>
      <c r="K51" s="20"/>
      <c r="L51" s="21"/>
      <c r="M51" s="22"/>
      <c r="N51" s="22"/>
      <c r="O51" s="22"/>
      <c r="P51" s="22"/>
      <c r="Q51" s="22"/>
      <c r="R51" s="22"/>
      <c r="S51" s="22"/>
      <c r="T51" s="23"/>
    </row>
    <row r="52">
      <c r="A52" s="16" t="s">
        <v>3942</v>
      </c>
      <c r="B52" s="17" t="s">
        <v>3932</v>
      </c>
      <c r="C52" s="17" t="s">
        <v>37</v>
      </c>
      <c r="D52" s="17" t="str">
        <f>vlookup(C52,'1. 신청자리스트'!J:N,2,false)</f>
        <v>정상</v>
      </c>
      <c r="E52" s="17"/>
      <c r="F52" s="17" t="s">
        <v>37</v>
      </c>
      <c r="G52" s="18">
        <v>35000.0</v>
      </c>
      <c r="H52" s="19" t="s">
        <v>3997</v>
      </c>
      <c r="I52" s="20"/>
      <c r="J52" s="20"/>
      <c r="K52" s="20"/>
      <c r="L52" s="21"/>
      <c r="M52" s="22"/>
      <c r="N52" s="22"/>
      <c r="O52" s="22"/>
      <c r="P52" s="22"/>
      <c r="Q52" s="22"/>
      <c r="R52" s="22"/>
      <c r="S52" s="22"/>
      <c r="T52" s="23"/>
    </row>
    <row r="53">
      <c r="A53" s="16" t="s">
        <v>3985</v>
      </c>
      <c r="B53" s="17" t="s">
        <v>3935</v>
      </c>
      <c r="C53" s="17" t="s">
        <v>39</v>
      </c>
      <c r="D53" s="17" t="str">
        <f>vlookup(C53,'1. 신청자리스트'!J:N,2,false)</f>
        <v>정상</v>
      </c>
      <c r="E53" s="17"/>
      <c r="F53" s="17" t="s">
        <v>39</v>
      </c>
      <c r="G53" s="18">
        <v>35000.0</v>
      </c>
      <c r="H53" s="19" t="s">
        <v>3948</v>
      </c>
      <c r="I53" s="20"/>
      <c r="J53" s="20"/>
      <c r="K53" s="20"/>
      <c r="L53" s="21"/>
      <c r="M53" s="22"/>
      <c r="N53" s="22"/>
      <c r="O53" s="22"/>
      <c r="P53" s="22"/>
      <c r="Q53" s="22"/>
      <c r="R53" s="22"/>
      <c r="S53" s="22"/>
      <c r="T53" s="23"/>
    </row>
    <row r="54">
      <c r="A54" s="16" t="s">
        <v>3998</v>
      </c>
      <c r="B54" s="17" t="s">
        <v>3935</v>
      </c>
      <c r="C54" s="17" t="s">
        <v>575</v>
      </c>
      <c r="D54" s="17" t="str">
        <f>vlookup(C54,'1. 신청자리스트'!J:N,2,false)</f>
        <v>정상</v>
      </c>
      <c r="E54" s="17"/>
      <c r="F54" s="17" t="s">
        <v>575</v>
      </c>
      <c r="G54" s="18">
        <v>70000.0</v>
      </c>
      <c r="H54" s="19" t="s">
        <v>3941</v>
      </c>
      <c r="I54" s="20"/>
      <c r="J54" s="20"/>
      <c r="K54" s="20"/>
      <c r="L54" s="21"/>
      <c r="M54" s="22"/>
      <c r="N54" s="22"/>
      <c r="O54" s="22"/>
      <c r="P54" s="22"/>
      <c r="Q54" s="22"/>
      <c r="R54" s="22"/>
      <c r="S54" s="22"/>
      <c r="T54" s="23"/>
    </row>
    <row r="55">
      <c r="A55" s="16" t="s">
        <v>3940</v>
      </c>
      <c r="B55" s="17" t="s">
        <v>3935</v>
      </c>
      <c r="C55" s="17" t="s">
        <v>576</v>
      </c>
      <c r="D55" s="17" t="str">
        <f>vlookup(C55,'1. 신청자리스트'!J:N,2,false)</f>
        <v>정상</v>
      </c>
      <c r="E55" s="17"/>
      <c r="F55" s="17" t="s">
        <v>576</v>
      </c>
      <c r="G55" s="18">
        <v>70000.0</v>
      </c>
      <c r="H55" s="19" t="s">
        <v>3983</v>
      </c>
      <c r="I55" s="20"/>
      <c r="J55" s="20"/>
      <c r="K55" s="20"/>
      <c r="L55" s="21"/>
      <c r="M55" s="22"/>
      <c r="N55" s="22"/>
      <c r="O55" s="22"/>
      <c r="P55" s="22"/>
      <c r="Q55" s="22"/>
      <c r="R55" s="22"/>
      <c r="S55" s="22"/>
      <c r="T55" s="23"/>
    </row>
    <row r="56">
      <c r="A56" s="24" t="s">
        <v>3942</v>
      </c>
      <c r="B56" s="25" t="s">
        <v>3993</v>
      </c>
      <c r="C56" s="25" t="s">
        <v>40</v>
      </c>
      <c r="D56" s="17" t="str">
        <f>vlookup(C56,'1. 신청자리스트'!J:N,2,false)</f>
        <v>정상</v>
      </c>
      <c r="E56" s="25"/>
      <c r="F56" s="25" t="s">
        <v>3014</v>
      </c>
      <c r="G56" s="26">
        <v>35000.0</v>
      </c>
      <c r="H56" s="27" t="s">
        <v>3939</v>
      </c>
      <c r="I56" s="28"/>
      <c r="J56" s="28"/>
      <c r="K56" s="28"/>
      <c r="L56" s="29"/>
      <c r="M56" s="22"/>
      <c r="N56" s="22"/>
      <c r="O56" s="22"/>
      <c r="P56" s="22"/>
      <c r="Q56" s="22"/>
      <c r="R56" s="22"/>
      <c r="S56" s="22"/>
      <c r="T56" s="23"/>
    </row>
    <row r="57">
      <c r="A57" s="16" t="s">
        <v>3942</v>
      </c>
      <c r="B57" s="17" t="s">
        <v>3935</v>
      </c>
      <c r="C57" s="17" t="s">
        <v>41</v>
      </c>
      <c r="D57" s="17" t="str">
        <f>vlookup(C57,'1. 신청자리스트'!J:N,2,false)</f>
        <v>정상</v>
      </c>
      <c r="E57" s="17"/>
      <c r="F57" s="17" t="s">
        <v>41</v>
      </c>
      <c r="G57" s="18">
        <v>35000.0</v>
      </c>
      <c r="H57" s="19" t="s">
        <v>3983</v>
      </c>
      <c r="I57" s="20"/>
      <c r="J57" s="20"/>
      <c r="K57" s="20"/>
      <c r="L57" s="21"/>
      <c r="M57" s="22"/>
      <c r="N57" s="22"/>
      <c r="O57" s="22"/>
      <c r="P57" s="22"/>
      <c r="Q57" s="22"/>
      <c r="R57" s="22"/>
      <c r="S57" s="22"/>
      <c r="T57" s="23"/>
    </row>
    <row r="58">
      <c r="A58" s="16" t="s">
        <v>3931</v>
      </c>
      <c r="B58" s="17" t="s">
        <v>3935</v>
      </c>
      <c r="C58" s="17" t="s">
        <v>42</v>
      </c>
      <c r="D58" s="17" t="str">
        <f>vlookup(C58,'1. 신청자리스트'!J:N,2,false)</f>
        <v>정상</v>
      </c>
      <c r="E58" s="17"/>
      <c r="F58" s="17" t="s">
        <v>42</v>
      </c>
      <c r="G58" s="18">
        <v>35000.0</v>
      </c>
      <c r="H58" s="19" t="s">
        <v>3983</v>
      </c>
      <c r="I58" s="20"/>
      <c r="J58" s="20"/>
      <c r="K58" s="20"/>
      <c r="L58" s="21"/>
      <c r="M58" s="22"/>
      <c r="N58" s="22"/>
      <c r="O58" s="22"/>
      <c r="P58" s="22"/>
      <c r="Q58" s="22"/>
      <c r="R58" s="22"/>
      <c r="S58" s="22"/>
      <c r="T58" s="23"/>
    </row>
    <row r="59">
      <c r="A59" s="24" t="s">
        <v>3962</v>
      </c>
      <c r="B59" s="25" t="s">
        <v>3935</v>
      </c>
      <c r="C59" s="25" t="s">
        <v>577</v>
      </c>
      <c r="D59" s="17" t="str">
        <f>vlookup(C59,'1. 신청자리스트'!J:N,2,false)</f>
        <v>정상</v>
      </c>
      <c r="E59" s="25"/>
      <c r="F59" s="25" t="s">
        <v>2536</v>
      </c>
      <c r="G59" s="26">
        <v>70000.0</v>
      </c>
      <c r="H59" s="27" t="s">
        <v>3948</v>
      </c>
      <c r="I59" s="28"/>
      <c r="J59" s="28"/>
      <c r="K59" s="28"/>
      <c r="L59" s="29"/>
      <c r="M59" s="22"/>
      <c r="N59" s="22"/>
      <c r="O59" s="22"/>
      <c r="P59" s="22"/>
      <c r="Q59" s="22"/>
      <c r="R59" s="22"/>
      <c r="S59" s="22"/>
      <c r="T59" s="23"/>
    </row>
    <row r="60">
      <c r="A60" s="30" t="s">
        <v>3999</v>
      </c>
      <c r="B60" s="31" t="s">
        <v>3935</v>
      </c>
      <c r="C60" s="31" t="s">
        <v>4000</v>
      </c>
      <c r="D60" s="17" t="str">
        <f>vlookup(C60,'1. 신청자리스트'!J:N,2,false)</f>
        <v>정상</v>
      </c>
      <c r="E60" s="31" t="str">
        <f>if(vlookup(C60,'문의'!D:D,1,false)=C60,"있음")</f>
        <v>있음</v>
      </c>
      <c r="F60" s="31" t="s">
        <v>4000</v>
      </c>
      <c r="G60" s="46">
        <v>35000.0</v>
      </c>
      <c r="H60" s="33" t="s">
        <v>3946</v>
      </c>
      <c r="I60" s="34" t="str">
        <f>VLOOKUP(C60, '문의'!D:E, 2, FALSE)</f>
        <v>[입금/결제] 입금자명에 오류가 있습니다.
 김경애4674를 김경애로만 기입했습니다.
 확인부탁합니다.</v>
      </c>
      <c r="J60" s="34">
        <f t="array" ref="J60">INDEX('문의'!C:C, MATCH(C60, '문의'!D:D, 0))</f>
        <v>1045324674</v>
      </c>
      <c r="K60" s="34" t="s">
        <v>3957</v>
      </c>
      <c r="L60" s="37" t="s">
        <v>4001</v>
      </c>
      <c r="M60" s="42"/>
      <c r="N60" s="42"/>
      <c r="O60" s="42"/>
      <c r="P60" s="42"/>
      <c r="Q60" s="42"/>
      <c r="R60" s="44"/>
      <c r="S60" s="42"/>
      <c r="T60" s="23"/>
    </row>
    <row r="61">
      <c r="A61" s="16" t="s">
        <v>3942</v>
      </c>
      <c r="B61" s="17" t="s">
        <v>3935</v>
      </c>
      <c r="C61" s="17" t="s">
        <v>43</v>
      </c>
      <c r="D61" s="17" t="str">
        <f>vlookup(C61,'1. 신청자리스트'!J:N,2,false)</f>
        <v>정상</v>
      </c>
      <c r="E61" s="17"/>
      <c r="F61" s="17" t="s">
        <v>43</v>
      </c>
      <c r="G61" s="18">
        <v>35000.0</v>
      </c>
      <c r="H61" s="19" t="s">
        <v>3948</v>
      </c>
      <c r="I61" s="28"/>
      <c r="J61" s="28"/>
      <c r="K61" s="28"/>
      <c r="L61" s="29"/>
      <c r="M61" s="22"/>
      <c r="N61" s="22"/>
      <c r="O61" s="22"/>
      <c r="P61" s="22"/>
      <c r="Q61" s="22"/>
      <c r="R61" s="22"/>
      <c r="S61" s="22"/>
      <c r="T61" s="23"/>
    </row>
    <row r="62">
      <c r="A62" s="16" t="s">
        <v>3989</v>
      </c>
      <c r="B62" s="17" t="s">
        <v>3935</v>
      </c>
      <c r="C62" s="17" t="s">
        <v>580</v>
      </c>
      <c r="D62" s="17" t="str">
        <f>vlookup(C62,'1. 신청자리스트'!J:N,2,false)</f>
        <v>정상</v>
      </c>
      <c r="E62" s="17"/>
      <c r="F62" s="17" t="s">
        <v>580</v>
      </c>
      <c r="G62" s="18">
        <v>70000.0</v>
      </c>
      <c r="H62" s="19" t="s">
        <v>3948</v>
      </c>
      <c r="I62" s="20"/>
      <c r="J62" s="20"/>
      <c r="K62" s="20"/>
      <c r="L62" s="21"/>
      <c r="M62" s="22"/>
      <c r="N62" s="22"/>
      <c r="O62" s="22"/>
      <c r="P62" s="22"/>
      <c r="Q62" s="22"/>
      <c r="R62" s="22"/>
      <c r="S62" s="22"/>
      <c r="T62" s="23"/>
    </row>
    <row r="63">
      <c r="A63" s="16" t="s">
        <v>3940</v>
      </c>
      <c r="B63" s="17" t="s">
        <v>3935</v>
      </c>
      <c r="C63" s="17" t="s">
        <v>45</v>
      </c>
      <c r="D63" s="17" t="str">
        <f>vlookup(C63,'1. 신청자리스트'!J:N,2,false)</f>
        <v>정상</v>
      </c>
      <c r="E63" s="17"/>
      <c r="F63" s="17" t="s">
        <v>45</v>
      </c>
      <c r="G63" s="18">
        <v>35000.0</v>
      </c>
      <c r="H63" s="19" t="s">
        <v>3941</v>
      </c>
      <c r="I63" s="20"/>
      <c r="J63" s="20"/>
      <c r="K63" s="20"/>
      <c r="L63" s="21"/>
      <c r="M63" s="22"/>
      <c r="N63" s="22"/>
      <c r="O63" s="22"/>
      <c r="P63" s="22"/>
      <c r="Q63" s="22"/>
      <c r="R63" s="22"/>
      <c r="S63" s="22"/>
      <c r="T63" s="23"/>
    </row>
    <row r="64">
      <c r="A64" s="16" t="s">
        <v>4002</v>
      </c>
      <c r="B64" s="17" t="s">
        <v>3932</v>
      </c>
      <c r="C64" s="17" t="s">
        <v>46</v>
      </c>
      <c r="D64" s="17" t="str">
        <f>vlookup(C64,'1. 신청자리스트'!J:N,2,false)</f>
        <v>정상</v>
      </c>
      <c r="E64" s="17"/>
      <c r="F64" s="17" t="s">
        <v>4003</v>
      </c>
      <c r="G64" s="18">
        <v>35000.0</v>
      </c>
      <c r="H64" s="19" t="s">
        <v>4004</v>
      </c>
      <c r="I64" s="20"/>
      <c r="J64" s="20"/>
      <c r="K64" s="20"/>
      <c r="L64" s="21"/>
      <c r="M64" s="22"/>
      <c r="N64" s="22"/>
      <c r="O64" s="22"/>
      <c r="P64" s="22"/>
      <c r="Q64" s="22"/>
      <c r="R64" s="22"/>
      <c r="S64" s="22"/>
      <c r="T64" s="23"/>
    </row>
    <row r="65">
      <c r="A65" s="16" t="s">
        <v>3942</v>
      </c>
      <c r="B65" s="17" t="s">
        <v>3943</v>
      </c>
      <c r="C65" s="17" t="s">
        <v>581</v>
      </c>
      <c r="D65" s="17" t="str">
        <f>vlookup(C65,'1. 신청자리스트'!J:N,2,false)</f>
        <v>정상</v>
      </c>
      <c r="E65" s="17"/>
      <c r="F65" s="17" t="s">
        <v>581</v>
      </c>
      <c r="G65" s="18">
        <v>70000.0</v>
      </c>
      <c r="H65" s="19" t="s">
        <v>3944</v>
      </c>
      <c r="I65" s="20"/>
      <c r="J65" s="20"/>
      <c r="K65" s="20"/>
      <c r="L65" s="21"/>
      <c r="M65" s="22"/>
      <c r="N65" s="22"/>
      <c r="O65" s="22"/>
      <c r="P65" s="22"/>
      <c r="Q65" s="22"/>
      <c r="R65" s="22"/>
      <c r="S65" s="22"/>
      <c r="T65" s="23"/>
    </row>
    <row r="66">
      <c r="A66" s="16" t="s">
        <v>4005</v>
      </c>
      <c r="B66" s="17" t="s">
        <v>3935</v>
      </c>
      <c r="C66" s="17" t="s">
        <v>47</v>
      </c>
      <c r="D66" s="17" t="str">
        <f>vlookup(C66,'1. 신청자리스트'!J:N,2,false)</f>
        <v>정상</v>
      </c>
      <c r="E66" s="17"/>
      <c r="F66" s="17" t="s">
        <v>47</v>
      </c>
      <c r="G66" s="18">
        <v>35000.0</v>
      </c>
      <c r="H66" s="19" t="s">
        <v>3937</v>
      </c>
      <c r="I66" s="20"/>
      <c r="J66" s="20"/>
      <c r="K66" s="20"/>
      <c r="L66" s="21"/>
      <c r="M66" s="22"/>
      <c r="N66" s="22"/>
      <c r="O66" s="22"/>
      <c r="P66" s="22"/>
      <c r="Q66" s="22"/>
      <c r="R66" s="22"/>
      <c r="S66" s="22"/>
      <c r="T66" s="23"/>
    </row>
    <row r="67">
      <c r="A67" s="16" t="s">
        <v>3945</v>
      </c>
      <c r="B67" s="17" t="s">
        <v>3935</v>
      </c>
      <c r="C67" s="17" t="s">
        <v>582</v>
      </c>
      <c r="D67" s="17" t="str">
        <f>vlookup(C67,'1. 신청자리스트'!J:N,2,false)</f>
        <v>정상</v>
      </c>
      <c r="E67" s="17"/>
      <c r="F67" s="17" t="s">
        <v>582</v>
      </c>
      <c r="G67" s="18">
        <v>70000.0</v>
      </c>
      <c r="H67" s="19" t="s">
        <v>3948</v>
      </c>
      <c r="I67" s="20"/>
      <c r="J67" s="20"/>
      <c r="K67" s="20"/>
      <c r="L67" s="21"/>
      <c r="M67" s="22"/>
      <c r="N67" s="22"/>
      <c r="O67" s="22"/>
      <c r="P67" s="22"/>
      <c r="Q67" s="22"/>
      <c r="R67" s="22"/>
      <c r="S67" s="22"/>
      <c r="T67" s="23"/>
    </row>
    <row r="68">
      <c r="A68" s="24" t="s">
        <v>3931</v>
      </c>
      <c r="B68" s="25" t="s">
        <v>3935</v>
      </c>
      <c r="C68" s="25" t="s">
        <v>48</v>
      </c>
      <c r="D68" s="17" t="str">
        <f>vlookup(C68,'1. 신청자리스트'!J:N,2,false)</f>
        <v>정상</v>
      </c>
      <c r="E68" s="25"/>
      <c r="F68" s="25" t="s">
        <v>2622</v>
      </c>
      <c r="G68" s="26">
        <v>35000.0</v>
      </c>
      <c r="H68" s="27" t="s">
        <v>3941</v>
      </c>
      <c r="I68" s="28"/>
      <c r="J68" s="28"/>
      <c r="K68" s="28"/>
      <c r="L68" s="29"/>
      <c r="M68" s="22"/>
      <c r="N68" s="22"/>
      <c r="O68" s="22"/>
      <c r="P68" s="22"/>
      <c r="Q68" s="22"/>
      <c r="R68" s="22"/>
      <c r="S68" s="22"/>
      <c r="T68" s="23"/>
    </row>
    <row r="69">
      <c r="A69" s="24" t="s">
        <v>3972</v>
      </c>
      <c r="B69" s="25" t="s">
        <v>3935</v>
      </c>
      <c r="C69" s="25" t="s">
        <v>49</v>
      </c>
      <c r="D69" s="17" t="str">
        <f>vlookup(C69,'1. 신청자리스트'!J:N,2,false)</f>
        <v>정상</v>
      </c>
      <c r="E69" s="25"/>
      <c r="F69" s="25" t="s">
        <v>3025</v>
      </c>
      <c r="G69" s="26">
        <v>35000.0</v>
      </c>
      <c r="H69" s="27" t="s">
        <v>3968</v>
      </c>
      <c r="I69" s="28"/>
      <c r="J69" s="28"/>
      <c r="K69" s="28"/>
      <c r="L69" s="29"/>
      <c r="M69" s="22"/>
      <c r="N69" s="22"/>
      <c r="O69" s="22"/>
      <c r="P69" s="22"/>
      <c r="Q69" s="22"/>
      <c r="R69" s="22"/>
      <c r="S69" s="22"/>
      <c r="T69" s="23"/>
    </row>
    <row r="70">
      <c r="A70" s="16" t="s">
        <v>3962</v>
      </c>
      <c r="B70" s="17" t="s">
        <v>3935</v>
      </c>
      <c r="C70" s="17" t="s">
        <v>50</v>
      </c>
      <c r="D70" s="17" t="str">
        <f>vlookup(C70,'1. 신청자리스트'!J:N,2,false)</f>
        <v>정상</v>
      </c>
      <c r="E70" s="17"/>
      <c r="F70" s="17" t="s">
        <v>50</v>
      </c>
      <c r="G70" s="18">
        <v>35000.0</v>
      </c>
      <c r="H70" s="19" t="s">
        <v>3946</v>
      </c>
      <c r="I70" s="20"/>
      <c r="J70" s="20"/>
      <c r="K70" s="20"/>
      <c r="L70" s="21"/>
      <c r="M70" s="22"/>
      <c r="N70" s="22"/>
      <c r="O70" s="22"/>
      <c r="P70" s="22"/>
      <c r="Q70" s="22"/>
      <c r="R70" s="22"/>
      <c r="S70" s="22"/>
      <c r="T70" s="23"/>
    </row>
    <row r="71">
      <c r="A71" s="16" t="s">
        <v>3931</v>
      </c>
      <c r="B71" s="17" t="s">
        <v>3935</v>
      </c>
      <c r="C71" s="17" t="s">
        <v>583</v>
      </c>
      <c r="D71" s="17" t="str">
        <f>vlookup(C71,'1. 신청자리스트'!J:N,2,false)</f>
        <v>정상</v>
      </c>
      <c r="E71" s="17"/>
      <c r="F71" s="17" t="s">
        <v>583</v>
      </c>
      <c r="G71" s="18">
        <v>70000.0</v>
      </c>
      <c r="H71" s="19" t="s">
        <v>4006</v>
      </c>
      <c r="I71" s="20"/>
      <c r="J71" s="20"/>
      <c r="K71" s="20"/>
      <c r="L71" s="21"/>
      <c r="M71" s="22"/>
      <c r="N71" s="22"/>
      <c r="O71" s="22"/>
      <c r="P71" s="22"/>
      <c r="Q71" s="22"/>
      <c r="R71" s="22"/>
      <c r="S71" s="22"/>
      <c r="T71" s="23"/>
    </row>
    <row r="72">
      <c r="A72" s="16" t="s">
        <v>3989</v>
      </c>
      <c r="B72" s="17" t="s">
        <v>3935</v>
      </c>
      <c r="C72" s="17" t="s">
        <v>51</v>
      </c>
      <c r="D72" s="17" t="str">
        <f>vlookup(C72,'1. 신청자리스트'!J:N,2,false)</f>
        <v>정상</v>
      </c>
      <c r="E72" s="17"/>
      <c r="F72" s="17" t="s">
        <v>51</v>
      </c>
      <c r="G72" s="18">
        <v>35000.0</v>
      </c>
      <c r="H72" s="19" t="s">
        <v>3939</v>
      </c>
      <c r="I72" s="20"/>
      <c r="J72" s="20"/>
      <c r="K72" s="20"/>
      <c r="L72" s="21"/>
      <c r="M72" s="22"/>
      <c r="N72" s="22"/>
      <c r="O72" s="22"/>
      <c r="P72" s="22"/>
      <c r="Q72" s="22"/>
      <c r="R72" s="22"/>
      <c r="S72" s="22"/>
      <c r="T72" s="23"/>
    </row>
    <row r="73">
      <c r="A73" s="16" t="s">
        <v>3945</v>
      </c>
      <c r="B73" s="17" t="s">
        <v>3935</v>
      </c>
      <c r="C73" s="17" t="s">
        <v>585</v>
      </c>
      <c r="D73" s="17" t="str">
        <f>vlookup(C73,'1. 신청자리스트'!J:N,2,false)</f>
        <v>정상</v>
      </c>
      <c r="E73" s="17"/>
      <c r="F73" s="17" t="s">
        <v>585</v>
      </c>
      <c r="G73" s="18">
        <v>70000.0</v>
      </c>
      <c r="H73" s="19" t="s">
        <v>3983</v>
      </c>
      <c r="I73" s="20"/>
      <c r="J73" s="20"/>
      <c r="K73" s="20"/>
      <c r="L73" s="21"/>
      <c r="M73" s="22"/>
      <c r="N73" s="22"/>
      <c r="O73" s="22"/>
      <c r="P73" s="22"/>
      <c r="Q73" s="22"/>
      <c r="R73" s="22"/>
      <c r="S73" s="22"/>
      <c r="T73" s="23"/>
    </row>
    <row r="74">
      <c r="A74" s="16" t="s">
        <v>3949</v>
      </c>
      <c r="B74" s="17" t="s">
        <v>3943</v>
      </c>
      <c r="C74" s="17" t="s">
        <v>586</v>
      </c>
      <c r="D74" s="17" t="str">
        <f>vlookup(C74,'1. 신청자리스트'!J:N,2,false)</f>
        <v>정상</v>
      </c>
      <c r="E74" s="17"/>
      <c r="F74" s="17" t="s">
        <v>586</v>
      </c>
      <c r="G74" s="18">
        <v>70000.0</v>
      </c>
      <c r="H74" s="19" t="s">
        <v>3944</v>
      </c>
      <c r="I74" s="20"/>
      <c r="J74" s="20"/>
      <c r="K74" s="20"/>
      <c r="L74" s="21"/>
      <c r="M74" s="22"/>
      <c r="N74" s="22"/>
      <c r="O74" s="22"/>
      <c r="P74" s="22"/>
      <c r="Q74" s="22"/>
      <c r="R74" s="22"/>
      <c r="S74" s="22"/>
      <c r="T74" s="23"/>
    </row>
    <row r="75">
      <c r="A75" s="16" t="s">
        <v>3931</v>
      </c>
      <c r="B75" s="17" t="s">
        <v>3935</v>
      </c>
      <c r="C75" s="17" t="s">
        <v>52</v>
      </c>
      <c r="D75" s="17" t="str">
        <f>vlookup(C75,'1. 신청자리스트'!J:N,2,false)</f>
        <v>정상</v>
      </c>
      <c r="E75" s="17"/>
      <c r="F75" s="17" t="s">
        <v>52</v>
      </c>
      <c r="G75" s="18">
        <v>35000.0</v>
      </c>
      <c r="H75" s="19" t="s">
        <v>3941</v>
      </c>
      <c r="I75" s="20"/>
      <c r="J75" s="20"/>
      <c r="K75" s="20"/>
      <c r="L75" s="21"/>
      <c r="M75" s="22"/>
      <c r="N75" s="22"/>
      <c r="O75" s="22"/>
      <c r="P75" s="22"/>
      <c r="Q75" s="22"/>
      <c r="R75" s="22"/>
      <c r="S75" s="22"/>
      <c r="T75" s="23"/>
    </row>
    <row r="76">
      <c r="A76" s="16" t="s">
        <v>3940</v>
      </c>
      <c r="B76" s="17" t="s">
        <v>3935</v>
      </c>
      <c r="C76" s="17" t="s">
        <v>587</v>
      </c>
      <c r="D76" s="17" t="str">
        <f>vlookup(C76,'1. 신청자리스트'!J:N,2,false)</f>
        <v>정상</v>
      </c>
      <c r="E76" s="17"/>
      <c r="F76" s="17" t="s">
        <v>587</v>
      </c>
      <c r="G76" s="18">
        <v>70000.0</v>
      </c>
      <c r="H76" s="19" t="s">
        <v>3948</v>
      </c>
      <c r="I76" s="20"/>
      <c r="J76" s="20"/>
      <c r="K76" s="20"/>
      <c r="L76" s="21"/>
      <c r="M76" s="22"/>
      <c r="N76" s="22"/>
      <c r="O76" s="22"/>
      <c r="P76" s="22"/>
      <c r="Q76" s="22"/>
      <c r="R76" s="22"/>
      <c r="S76" s="22"/>
      <c r="T76" s="23"/>
    </row>
    <row r="77">
      <c r="A77" s="16" t="s">
        <v>3940</v>
      </c>
      <c r="B77" s="17" t="s">
        <v>3935</v>
      </c>
      <c r="C77" s="17" t="s">
        <v>54</v>
      </c>
      <c r="D77" s="17" t="str">
        <f>vlookup(C77,'1. 신청자리스트'!J:N,2,false)</f>
        <v>정상</v>
      </c>
      <c r="E77" s="17"/>
      <c r="F77" s="17" t="s">
        <v>54</v>
      </c>
      <c r="G77" s="18">
        <v>35000.0</v>
      </c>
      <c r="H77" s="19" t="s">
        <v>3939</v>
      </c>
      <c r="I77" s="20"/>
      <c r="J77" s="20"/>
      <c r="K77" s="20"/>
      <c r="L77" s="21"/>
      <c r="M77" s="22"/>
      <c r="N77" s="22"/>
      <c r="O77" s="22"/>
      <c r="P77" s="22"/>
      <c r="Q77" s="22"/>
      <c r="R77" s="22"/>
      <c r="S77" s="22"/>
      <c r="T77" s="23"/>
    </row>
    <row r="78">
      <c r="A78" s="16" t="s">
        <v>3984</v>
      </c>
      <c r="B78" s="17" t="s">
        <v>3935</v>
      </c>
      <c r="C78" s="17" t="s">
        <v>55</v>
      </c>
      <c r="D78" s="17" t="str">
        <f>vlookup(C78,'1. 신청자리스트'!J:N,2,false)</f>
        <v>정상</v>
      </c>
      <c r="E78" s="17"/>
      <c r="F78" s="17" t="s">
        <v>4007</v>
      </c>
      <c r="G78" s="18">
        <v>35000.0</v>
      </c>
      <c r="H78" s="19" t="s">
        <v>3941</v>
      </c>
      <c r="I78" s="20"/>
      <c r="J78" s="20"/>
      <c r="K78" s="20"/>
      <c r="L78" s="21"/>
      <c r="M78" s="22"/>
      <c r="N78" s="22"/>
      <c r="O78" s="22"/>
      <c r="P78" s="22"/>
      <c r="Q78" s="22"/>
      <c r="R78" s="22"/>
      <c r="S78" s="22"/>
      <c r="T78" s="23"/>
    </row>
    <row r="79">
      <c r="A79" s="16" t="s">
        <v>3945</v>
      </c>
      <c r="B79" s="17" t="s">
        <v>3935</v>
      </c>
      <c r="C79" s="17" t="s">
        <v>588</v>
      </c>
      <c r="D79" s="17" t="str">
        <f>vlookup(C79,'1. 신청자리스트'!J:N,2,false)</f>
        <v>정상</v>
      </c>
      <c r="E79" s="17"/>
      <c r="F79" s="17" t="s">
        <v>588</v>
      </c>
      <c r="G79" s="18">
        <v>70000.0</v>
      </c>
      <c r="H79" s="19" t="s">
        <v>3941</v>
      </c>
      <c r="I79" s="20"/>
      <c r="J79" s="20"/>
      <c r="K79" s="20"/>
      <c r="L79" s="21"/>
      <c r="M79" s="22"/>
      <c r="N79" s="22"/>
      <c r="O79" s="22"/>
      <c r="P79" s="22"/>
      <c r="Q79" s="22"/>
      <c r="R79" s="22"/>
      <c r="S79" s="22"/>
      <c r="T79" s="23"/>
    </row>
    <row r="80">
      <c r="A80" s="16" t="s">
        <v>3942</v>
      </c>
      <c r="B80" s="17" t="s">
        <v>3935</v>
      </c>
      <c r="C80" s="17" t="s">
        <v>57</v>
      </c>
      <c r="D80" s="17" t="str">
        <f>vlookup(C80,'1. 신청자리스트'!J:N,2,false)</f>
        <v>정상</v>
      </c>
      <c r="E80" s="17"/>
      <c r="F80" s="17" t="s">
        <v>57</v>
      </c>
      <c r="G80" s="18">
        <v>35000.0</v>
      </c>
      <c r="H80" s="19" t="s">
        <v>3952</v>
      </c>
      <c r="I80" s="20"/>
      <c r="J80" s="20"/>
      <c r="K80" s="20"/>
      <c r="L80" s="21"/>
      <c r="M80" s="22"/>
      <c r="N80" s="22"/>
      <c r="O80" s="22"/>
      <c r="P80" s="22"/>
      <c r="Q80" s="22"/>
      <c r="R80" s="22"/>
      <c r="S80" s="22"/>
      <c r="T80" s="23"/>
    </row>
    <row r="81">
      <c r="A81" s="16" t="s">
        <v>4008</v>
      </c>
      <c r="B81" s="17" t="s">
        <v>3932</v>
      </c>
      <c r="C81" s="17" t="s">
        <v>589</v>
      </c>
      <c r="D81" s="17" t="str">
        <f>vlookup(C81,'1. 신청자리스트'!J:N,2,false)</f>
        <v>정상</v>
      </c>
      <c r="E81" s="17"/>
      <c r="F81" s="17" t="s">
        <v>589</v>
      </c>
      <c r="G81" s="18">
        <v>70000.0</v>
      </c>
      <c r="H81" s="19" t="s">
        <v>4009</v>
      </c>
      <c r="I81" s="20"/>
      <c r="J81" s="20"/>
      <c r="K81" s="20"/>
      <c r="L81" s="21"/>
      <c r="M81" s="22"/>
      <c r="N81" s="22"/>
      <c r="O81" s="22"/>
      <c r="P81" s="22"/>
      <c r="Q81" s="22"/>
      <c r="R81" s="22"/>
      <c r="S81" s="22"/>
      <c r="T81" s="23"/>
    </row>
    <row r="82" ht="15.0" customHeight="1">
      <c r="A82" s="16" t="s">
        <v>3942</v>
      </c>
      <c r="B82" s="17" t="s">
        <v>3943</v>
      </c>
      <c r="C82" s="17" t="s">
        <v>59</v>
      </c>
      <c r="D82" s="17" t="str">
        <f>vlookup(C82,'1. 신청자리스트'!J:N,2,false)</f>
        <v>정상</v>
      </c>
      <c r="E82" s="17"/>
      <c r="F82" s="17" t="s">
        <v>59</v>
      </c>
      <c r="G82" s="18">
        <v>35000.0</v>
      </c>
      <c r="H82" s="19" t="s">
        <v>3944</v>
      </c>
      <c r="I82" s="20"/>
      <c r="J82" s="20"/>
      <c r="K82" s="20"/>
      <c r="L82" s="21"/>
      <c r="M82" s="22"/>
      <c r="N82" s="22"/>
      <c r="O82" s="22"/>
      <c r="P82" s="23"/>
      <c r="Q82" s="23"/>
      <c r="R82" s="23"/>
      <c r="S82" s="23"/>
      <c r="T82" s="23"/>
    </row>
    <row r="83">
      <c r="A83" s="16" t="s">
        <v>3985</v>
      </c>
      <c r="B83" s="17" t="s">
        <v>3935</v>
      </c>
      <c r="C83" s="17" t="s">
        <v>590</v>
      </c>
      <c r="D83" s="17" t="str">
        <f>vlookup(C83,'1. 신청자리스트'!J:N,2,false)</f>
        <v>정상</v>
      </c>
      <c r="E83" s="17"/>
      <c r="F83" s="17" t="s">
        <v>590</v>
      </c>
      <c r="G83" s="18">
        <v>70000.0</v>
      </c>
      <c r="H83" s="19" t="s">
        <v>3948</v>
      </c>
      <c r="I83" s="20"/>
      <c r="J83" s="20"/>
      <c r="K83" s="20"/>
      <c r="L83" s="21"/>
      <c r="M83" s="22"/>
      <c r="N83" s="22"/>
      <c r="O83" s="22"/>
      <c r="P83" s="22"/>
      <c r="Q83" s="22"/>
      <c r="R83" s="22"/>
      <c r="S83" s="22"/>
      <c r="T83" s="23"/>
    </row>
    <row r="84">
      <c r="A84" s="16" t="s">
        <v>3940</v>
      </c>
      <c r="B84" s="17" t="s">
        <v>3935</v>
      </c>
      <c r="C84" s="17" t="s">
        <v>61</v>
      </c>
      <c r="D84" s="17" t="str">
        <f>vlookup(C84,'1. 신청자리스트'!J:N,2,false)</f>
        <v>정상</v>
      </c>
      <c r="E84" s="17"/>
      <c r="F84" s="17" t="s">
        <v>61</v>
      </c>
      <c r="G84" s="18">
        <v>35000.0</v>
      </c>
      <c r="H84" s="19" t="s">
        <v>3939</v>
      </c>
      <c r="I84" s="20"/>
      <c r="J84" s="20"/>
      <c r="K84" s="20"/>
      <c r="L84" s="21"/>
      <c r="M84" s="22"/>
      <c r="N84" s="22"/>
      <c r="O84" s="22"/>
      <c r="P84" s="22"/>
      <c r="Q84" s="22"/>
      <c r="R84" s="22"/>
      <c r="S84" s="22"/>
      <c r="T84" s="23"/>
    </row>
    <row r="85">
      <c r="A85" s="16" t="s">
        <v>3931</v>
      </c>
      <c r="B85" s="17" t="s">
        <v>3935</v>
      </c>
      <c r="C85" s="17" t="s">
        <v>591</v>
      </c>
      <c r="D85" s="17" t="str">
        <f>vlookup(C85,'1. 신청자리스트'!J:N,2,false)</f>
        <v>정상</v>
      </c>
      <c r="E85" s="17"/>
      <c r="F85" s="17" t="s">
        <v>4010</v>
      </c>
      <c r="G85" s="18">
        <v>70000.0</v>
      </c>
      <c r="H85" s="19" t="s">
        <v>4006</v>
      </c>
      <c r="I85" s="20"/>
      <c r="J85" s="20"/>
      <c r="K85" s="20"/>
      <c r="L85" s="21"/>
      <c r="M85" s="22"/>
      <c r="N85" s="22"/>
      <c r="O85" s="22"/>
      <c r="P85" s="22"/>
      <c r="Q85" s="22"/>
      <c r="R85" s="22"/>
      <c r="S85" s="22"/>
      <c r="T85" s="41"/>
    </row>
    <row r="86">
      <c r="A86" s="24" t="s">
        <v>4011</v>
      </c>
      <c r="B86" s="25" t="s">
        <v>3935</v>
      </c>
      <c r="C86" s="25" t="s">
        <v>592</v>
      </c>
      <c r="D86" s="17" t="str">
        <f>vlookup(C86,'1. 신청자리스트'!J:N,2,false)</f>
        <v>정상</v>
      </c>
      <c r="E86" s="25"/>
      <c r="F86" s="25" t="s">
        <v>1658</v>
      </c>
      <c r="G86" s="26">
        <v>70000.0</v>
      </c>
      <c r="H86" s="27" t="s">
        <v>3983</v>
      </c>
      <c r="I86" s="28"/>
      <c r="J86" s="28"/>
      <c r="K86" s="28"/>
      <c r="L86" s="29"/>
      <c r="M86" s="22"/>
      <c r="N86" s="22"/>
      <c r="O86" s="22"/>
      <c r="P86" s="22"/>
      <c r="Q86" s="22"/>
      <c r="R86" s="22"/>
      <c r="S86" s="22"/>
      <c r="T86" s="23"/>
    </row>
    <row r="87">
      <c r="A87" s="30" t="s">
        <v>4012</v>
      </c>
      <c r="B87" s="31" t="s">
        <v>3935</v>
      </c>
      <c r="C87" s="31" t="s">
        <v>4013</v>
      </c>
      <c r="D87" s="17" t="str">
        <f>vlookup(C87,'1. 신청자리스트'!J:N,2,false)</f>
        <v>정상</v>
      </c>
      <c r="E87" s="31"/>
      <c r="F87" s="31" t="s">
        <v>4014</v>
      </c>
      <c r="G87" s="32">
        <v>35000.0</v>
      </c>
      <c r="H87" s="33" t="s">
        <v>3941</v>
      </c>
      <c r="I87" s="34" t="str">
        <f>VLOOKUP(C87, '문의'!D:E, 2, FALSE)</f>
        <v>[입금/결제] 신청자명-김미숙
 연락처-010-2211-7611
 입긍시점-2025,127 09시 33분
 입긍자명-김미숙</v>
      </c>
      <c r="J87" s="34">
        <f t="array" ref="J87">INDEX('문의'!C:C, MATCH(C87, '문의'!D:D, 0))</f>
        <v>1022117611</v>
      </c>
      <c r="K87" s="34" t="s">
        <v>3957</v>
      </c>
      <c r="L87" s="37" t="s">
        <v>4015</v>
      </c>
      <c r="M87" s="42"/>
      <c r="N87" s="42"/>
      <c r="O87" s="42"/>
      <c r="P87" s="42"/>
      <c r="Q87" s="42"/>
      <c r="R87" s="44"/>
      <c r="S87" s="42"/>
      <c r="T87" s="41"/>
    </row>
    <row r="88">
      <c r="A88" s="24" t="s">
        <v>3985</v>
      </c>
      <c r="B88" s="25" t="s">
        <v>3935</v>
      </c>
      <c r="C88" s="25" t="s">
        <v>62</v>
      </c>
      <c r="D88" s="17" t="str">
        <f>vlookup(C88,'1. 신청자리스트'!J:N,2,false)</f>
        <v>정상</v>
      </c>
      <c r="E88" s="25"/>
      <c r="F88" s="25" t="s">
        <v>2813</v>
      </c>
      <c r="G88" s="26">
        <v>35000.0</v>
      </c>
      <c r="H88" s="27" t="s">
        <v>3990</v>
      </c>
      <c r="I88" s="28"/>
      <c r="J88" s="28"/>
      <c r="K88" s="45" t="s">
        <v>4016</v>
      </c>
      <c r="L88" s="29"/>
      <c r="M88" s="22"/>
      <c r="N88" s="22"/>
      <c r="O88" s="22"/>
      <c r="P88" s="22"/>
      <c r="Q88" s="22"/>
      <c r="R88" s="22"/>
      <c r="S88" s="22"/>
      <c r="T88" s="23"/>
    </row>
    <row r="89">
      <c r="A89" s="24" t="s">
        <v>3962</v>
      </c>
      <c r="B89" s="25" t="s">
        <v>3935</v>
      </c>
      <c r="C89" s="25" t="s">
        <v>593</v>
      </c>
      <c r="D89" s="17" t="str">
        <f>vlookup(C89,'1. 신청자리스트'!J:N,2,false)</f>
        <v>정상</v>
      </c>
      <c r="E89" s="25"/>
      <c r="F89" s="25" t="s">
        <v>1813</v>
      </c>
      <c r="G89" s="26">
        <v>70000.0</v>
      </c>
      <c r="H89" s="27" t="s">
        <v>3948</v>
      </c>
      <c r="I89" s="28"/>
      <c r="J89" s="28"/>
      <c r="K89" s="28"/>
      <c r="L89" s="29"/>
      <c r="M89" s="22"/>
      <c r="N89" s="22"/>
      <c r="O89" s="22"/>
      <c r="P89" s="22"/>
      <c r="Q89" s="22"/>
      <c r="R89" s="22"/>
      <c r="S89" s="22"/>
      <c r="T89" s="23"/>
    </row>
    <row r="90">
      <c r="A90" s="16" t="s">
        <v>4017</v>
      </c>
      <c r="B90" s="17" t="s">
        <v>3935</v>
      </c>
      <c r="C90" s="17" t="s">
        <v>594</v>
      </c>
      <c r="D90" s="17" t="str">
        <f>vlookup(C90,'1. 신청자리스트'!J:N,2,false)</f>
        <v>정상</v>
      </c>
      <c r="E90" s="17"/>
      <c r="F90" s="17" t="s">
        <v>594</v>
      </c>
      <c r="G90" s="18">
        <v>70000.0</v>
      </c>
      <c r="H90" s="19" t="s">
        <v>3939</v>
      </c>
      <c r="I90" s="20"/>
      <c r="J90" s="20"/>
      <c r="K90" s="20"/>
      <c r="L90" s="21"/>
      <c r="M90" s="22"/>
      <c r="N90" s="22"/>
      <c r="O90" s="22"/>
      <c r="P90" s="22"/>
      <c r="Q90" s="22"/>
      <c r="R90" s="22"/>
      <c r="S90" s="22"/>
      <c r="T90" s="23"/>
    </row>
    <row r="91">
      <c r="A91" s="24" t="s">
        <v>3942</v>
      </c>
      <c r="B91" s="25" t="s">
        <v>3935</v>
      </c>
      <c r="C91" s="25" t="s">
        <v>595</v>
      </c>
      <c r="D91" s="17" t="str">
        <f>vlookup(C91,'1. 신청자리스트'!J:N,2,false)</f>
        <v>정상</v>
      </c>
      <c r="E91" s="25"/>
      <c r="F91" s="25" t="s">
        <v>2247</v>
      </c>
      <c r="G91" s="26">
        <v>70000.0</v>
      </c>
      <c r="H91" s="27" t="s">
        <v>3948</v>
      </c>
      <c r="I91" s="28"/>
      <c r="J91" s="28"/>
      <c r="K91" s="28"/>
      <c r="L91" s="29"/>
      <c r="M91" s="22"/>
      <c r="N91" s="22"/>
      <c r="O91" s="22"/>
      <c r="P91" s="22"/>
      <c r="Q91" s="22"/>
      <c r="R91" s="22"/>
      <c r="S91" s="22"/>
      <c r="T91" s="23"/>
    </row>
    <row r="92">
      <c r="A92" s="24" t="s">
        <v>3945</v>
      </c>
      <c r="B92" s="25" t="s">
        <v>3935</v>
      </c>
      <c r="C92" s="25" t="s">
        <v>66</v>
      </c>
      <c r="D92" s="17" t="str">
        <f>vlookup(C92,'1. 신청자리스트'!J:N,2,false)</f>
        <v>정상</v>
      </c>
      <c r="E92" s="25"/>
      <c r="F92" s="25" t="s">
        <v>3042</v>
      </c>
      <c r="G92" s="26">
        <v>35000.0</v>
      </c>
      <c r="H92" s="27" t="s">
        <v>3983</v>
      </c>
      <c r="I92" s="28"/>
      <c r="J92" s="28"/>
      <c r="K92" s="28"/>
      <c r="L92" s="29"/>
      <c r="M92" s="22"/>
      <c r="N92" s="22"/>
      <c r="O92" s="22"/>
      <c r="P92" s="22"/>
      <c r="Q92" s="22"/>
      <c r="R92" s="22"/>
      <c r="S92" s="22"/>
      <c r="T92" s="23"/>
    </row>
    <row r="93">
      <c r="A93" s="16" t="s">
        <v>3931</v>
      </c>
      <c r="B93" s="17" t="s">
        <v>3935</v>
      </c>
      <c r="C93" s="17" t="s">
        <v>596</v>
      </c>
      <c r="D93" s="17" t="str">
        <f>vlookup(C93,'1. 신청자리스트'!J:N,2,false)</f>
        <v>정상</v>
      </c>
      <c r="E93" s="17"/>
      <c r="F93" s="17" t="s">
        <v>596</v>
      </c>
      <c r="G93" s="18">
        <v>70000.0</v>
      </c>
      <c r="H93" s="19" t="s">
        <v>3948</v>
      </c>
      <c r="I93" s="20"/>
      <c r="J93" s="20"/>
      <c r="K93" s="20"/>
      <c r="L93" s="21"/>
      <c r="M93" s="22"/>
      <c r="N93" s="22"/>
      <c r="O93" s="22"/>
      <c r="P93" s="22"/>
      <c r="Q93" s="22"/>
      <c r="R93" s="22"/>
      <c r="S93" s="22"/>
      <c r="T93" s="23"/>
    </row>
    <row r="94">
      <c r="A94" s="16" t="s">
        <v>3945</v>
      </c>
      <c r="B94" s="17" t="s">
        <v>3935</v>
      </c>
      <c r="C94" s="17" t="s">
        <v>597</v>
      </c>
      <c r="D94" s="17" t="str">
        <f>vlookup(C94,'1. 신청자리스트'!J:N,2,false)</f>
        <v>정상</v>
      </c>
      <c r="E94" s="17"/>
      <c r="F94" s="17" t="s">
        <v>597</v>
      </c>
      <c r="G94" s="18">
        <v>70000.0</v>
      </c>
      <c r="H94" s="19" t="s">
        <v>3946</v>
      </c>
      <c r="I94" s="20"/>
      <c r="J94" s="20"/>
      <c r="K94" s="20"/>
      <c r="L94" s="21"/>
      <c r="M94" s="22"/>
      <c r="N94" s="22"/>
      <c r="O94" s="22"/>
      <c r="P94" s="22"/>
      <c r="Q94" s="22"/>
      <c r="R94" s="22"/>
      <c r="S94" s="22"/>
      <c r="T94" s="23"/>
    </row>
    <row r="95">
      <c r="A95" s="16" t="s">
        <v>3942</v>
      </c>
      <c r="B95" s="17" t="s">
        <v>3935</v>
      </c>
      <c r="C95" s="17" t="s">
        <v>68</v>
      </c>
      <c r="D95" s="17" t="str">
        <f>vlookup(C95,'1. 신청자리스트'!J:N,2,false)</f>
        <v>정상</v>
      </c>
      <c r="E95" s="17"/>
      <c r="F95" s="17" t="s">
        <v>68</v>
      </c>
      <c r="G95" s="18">
        <v>35000.0</v>
      </c>
      <c r="H95" s="19" t="s">
        <v>3939</v>
      </c>
      <c r="I95" s="20"/>
      <c r="J95" s="20"/>
      <c r="K95" s="20"/>
      <c r="L95" s="21"/>
      <c r="M95" s="22"/>
      <c r="N95" s="22"/>
      <c r="O95" s="22"/>
      <c r="P95" s="22"/>
      <c r="Q95" s="22"/>
      <c r="R95" s="22"/>
      <c r="S95" s="22"/>
      <c r="T95" s="23"/>
    </row>
    <row r="96">
      <c r="A96" s="24" t="s">
        <v>3989</v>
      </c>
      <c r="B96" s="25" t="s">
        <v>3935</v>
      </c>
      <c r="C96" s="25" t="s">
        <v>69</v>
      </c>
      <c r="D96" s="17" t="str">
        <f>vlookup(C96,'1. 신청자리스트'!J:N,2,false)</f>
        <v>정상</v>
      </c>
      <c r="E96" s="25"/>
      <c r="F96" s="25" t="s">
        <v>3046</v>
      </c>
      <c r="G96" s="26">
        <v>35000.0</v>
      </c>
      <c r="H96" s="27" t="s">
        <v>3948</v>
      </c>
      <c r="I96" s="28"/>
      <c r="J96" s="28"/>
      <c r="K96" s="28"/>
      <c r="L96" s="29"/>
      <c r="M96" s="22"/>
      <c r="N96" s="22"/>
      <c r="O96" s="22"/>
      <c r="P96" s="22"/>
      <c r="Q96" s="22"/>
      <c r="R96" s="22"/>
      <c r="S96" s="22"/>
      <c r="T96" s="23"/>
    </row>
    <row r="97">
      <c r="A97" s="16" t="s">
        <v>4002</v>
      </c>
      <c r="B97" s="17" t="s">
        <v>3935</v>
      </c>
      <c r="C97" s="17" t="s">
        <v>70</v>
      </c>
      <c r="D97" s="17" t="str">
        <f>vlookup(C97,'1. 신청자리스트'!J:N,2,false)</f>
        <v>정상</v>
      </c>
      <c r="E97" s="17"/>
      <c r="F97" s="17" t="s">
        <v>70</v>
      </c>
      <c r="G97" s="18">
        <v>35000.0</v>
      </c>
      <c r="H97" s="19" t="s">
        <v>3983</v>
      </c>
      <c r="I97" s="20"/>
      <c r="J97" s="20"/>
      <c r="K97" s="20"/>
      <c r="L97" s="21"/>
      <c r="M97" s="22"/>
      <c r="N97" s="22"/>
      <c r="O97" s="22"/>
      <c r="P97" s="22"/>
      <c r="Q97" s="22"/>
      <c r="R97" s="22"/>
      <c r="S97" s="22"/>
      <c r="T97" s="23"/>
    </row>
    <row r="98">
      <c r="A98" s="16" t="s">
        <v>4018</v>
      </c>
      <c r="B98" s="17" t="s">
        <v>3935</v>
      </c>
      <c r="C98" s="17" t="s">
        <v>71</v>
      </c>
      <c r="D98" s="17" t="str">
        <f>vlookup(C98,'1. 신청자리스트'!J:N,2,false)</f>
        <v>정상</v>
      </c>
      <c r="E98" s="17"/>
      <c r="F98" s="17" t="s">
        <v>71</v>
      </c>
      <c r="G98" s="18">
        <v>35000.0</v>
      </c>
      <c r="H98" s="19" t="s">
        <v>3948</v>
      </c>
      <c r="I98" s="20"/>
      <c r="J98" s="20"/>
      <c r="K98" s="20"/>
      <c r="L98" s="21"/>
      <c r="M98" s="22"/>
      <c r="N98" s="22"/>
      <c r="O98" s="22"/>
      <c r="P98" s="22"/>
      <c r="Q98" s="22"/>
      <c r="R98" s="22"/>
      <c r="S98" s="22"/>
      <c r="T98" s="23"/>
    </row>
    <row r="99">
      <c r="A99" s="16" t="s">
        <v>4019</v>
      </c>
      <c r="B99" s="17" t="s">
        <v>3935</v>
      </c>
      <c r="C99" s="17" t="s">
        <v>598</v>
      </c>
      <c r="D99" s="17" t="str">
        <f>vlookup(C99,'1. 신청자리스트'!J:N,2,false)</f>
        <v>정상</v>
      </c>
      <c r="E99" s="17"/>
      <c r="F99" s="17" t="s">
        <v>598</v>
      </c>
      <c r="G99" s="18">
        <v>70000.0</v>
      </c>
      <c r="H99" s="19" t="s">
        <v>3983</v>
      </c>
      <c r="I99" s="20"/>
      <c r="J99" s="20"/>
      <c r="K99" s="20"/>
      <c r="L99" s="21"/>
      <c r="M99" s="22"/>
      <c r="N99" s="22"/>
      <c r="O99" s="22"/>
      <c r="P99" s="22"/>
      <c r="Q99" s="22"/>
      <c r="R99" s="22"/>
      <c r="S99" s="22"/>
      <c r="T99" s="23"/>
    </row>
    <row r="100">
      <c r="A100" s="16" t="s">
        <v>3931</v>
      </c>
      <c r="B100" s="17" t="s">
        <v>3935</v>
      </c>
      <c r="C100" s="17" t="s">
        <v>599</v>
      </c>
      <c r="D100" s="17" t="str">
        <f>vlookup(C100,'1. 신청자리스트'!J:N,2,false)</f>
        <v>정상</v>
      </c>
      <c r="E100" s="17"/>
      <c r="F100" s="17" t="s">
        <v>599</v>
      </c>
      <c r="G100" s="18">
        <v>70000.0</v>
      </c>
      <c r="H100" s="19" t="s">
        <v>3952</v>
      </c>
      <c r="I100" s="20"/>
      <c r="J100" s="20"/>
      <c r="K100" s="20"/>
      <c r="L100" s="21"/>
      <c r="M100" s="22"/>
      <c r="N100" s="22"/>
      <c r="O100" s="22"/>
      <c r="P100" s="22"/>
      <c r="Q100" s="22"/>
      <c r="R100" s="22"/>
      <c r="S100" s="22"/>
      <c r="T100" s="23"/>
    </row>
    <row r="101">
      <c r="A101" s="16" t="s">
        <v>3945</v>
      </c>
      <c r="B101" s="17" t="s">
        <v>3935</v>
      </c>
      <c r="C101" s="17" t="s">
        <v>600</v>
      </c>
      <c r="D101" s="17" t="str">
        <f>vlookup(C101,'1. 신청자리스트'!J:N,2,false)</f>
        <v>정상</v>
      </c>
      <c r="E101" s="17"/>
      <c r="F101" s="17" t="s">
        <v>600</v>
      </c>
      <c r="G101" s="18">
        <v>70000.0</v>
      </c>
      <c r="H101" s="19" t="s">
        <v>3946</v>
      </c>
      <c r="I101" s="20"/>
      <c r="J101" s="20"/>
      <c r="K101" s="20"/>
      <c r="L101" s="21"/>
      <c r="M101" s="22"/>
      <c r="N101" s="22"/>
      <c r="O101" s="22"/>
      <c r="P101" s="22"/>
      <c r="Q101" s="22"/>
      <c r="R101" s="22"/>
      <c r="S101" s="22"/>
      <c r="T101" s="23"/>
    </row>
    <row r="102">
      <c r="A102" s="16" t="s">
        <v>4020</v>
      </c>
      <c r="B102" s="17" t="s">
        <v>3932</v>
      </c>
      <c r="C102" s="17" t="s">
        <v>72</v>
      </c>
      <c r="D102" s="17" t="str">
        <f>vlookup(C102,'1. 신청자리스트'!J:N,2,false)</f>
        <v>정상</v>
      </c>
      <c r="E102" s="17"/>
      <c r="F102" s="17" t="s">
        <v>72</v>
      </c>
      <c r="G102" s="18">
        <v>35000.0</v>
      </c>
      <c r="H102" s="19" t="s">
        <v>4021</v>
      </c>
      <c r="I102" s="20"/>
      <c r="J102" s="20"/>
      <c r="K102" s="20"/>
      <c r="L102" s="21"/>
      <c r="M102" s="22"/>
      <c r="N102" s="22"/>
      <c r="O102" s="22"/>
      <c r="P102" s="22"/>
      <c r="Q102" s="22"/>
      <c r="R102" s="22"/>
      <c r="S102" s="22"/>
      <c r="T102" s="23"/>
    </row>
    <row r="103">
      <c r="A103" s="16" t="s">
        <v>3940</v>
      </c>
      <c r="B103" s="17" t="s">
        <v>3935</v>
      </c>
      <c r="C103" s="17" t="s">
        <v>601</v>
      </c>
      <c r="D103" s="17" t="str">
        <f>vlookup(C103,'1. 신청자리스트'!J:N,2,false)</f>
        <v>정상</v>
      </c>
      <c r="E103" s="17"/>
      <c r="F103" s="17" t="s">
        <v>601</v>
      </c>
      <c r="G103" s="18">
        <v>70000.0</v>
      </c>
      <c r="H103" s="19" t="s">
        <v>3983</v>
      </c>
      <c r="I103" s="20"/>
      <c r="J103" s="20"/>
      <c r="K103" s="20"/>
      <c r="L103" s="21"/>
      <c r="M103" s="22"/>
      <c r="N103" s="22"/>
      <c r="O103" s="22"/>
      <c r="P103" s="22"/>
      <c r="Q103" s="22"/>
      <c r="R103" s="22"/>
      <c r="S103" s="22"/>
      <c r="T103" s="23"/>
    </row>
    <row r="104">
      <c r="A104" s="16" t="s">
        <v>4022</v>
      </c>
      <c r="B104" s="17" t="s">
        <v>3935</v>
      </c>
      <c r="C104" s="17" t="s">
        <v>73</v>
      </c>
      <c r="D104" s="17" t="str">
        <f>vlookup(C104,'1. 신청자리스트'!J:N,2,false)</f>
        <v>정상</v>
      </c>
      <c r="E104" s="17"/>
      <c r="F104" s="17" t="s">
        <v>73</v>
      </c>
      <c r="G104" s="18">
        <v>35000.0</v>
      </c>
      <c r="H104" s="19" t="s">
        <v>3946</v>
      </c>
      <c r="I104" s="20"/>
      <c r="J104" s="20"/>
      <c r="K104" s="20"/>
      <c r="L104" s="21"/>
      <c r="M104" s="22"/>
      <c r="N104" s="22"/>
      <c r="O104" s="22"/>
      <c r="P104" s="22"/>
      <c r="Q104" s="22"/>
      <c r="R104" s="22"/>
      <c r="S104" s="22"/>
      <c r="T104" s="23"/>
    </row>
    <row r="105">
      <c r="A105" s="16" t="s">
        <v>4002</v>
      </c>
      <c r="B105" s="17" t="s">
        <v>3935</v>
      </c>
      <c r="C105" s="17" t="s">
        <v>74</v>
      </c>
      <c r="D105" s="17" t="str">
        <f>vlookup(C105,'1. 신청자리스트'!J:N,2,false)</f>
        <v>정상</v>
      </c>
      <c r="E105" s="17"/>
      <c r="F105" s="17" t="s">
        <v>74</v>
      </c>
      <c r="G105" s="18">
        <v>35000.0</v>
      </c>
      <c r="H105" s="19" t="s">
        <v>3946</v>
      </c>
      <c r="I105" s="20"/>
      <c r="J105" s="20"/>
      <c r="K105" s="20"/>
      <c r="L105" s="21"/>
      <c r="M105" s="22"/>
      <c r="N105" s="22"/>
      <c r="O105" s="22"/>
      <c r="P105" s="22"/>
      <c r="Q105" s="22"/>
      <c r="R105" s="22"/>
      <c r="S105" s="22"/>
      <c r="T105" s="23"/>
    </row>
    <row r="106">
      <c r="A106" s="16" t="s">
        <v>4002</v>
      </c>
      <c r="B106" s="17" t="s">
        <v>3935</v>
      </c>
      <c r="C106" s="17" t="s">
        <v>602</v>
      </c>
      <c r="D106" s="17" t="str">
        <f>vlookup(C106,'1. 신청자리스트'!J:N,2,false)</f>
        <v>정상</v>
      </c>
      <c r="E106" s="17"/>
      <c r="F106" s="17" t="s">
        <v>602</v>
      </c>
      <c r="G106" s="18">
        <v>70000.0</v>
      </c>
      <c r="H106" s="19" t="s">
        <v>3983</v>
      </c>
      <c r="I106" s="20"/>
      <c r="J106" s="20"/>
      <c r="K106" s="20"/>
      <c r="L106" s="21"/>
      <c r="M106" s="22"/>
      <c r="N106" s="22"/>
      <c r="O106" s="22"/>
      <c r="P106" s="22"/>
      <c r="Q106" s="22"/>
      <c r="R106" s="22"/>
      <c r="S106" s="22"/>
      <c r="T106" s="23"/>
    </row>
    <row r="107">
      <c r="A107" s="16" t="s">
        <v>3962</v>
      </c>
      <c r="B107" s="17" t="s">
        <v>3935</v>
      </c>
      <c r="C107" s="17" t="s">
        <v>603</v>
      </c>
      <c r="D107" s="17" t="str">
        <f>vlookup(C107,'1. 신청자리스트'!J:N,2,false)</f>
        <v>정상</v>
      </c>
      <c r="E107" s="17"/>
      <c r="F107" s="17" t="s">
        <v>4023</v>
      </c>
      <c r="G107" s="18">
        <v>70000.0</v>
      </c>
      <c r="H107" s="19" t="s">
        <v>3983</v>
      </c>
      <c r="I107" s="20"/>
      <c r="J107" s="20"/>
      <c r="K107" s="20"/>
      <c r="L107" s="21"/>
      <c r="M107" s="22"/>
      <c r="N107" s="22"/>
      <c r="O107" s="22"/>
      <c r="P107" s="22"/>
      <c r="Q107" s="22"/>
      <c r="R107" s="22"/>
      <c r="S107" s="22"/>
      <c r="T107" s="23"/>
    </row>
    <row r="108">
      <c r="A108" s="16" t="s">
        <v>3953</v>
      </c>
      <c r="B108" s="17" t="s">
        <v>3932</v>
      </c>
      <c r="C108" s="17" t="s">
        <v>604</v>
      </c>
      <c r="D108" s="17" t="str">
        <f>vlookup(C108,'1. 신청자리스트'!J:N,2,false)</f>
        <v>정상</v>
      </c>
      <c r="E108" s="17"/>
      <c r="F108" s="17" t="s">
        <v>604</v>
      </c>
      <c r="G108" s="18">
        <v>70000.0</v>
      </c>
      <c r="H108" s="19" t="s">
        <v>4024</v>
      </c>
      <c r="I108" s="20"/>
      <c r="J108" s="20"/>
      <c r="K108" s="20"/>
      <c r="L108" s="21"/>
      <c r="M108" s="22"/>
      <c r="N108" s="22"/>
      <c r="O108" s="22"/>
      <c r="P108" s="22"/>
      <c r="Q108" s="22"/>
      <c r="R108" s="22"/>
      <c r="S108" s="22"/>
      <c r="T108" s="23"/>
    </row>
    <row r="109">
      <c r="A109" s="24" t="s">
        <v>3942</v>
      </c>
      <c r="B109" s="25" t="s">
        <v>3935</v>
      </c>
      <c r="C109" s="25" t="s">
        <v>76</v>
      </c>
      <c r="D109" s="17" t="str">
        <f>vlookup(C109,'1. 신청자리스트'!J:N,2,false)</f>
        <v>정상</v>
      </c>
      <c r="E109" s="25"/>
      <c r="F109" s="25" t="s">
        <v>2817</v>
      </c>
      <c r="G109" s="26">
        <v>35000.0</v>
      </c>
      <c r="H109" s="27" t="s">
        <v>3983</v>
      </c>
      <c r="I109" s="28"/>
      <c r="J109" s="28"/>
      <c r="K109" s="28"/>
      <c r="L109" s="29"/>
      <c r="M109" s="22"/>
      <c r="N109" s="22"/>
      <c r="O109" s="22"/>
      <c r="P109" s="22"/>
      <c r="Q109" s="22"/>
      <c r="R109" s="22"/>
      <c r="S109" s="22"/>
      <c r="T109" s="23"/>
    </row>
    <row r="110">
      <c r="A110" s="16" t="s">
        <v>3945</v>
      </c>
      <c r="B110" s="17" t="s">
        <v>3932</v>
      </c>
      <c r="C110" s="17" t="s">
        <v>77</v>
      </c>
      <c r="D110" s="17" t="str">
        <f>vlookup(C110,'1. 신청자리스트'!J:N,2,false)</f>
        <v>정상</v>
      </c>
      <c r="E110" s="17"/>
      <c r="F110" s="17" t="s">
        <v>77</v>
      </c>
      <c r="G110" s="18">
        <v>35000.0</v>
      </c>
      <c r="H110" s="19" t="s">
        <v>4025</v>
      </c>
      <c r="I110" s="20"/>
      <c r="J110" s="20"/>
      <c r="K110" s="20"/>
      <c r="L110" s="21"/>
      <c r="M110" s="22"/>
      <c r="N110" s="22"/>
      <c r="O110" s="22"/>
      <c r="P110" s="22"/>
      <c r="Q110" s="22"/>
      <c r="R110" s="22"/>
      <c r="S110" s="22"/>
      <c r="T110" s="23"/>
    </row>
    <row r="111">
      <c r="A111" s="16" t="s">
        <v>3940</v>
      </c>
      <c r="B111" s="17" t="s">
        <v>3935</v>
      </c>
      <c r="C111" s="17" t="s">
        <v>78</v>
      </c>
      <c r="D111" s="17" t="str">
        <f>vlookup(C111,'1. 신청자리스트'!J:N,2,false)</f>
        <v>정상</v>
      </c>
      <c r="E111" s="17"/>
      <c r="F111" s="17" t="s">
        <v>78</v>
      </c>
      <c r="G111" s="18">
        <v>35000.0</v>
      </c>
      <c r="H111" s="19" t="s">
        <v>3939</v>
      </c>
      <c r="I111" s="20"/>
      <c r="J111" s="20"/>
      <c r="K111" s="20"/>
      <c r="L111" s="21"/>
      <c r="M111" s="22"/>
      <c r="N111" s="22"/>
      <c r="O111" s="22"/>
      <c r="P111" s="22"/>
      <c r="Q111" s="22"/>
      <c r="R111" s="22"/>
      <c r="S111" s="22"/>
      <c r="T111" s="23"/>
    </row>
    <row r="112">
      <c r="A112" s="16" t="s">
        <v>4002</v>
      </c>
      <c r="B112" s="17" t="s">
        <v>3935</v>
      </c>
      <c r="C112" s="17" t="s">
        <v>605</v>
      </c>
      <c r="D112" s="17" t="str">
        <f>vlookup(C112,'1. 신청자리스트'!J:N,2,false)</f>
        <v>정상</v>
      </c>
      <c r="E112" s="17"/>
      <c r="F112" s="17" t="s">
        <v>605</v>
      </c>
      <c r="G112" s="18">
        <v>70000.0</v>
      </c>
      <c r="H112" s="19" t="s">
        <v>3948</v>
      </c>
      <c r="I112" s="20"/>
      <c r="J112" s="20"/>
      <c r="K112" s="20"/>
      <c r="L112" s="21"/>
      <c r="M112" s="22"/>
      <c r="N112" s="22"/>
      <c r="O112" s="22"/>
      <c r="P112" s="22"/>
      <c r="Q112" s="22"/>
      <c r="R112" s="22"/>
      <c r="S112" s="22"/>
      <c r="T112" s="23"/>
    </row>
    <row r="113">
      <c r="A113" s="16" t="s">
        <v>4026</v>
      </c>
      <c r="B113" s="17" t="s">
        <v>3935</v>
      </c>
      <c r="C113" s="17" t="s">
        <v>606</v>
      </c>
      <c r="D113" s="17" t="str">
        <f>vlookup(C113,'1. 신청자리스트'!J:N,2,false)</f>
        <v>정상</v>
      </c>
      <c r="E113" s="17"/>
      <c r="F113" s="17" t="s">
        <v>606</v>
      </c>
      <c r="G113" s="18">
        <v>70000.0</v>
      </c>
      <c r="H113" s="19" t="s">
        <v>3948</v>
      </c>
      <c r="I113" s="20"/>
      <c r="J113" s="20"/>
      <c r="K113" s="20"/>
      <c r="L113" s="21"/>
      <c r="M113" s="22"/>
      <c r="N113" s="22"/>
      <c r="O113" s="22"/>
      <c r="P113" s="22"/>
      <c r="Q113" s="22"/>
      <c r="R113" s="22"/>
      <c r="S113" s="22"/>
      <c r="T113" s="23"/>
    </row>
    <row r="114">
      <c r="A114" s="24" t="s">
        <v>4002</v>
      </c>
      <c r="B114" s="25" t="s">
        <v>3935</v>
      </c>
      <c r="C114" s="25" t="s">
        <v>79</v>
      </c>
      <c r="D114" s="17" t="str">
        <f>vlookup(C114,'1. 신청자리스트'!J:N,2,false)</f>
        <v>정상</v>
      </c>
      <c r="E114" s="25"/>
      <c r="F114" s="25" t="s">
        <v>3064</v>
      </c>
      <c r="G114" s="26">
        <v>35000.0</v>
      </c>
      <c r="H114" s="27" t="s">
        <v>3948</v>
      </c>
      <c r="I114" s="28"/>
      <c r="J114" s="28"/>
      <c r="K114" s="28"/>
      <c r="L114" s="29"/>
      <c r="M114" s="22"/>
      <c r="N114" s="22"/>
      <c r="O114" s="22"/>
      <c r="P114" s="22"/>
      <c r="Q114" s="22"/>
      <c r="R114" s="22"/>
      <c r="S114" s="22"/>
      <c r="T114" s="23"/>
    </row>
    <row r="115">
      <c r="A115" s="24" t="s">
        <v>3962</v>
      </c>
      <c r="B115" s="25" t="s">
        <v>3935</v>
      </c>
      <c r="C115" s="25" t="s">
        <v>80</v>
      </c>
      <c r="D115" s="17" t="str">
        <f>vlookup(C115,'1. 신청자리스트'!J:N,2,false)</f>
        <v>정상</v>
      </c>
      <c r="E115" s="25"/>
      <c r="F115" s="25" t="s">
        <v>3066</v>
      </c>
      <c r="G115" s="26">
        <v>35000.0</v>
      </c>
      <c r="H115" s="27" t="s">
        <v>3941</v>
      </c>
      <c r="I115" s="28"/>
      <c r="J115" s="28"/>
      <c r="K115" s="28"/>
      <c r="L115" s="29"/>
      <c r="M115" s="22"/>
      <c r="N115" s="22"/>
      <c r="O115" s="22"/>
      <c r="P115" s="22"/>
      <c r="Q115" s="22"/>
      <c r="R115" s="22"/>
      <c r="S115" s="22"/>
      <c r="T115" s="23"/>
    </row>
    <row r="116">
      <c r="A116" s="16" t="s">
        <v>3942</v>
      </c>
      <c r="B116" s="17" t="s">
        <v>3935</v>
      </c>
      <c r="C116" s="17" t="s">
        <v>81</v>
      </c>
      <c r="D116" s="17" t="str">
        <f>vlookup(C116,'1. 신청자리스트'!J:N,2,false)</f>
        <v>정상</v>
      </c>
      <c r="E116" s="17"/>
      <c r="F116" s="17" t="s">
        <v>81</v>
      </c>
      <c r="G116" s="18">
        <v>35000.0</v>
      </c>
      <c r="H116" s="19" t="s">
        <v>4027</v>
      </c>
      <c r="I116" s="20"/>
      <c r="J116" s="20"/>
      <c r="K116" s="20"/>
      <c r="L116" s="21"/>
      <c r="M116" s="22"/>
      <c r="N116" s="22"/>
      <c r="O116" s="22"/>
      <c r="P116" s="22"/>
      <c r="Q116" s="22"/>
      <c r="R116" s="22"/>
      <c r="S116" s="22"/>
      <c r="T116" s="23"/>
    </row>
    <row r="117">
      <c r="A117" s="16" t="s">
        <v>3945</v>
      </c>
      <c r="B117" s="17" t="s">
        <v>3935</v>
      </c>
      <c r="C117" s="17" t="s">
        <v>607</v>
      </c>
      <c r="D117" s="17" t="str">
        <f>vlookup(C117,'1. 신청자리스트'!J:N,2,false)</f>
        <v>정상</v>
      </c>
      <c r="E117" s="17"/>
      <c r="F117" s="17" t="s">
        <v>607</v>
      </c>
      <c r="G117" s="18">
        <v>70000.0</v>
      </c>
      <c r="H117" s="19" t="s">
        <v>3983</v>
      </c>
      <c r="I117" s="20"/>
      <c r="J117" s="20"/>
      <c r="K117" s="20"/>
      <c r="L117" s="21"/>
      <c r="M117" s="22"/>
      <c r="N117" s="22"/>
      <c r="O117" s="22"/>
      <c r="P117" s="22"/>
      <c r="Q117" s="22"/>
      <c r="R117" s="22"/>
      <c r="S117" s="22"/>
      <c r="T117" s="23"/>
    </row>
    <row r="118">
      <c r="A118" s="24" t="s">
        <v>3931</v>
      </c>
      <c r="B118" s="25" t="s">
        <v>3935</v>
      </c>
      <c r="C118" s="25" t="s">
        <v>608</v>
      </c>
      <c r="D118" s="17" t="str">
        <f>vlookup(C118,'1. 신청자리스트'!J:N,2,false)</f>
        <v>정상</v>
      </c>
      <c r="E118" s="25"/>
      <c r="F118" s="25" t="s">
        <v>2441</v>
      </c>
      <c r="G118" s="26">
        <v>70000.0</v>
      </c>
      <c r="H118" s="27" t="s">
        <v>3939</v>
      </c>
      <c r="I118" s="28"/>
      <c r="J118" s="28"/>
      <c r="K118" s="28"/>
      <c r="L118" s="29"/>
      <c r="M118" s="22"/>
      <c r="N118" s="22"/>
      <c r="O118" s="22"/>
      <c r="P118" s="22"/>
      <c r="Q118" s="22"/>
      <c r="R118" s="22"/>
      <c r="S118" s="22"/>
      <c r="T118" s="23"/>
    </row>
    <row r="119">
      <c r="A119" s="24" t="s">
        <v>4028</v>
      </c>
      <c r="B119" s="25" t="s">
        <v>3932</v>
      </c>
      <c r="C119" s="25" t="s">
        <v>82</v>
      </c>
      <c r="D119" s="17" t="str">
        <f>vlookup(C119,'1. 신청자리스트'!J:N,2,false)</f>
        <v>정상</v>
      </c>
      <c r="E119" s="25"/>
      <c r="F119" s="25" t="s">
        <v>3070</v>
      </c>
      <c r="G119" s="26">
        <v>35000.0</v>
      </c>
      <c r="H119" s="27" t="s">
        <v>4029</v>
      </c>
      <c r="I119" s="28"/>
      <c r="J119" s="28"/>
      <c r="K119" s="28"/>
      <c r="L119" s="29"/>
      <c r="M119" s="22"/>
      <c r="N119" s="22"/>
      <c r="O119" s="22"/>
      <c r="P119" s="22"/>
      <c r="Q119" s="22"/>
      <c r="R119" s="22"/>
      <c r="S119" s="22"/>
      <c r="T119" s="23"/>
    </row>
    <row r="120">
      <c r="A120" s="24" t="s">
        <v>3963</v>
      </c>
      <c r="B120" s="25" t="s">
        <v>3935</v>
      </c>
      <c r="C120" s="25" t="s">
        <v>83</v>
      </c>
      <c r="D120" s="17" t="str">
        <f>vlookup(C120,'1. 신청자리스트'!J:N,2,false)</f>
        <v>정상</v>
      </c>
      <c r="E120" s="25"/>
      <c r="F120" s="25" t="s">
        <v>3072</v>
      </c>
      <c r="G120" s="26">
        <v>35000.0</v>
      </c>
      <c r="H120" s="27" t="s">
        <v>3983</v>
      </c>
      <c r="I120" s="28"/>
      <c r="J120" s="28"/>
      <c r="K120" s="28"/>
      <c r="L120" s="29"/>
      <c r="M120" s="22"/>
      <c r="N120" s="22"/>
      <c r="O120" s="22"/>
      <c r="P120" s="22"/>
      <c r="Q120" s="22"/>
      <c r="R120" s="22"/>
      <c r="S120" s="22"/>
      <c r="T120" s="23"/>
    </row>
    <row r="121">
      <c r="A121" s="24" t="s">
        <v>3949</v>
      </c>
      <c r="B121" s="25" t="s">
        <v>3935</v>
      </c>
      <c r="C121" s="25" t="s">
        <v>609</v>
      </c>
      <c r="D121" s="17" t="str">
        <f>vlookup(C121,'1. 신청자리스트'!J:N,2,false)</f>
        <v>정상</v>
      </c>
      <c r="E121" s="25"/>
      <c r="F121" s="25" t="s">
        <v>2360</v>
      </c>
      <c r="G121" s="26">
        <v>70000.0</v>
      </c>
      <c r="H121" s="27" t="s">
        <v>3941</v>
      </c>
      <c r="I121" s="28"/>
      <c r="J121" s="28"/>
      <c r="K121" s="28"/>
      <c r="L121" s="29"/>
      <c r="M121" s="22"/>
      <c r="N121" s="22"/>
      <c r="O121" s="22"/>
      <c r="P121" s="22"/>
      <c r="Q121" s="22"/>
      <c r="R121" s="22"/>
      <c r="S121" s="22"/>
      <c r="T121" s="23"/>
    </row>
    <row r="122">
      <c r="A122" s="16" t="s">
        <v>3942</v>
      </c>
      <c r="B122" s="17" t="s">
        <v>3935</v>
      </c>
      <c r="C122" s="17" t="s">
        <v>84</v>
      </c>
      <c r="D122" s="17" t="str">
        <f>vlookup(C122,'1. 신청자리스트'!J:N,2,false)</f>
        <v>정상</v>
      </c>
      <c r="E122" s="17"/>
      <c r="F122" s="17" t="s">
        <v>84</v>
      </c>
      <c r="G122" s="18">
        <v>35000.0</v>
      </c>
      <c r="H122" s="19" t="s">
        <v>3946</v>
      </c>
      <c r="I122" s="20"/>
      <c r="J122" s="20"/>
      <c r="K122" s="20"/>
      <c r="L122" s="21"/>
      <c r="M122" s="22"/>
      <c r="N122" s="22"/>
      <c r="O122" s="22"/>
      <c r="P122" s="22"/>
      <c r="Q122" s="22"/>
      <c r="R122" s="22"/>
      <c r="S122" s="22"/>
      <c r="T122" s="23"/>
    </row>
    <row r="123">
      <c r="A123" s="16" t="s">
        <v>3953</v>
      </c>
      <c r="B123" s="17" t="s">
        <v>3935</v>
      </c>
      <c r="C123" s="17" t="s">
        <v>85</v>
      </c>
      <c r="D123" s="17" t="str">
        <f>vlookup(C123,'1. 신청자리스트'!J:N,2,false)</f>
        <v>정상</v>
      </c>
      <c r="E123" s="17"/>
      <c r="F123" s="17" t="s">
        <v>85</v>
      </c>
      <c r="G123" s="18">
        <v>35000.0</v>
      </c>
      <c r="H123" s="19" t="s">
        <v>3952</v>
      </c>
      <c r="I123" s="20"/>
      <c r="J123" s="20"/>
      <c r="K123" s="20"/>
      <c r="L123" s="21"/>
      <c r="M123" s="22"/>
      <c r="N123" s="22"/>
      <c r="O123" s="22"/>
      <c r="P123" s="22"/>
      <c r="Q123" s="22"/>
      <c r="R123" s="22"/>
      <c r="S123" s="22"/>
      <c r="T123" s="23"/>
    </row>
    <row r="124">
      <c r="A124" s="16" t="s">
        <v>3945</v>
      </c>
      <c r="B124" s="17" t="s">
        <v>3935</v>
      </c>
      <c r="C124" s="17" t="s">
        <v>610</v>
      </c>
      <c r="D124" s="17" t="str">
        <f>vlookup(C124,'1. 신청자리스트'!J:N,2,false)</f>
        <v>정상</v>
      </c>
      <c r="E124" s="17"/>
      <c r="F124" s="17" t="s">
        <v>610</v>
      </c>
      <c r="G124" s="18">
        <v>70000.0</v>
      </c>
      <c r="H124" s="19" t="s">
        <v>3968</v>
      </c>
      <c r="I124" s="20"/>
      <c r="J124" s="20"/>
      <c r="K124" s="20"/>
      <c r="L124" s="21"/>
      <c r="M124" s="22"/>
      <c r="N124" s="22"/>
      <c r="O124" s="22"/>
      <c r="P124" s="22"/>
      <c r="Q124" s="22"/>
      <c r="R124" s="22"/>
      <c r="S124" s="22"/>
      <c r="T124" s="23"/>
    </row>
    <row r="125">
      <c r="A125" s="16" t="s">
        <v>3945</v>
      </c>
      <c r="B125" s="17" t="s">
        <v>3943</v>
      </c>
      <c r="C125" s="17" t="s">
        <v>86</v>
      </c>
      <c r="D125" s="17" t="str">
        <f>vlookup(C125,'1. 신청자리스트'!J:N,2,false)</f>
        <v>정상</v>
      </c>
      <c r="E125" s="17"/>
      <c r="F125" s="17" t="s">
        <v>86</v>
      </c>
      <c r="G125" s="18">
        <v>35000.0</v>
      </c>
      <c r="H125" s="19" t="s">
        <v>3944</v>
      </c>
      <c r="I125" s="20"/>
      <c r="J125" s="20"/>
      <c r="K125" s="20"/>
      <c r="L125" s="21"/>
      <c r="M125" s="22"/>
      <c r="N125" s="22"/>
      <c r="O125" s="22"/>
      <c r="P125" s="22"/>
      <c r="Q125" s="22"/>
      <c r="R125" s="22"/>
      <c r="S125" s="22"/>
      <c r="T125" s="23"/>
    </row>
    <row r="126">
      <c r="A126" s="24" t="s">
        <v>3940</v>
      </c>
      <c r="B126" s="25" t="s">
        <v>3935</v>
      </c>
      <c r="C126" s="25" t="s">
        <v>612</v>
      </c>
      <c r="D126" s="17" t="str">
        <f>vlookup(C126,'1. 신청자리스트'!J:N,2,false)</f>
        <v>정상</v>
      </c>
      <c r="E126" s="25"/>
      <c r="F126" s="25" t="s">
        <v>1601</v>
      </c>
      <c r="G126" s="26">
        <v>70000.0</v>
      </c>
      <c r="H126" s="27" t="s">
        <v>3941</v>
      </c>
      <c r="I126" s="28"/>
      <c r="J126" s="28"/>
      <c r="K126" s="28"/>
      <c r="L126" s="29"/>
      <c r="M126" s="22"/>
      <c r="N126" s="22"/>
      <c r="O126" s="22"/>
      <c r="P126" s="22"/>
      <c r="Q126" s="22"/>
      <c r="R126" s="22"/>
      <c r="S126" s="22"/>
      <c r="T126" s="23"/>
    </row>
    <row r="127">
      <c r="A127" s="16" t="s">
        <v>4030</v>
      </c>
      <c r="B127" s="17" t="s">
        <v>3935</v>
      </c>
      <c r="C127" s="17" t="s">
        <v>613</v>
      </c>
      <c r="D127" s="17" t="str">
        <f>vlookup(C127,'1. 신청자리스트'!J:N,2,false)</f>
        <v>정상</v>
      </c>
      <c r="E127" s="17"/>
      <c r="F127" s="17" t="s">
        <v>613</v>
      </c>
      <c r="G127" s="18">
        <v>70000.0</v>
      </c>
      <c r="H127" s="19" t="s">
        <v>3983</v>
      </c>
      <c r="I127" s="20"/>
      <c r="J127" s="20"/>
      <c r="K127" s="20"/>
      <c r="L127" s="21"/>
      <c r="M127" s="22"/>
      <c r="N127" s="22"/>
      <c r="O127" s="22"/>
      <c r="P127" s="22"/>
      <c r="Q127" s="22"/>
      <c r="R127" s="22"/>
      <c r="S127" s="22"/>
      <c r="T127" s="23"/>
    </row>
    <row r="128">
      <c r="A128" s="16" t="s">
        <v>3942</v>
      </c>
      <c r="B128" s="17" t="s">
        <v>3932</v>
      </c>
      <c r="C128" s="17" t="s">
        <v>87</v>
      </c>
      <c r="D128" s="17" t="str">
        <f>vlookup(C128,'1. 신청자리스트'!J:N,2,false)</f>
        <v>정상</v>
      </c>
      <c r="E128" s="17"/>
      <c r="F128" s="17" t="s">
        <v>87</v>
      </c>
      <c r="G128" s="18">
        <v>35000.0</v>
      </c>
      <c r="H128" s="19" t="s">
        <v>4031</v>
      </c>
      <c r="I128" s="20"/>
      <c r="J128" s="20"/>
      <c r="K128" s="20"/>
      <c r="L128" s="21"/>
      <c r="M128" s="22"/>
      <c r="N128" s="22"/>
      <c r="O128" s="22"/>
      <c r="P128" s="22"/>
      <c r="Q128" s="22"/>
      <c r="R128" s="22"/>
      <c r="S128" s="22"/>
      <c r="T128" s="23"/>
    </row>
    <row r="129">
      <c r="A129" s="16" t="s">
        <v>3962</v>
      </c>
      <c r="B129" s="17" t="s">
        <v>4032</v>
      </c>
      <c r="C129" s="17" t="s">
        <v>88</v>
      </c>
      <c r="D129" s="17" t="str">
        <f>vlookup(C129,'1. 신청자리스트'!J:N,2,false)</f>
        <v>정상</v>
      </c>
      <c r="E129" s="17"/>
      <c r="F129" s="17" t="s">
        <v>88</v>
      </c>
      <c r="G129" s="18">
        <v>35000.0</v>
      </c>
      <c r="H129" s="19" t="s">
        <v>4033</v>
      </c>
      <c r="I129" s="20"/>
      <c r="J129" s="20"/>
      <c r="K129" s="20"/>
      <c r="L129" s="21"/>
      <c r="M129" s="22"/>
      <c r="N129" s="22"/>
      <c r="O129" s="22"/>
      <c r="P129" s="22"/>
      <c r="Q129" s="22"/>
      <c r="R129" s="22"/>
      <c r="S129" s="22"/>
      <c r="T129" s="23"/>
    </row>
    <row r="130">
      <c r="A130" s="16" t="s">
        <v>3940</v>
      </c>
      <c r="B130" s="17" t="s">
        <v>3932</v>
      </c>
      <c r="C130" s="17" t="s">
        <v>89</v>
      </c>
      <c r="D130" s="17" t="str">
        <f>vlookup(C130,'1. 신청자리스트'!J:N,2,false)</f>
        <v>정상</v>
      </c>
      <c r="E130" s="17"/>
      <c r="F130" s="17" t="s">
        <v>89</v>
      </c>
      <c r="G130" s="18">
        <v>35000.0</v>
      </c>
      <c r="H130" s="19" t="s">
        <v>4034</v>
      </c>
      <c r="I130" s="20"/>
      <c r="J130" s="20"/>
      <c r="K130" s="20"/>
      <c r="L130" s="21"/>
      <c r="M130" s="22"/>
      <c r="N130" s="22"/>
      <c r="O130" s="22"/>
      <c r="P130" s="22"/>
      <c r="Q130" s="22"/>
      <c r="R130" s="22"/>
      <c r="S130" s="22"/>
      <c r="T130" s="23"/>
    </row>
    <row r="131">
      <c r="A131" s="16" t="s">
        <v>3989</v>
      </c>
      <c r="B131" s="17" t="s">
        <v>3932</v>
      </c>
      <c r="C131" s="17" t="s">
        <v>90</v>
      </c>
      <c r="D131" s="17" t="str">
        <f>vlookup(C131,'1. 신청자리스트'!J:N,2,false)</f>
        <v>정상</v>
      </c>
      <c r="E131" s="17"/>
      <c r="F131" s="17" t="s">
        <v>90</v>
      </c>
      <c r="G131" s="18">
        <v>35000.0</v>
      </c>
      <c r="H131" s="19" t="s">
        <v>4035</v>
      </c>
      <c r="I131" s="20"/>
      <c r="J131" s="20"/>
      <c r="K131" s="20"/>
      <c r="L131" s="21"/>
      <c r="M131" s="22"/>
      <c r="N131" s="22"/>
      <c r="O131" s="22"/>
      <c r="P131" s="22"/>
      <c r="Q131" s="22"/>
      <c r="R131" s="22"/>
      <c r="S131" s="22"/>
      <c r="T131" s="23"/>
    </row>
    <row r="132">
      <c r="A132" s="16" t="s">
        <v>3945</v>
      </c>
      <c r="B132" s="17" t="s">
        <v>3935</v>
      </c>
      <c r="C132" s="17" t="s">
        <v>614</v>
      </c>
      <c r="D132" s="17" t="str">
        <f>vlookup(C132,'1. 신청자리스트'!J:N,2,false)</f>
        <v>정상</v>
      </c>
      <c r="E132" s="17"/>
      <c r="F132" s="17" t="s">
        <v>4036</v>
      </c>
      <c r="G132" s="18">
        <v>70000.0</v>
      </c>
      <c r="H132" s="19" t="s">
        <v>3939</v>
      </c>
      <c r="I132" s="20"/>
      <c r="J132" s="20"/>
      <c r="K132" s="20"/>
      <c r="L132" s="21"/>
      <c r="M132" s="22"/>
      <c r="N132" s="22"/>
      <c r="O132" s="22"/>
      <c r="P132" s="22"/>
      <c r="Q132" s="22"/>
      <c r="R132" s="22"/>
      <c r="S132" s="22"/>
      <c r="T132" s="23"/>
    </row>
    <row r="133">
      <c r="A133" s="16" t="s">
        <v>3931</v>
      </c>
      <c r="B133" s="17" t="s">
        <v>3935</v>
      </c>
      <c r="C133" s="17" t="s">
        <v>91</v>
      </c>
      <c r="D133" s="17" t="str">
        <f>vlookup(C133,'1. 신청자리스트'!J:N,2,false)</f>
        <v>정상</v>
      </c>
      <c r="E133" s="17"/>
      <c r="F133" s="17" t="s">
        <v>4037</v>
      </c>
      <c r="G133" s="18">
        <v>35000.0</v>
      </c>
      <c r="H133" s="19" t="s">
        <v>3946</v>
      </c>
      <c r="I133" s="20"/>
      <c r="J133" s="20"/>
      <c r="K133" s="20"/>
      <c r="L133" s="21"/>
      <c r="M133" s="22"/>
      <c r="N133" s="22"/>
      <c r="O133" s="22"/>
      <c r="P133" s="22"/>
      <c r="Q133" s="22"/>
      <c r="R133" s="22"/>
      <c r="S133" s="22"/>
      <c r="T133" s="23"/>
    </row>
    <row r="134">
      <c r="A134" s="16" t="s">
        <v>4038</v>
      </c>
      <c r="B134" s="17" t="s">
        <v>3935</v>
      </c>
      <c r="C134" s="17" t="s">
        <v>92</v>
      </c>
      <c r="D134" s="17" t="str">
        <f>vlookup(C134,'1. 신청자리스트'!J:N,2,false)</f>
        <v>정상</v>
      </c>
      <c r="E134" s="17"/>
      <c r="F134" s="17" t="s">
        <v>92</v>
      </c>
      <c r="G134" s="18">
        <v>35000.0</v>
      </c>
      <c r="H134" s="19" t="s">
        <v>3946</v>
      </c>
      <c r="I134" s="20"/>
      <c r="J134" s="20"/>
      <c r="K134" s="20"/>
      <c r="L134" s="21"/>
      <c r="M134" s="22"/>
      <c r="N134" s="22"/>
      <c r="O134" s="22"/>
      <c r="P134" s="22"/>
      <c r="Q134" s="22"/>
      <c r="R134" s="22"/>
      <c r="S134" s="22"/>
      <c r="T134" s="23"/>
    </row>
    <row r="135">
      <c r="A135" s="16" t="s">
        <v>3940</v>
      </c>
      <c r="B135" s="17" t="s">
        <v>3932</v>
      </c>
      <c r="C135" s="17" t="s">
        <v>93</v>
      </c>
      <c r="D135" s="17" t="str">
        <f>vlookup(C135,'1. 신청자리스트'!J:N,2,false)</f>
        <v>정상</v>
      </c>
      <c r="E135" s="17"/>
      <c r="F135" s="17" t="s">
        <v>93</v>
      </c>
      <c r="G135" s="18">
        <v>35000.0</v>
      </c>
      <c r="H135" s="19" t="s">
        <v>4039</v>
      </c>
      <c r="I135" s="20"/>
      <c r="J135" s="20"/>
      <c r="K135" s="20"/>
      <c r="L135" s="21"/>
      <c r="M135" s="22"/>
      <c r="N135" s="22"/>
      <c r="O135" s="22"/>
      <c r="P135" s="22"/>
      <c r="Q135" s="22"/>
      <c r="R135" s="22"/>
      <c r="S135" s="22"/>
      <c r="T135" s="23"/>
    </row>
    <row r="136">
      <c r="A136" s="16" t="s">
        <v>3945</v>
      </c>
      <c r="B136" s="17" t="s">
        <v>3932</v>
      </c>
      <c r="C136" s="17" t="s">
        <v>615</v>
      </c>
      <c r="D136" s="17" t="str">
        <f>vlookup(C136,'1. 신청자리스트'!J:N,2,false)</f>
        <v>정상</v>
      </c>
      <c r="E136" s="17"/>
      <c r="F136" s="17" t="s">
        <v>615</v>
      </c>
      <c r="G136" s="18">
        <v>70000.0</v>
      </c>
      <c r="H136" s="19" t="s">
        <v>4040</v>
      </c>
      <c r="I136" s="20"/>
      <c r="J136" s="20"/>
      <c r="K136" s="20"/>
      <c r="L136" s="21"/>
      <c r="M136" s="22"/>
      <c r="N136" s="22"/>
      <c r="O136" s="22"/>
      <c r="P136" s="22"/>
      <c r="Q136" s="22"/>
      <c r="R136" s="22"/>
      <c r="S136" s="22"/>
      <c r="T136" s="23"/>
    </row>
    <row r="137">
      <c r="A137" s="24" t="s">
        <v>3962</v>
      </c>
      <c r="B137" s="25" t="s">
        <v>3935</v>
      </c>
      <c r="C137" s="25" t="s">
        <v>616</v>
      </c>
      <c r="D137" s="17" t="str">
        <f>vlookup(C137,'1. 신청자리스트'!J:N,2,false)</f>
        <v>정상</v>
      </c>
      <c r="E137" s="25"/>
      <c r="F137" s="25" t="s">
        <v>1593</v>
      </c>
      <c r="G137" s="26">
        <v>70000.0</v>
      </c>
      <c r="H137" s="27" t="s">
        <v>3983</v>
      </c>
      <c r="I137" s="28"/>
      <c r="J137" s="28"/>
      <c r="K137" s="28"/>
      <c r="L137" s="29"/>
      <c r="M137" s="22"/>
      <c r="N137" s="22"/>
      <c r="O137" s="22"/>
      <c r="P137" s="22"/>
      <c r="Q137" s="22"/>
      <c r="R137" s="22"/>
      <c r="S137" s="22"/>
      <c r="T137" s="23"/>
    </row>
    <row r="138">
      <c r="A138" s="16" t="s">
        <v>3985</v>
      </c>
      <c r="B138" s="17" t="s">
        <v>3935</v>
      </c>
      <c r="C138" s="17" t="s">
        <v>95</v>
      </c>
      <c r="D138" s="17" t="str">
        <f>vlookup(C138,'1. 신청자리스트'!J:N,2,false)</f>
        <v>정상</v>
      </c>
      <c r="E138" s="17"/>
      <c r="F138" s="17" t="s">
        <v>95</v>
      </c>
      <c r="G138" s="18">
        <v>35000.0</v>
      </c>
      <c r="H138" s="19" t="s">
        <v>3983</v>
      </c>
      <c r="I138" s="20"/>
      <c r="J138" s="20"/>
      <c r="K138" s="20"/>
      <c r="L138" s="21"/>
      <c r="M138" s="22"/>
      <c r="N138" s="22"/>
      <c r="O138" s="22"/>
      <c r="P138" s="22"/>
      <c r="Q138" s="22"/>
      <c r="R138" s="22"/>
      <c r="S138" s="22"/>
      <c r="T138" s="23"/>
    </row>
    <row r="139">
      <c r="A139" s="16" t="s">
        <v>3945</v>
      </c>
      <c r="B139" s="17" t="s">
        <v>3935</v>
      </c>
      <c r="C139" s="17" t="s">
        <v>96</v>
      </c>
      <c r="D139" s="17" t="str">
        <f>vlookup(C139,'1. 신청자리스트'!J:N,2,false)</f>
        <v>정상</v>
      </c>
      <c r="E139" s="17"/>
      <c r="F139" s="17" t="s">
        <v>96</v>
      </c>
      <c r="G139" s="18">
        <v>35000.0</v>
      </c>
      <c r="H139" s="19" t="s">
        <v>3946</v>
      </c>
      <c r="I139" s="20"/>
      <c r="J139" s="20"/>
      <c r="K139" s="20"/>
      <c r="L139" s="21"/>
      <c r="M139" s="22"/>
      <c r="N139" s="22"/>
      <c r="O139" s="22"/>
      <c r="P139" s="22"/>
      <c r="Q139" s="22"/>
      <c r="R139" s="22"/>
      <c r="S139" s="22"/>
      <c r="T139" s="23"/>
    </row>
    <row r="140">
      <c r="A140" s="16" t="s">
        <v>3942</v>
      </c>
      <c r="B140" s="17" t="s">
        <v>3935</v>
      </c>
      <c r="C140" s="17" t="s">
        <v>617</v>
      </c>
      <c r="D140" s="17" t="str">
        <f>vlookup(C140,'1. 신청자리스트'!J:N,2,false)</f>
        <v>정상</v>
      </c>
      <c r="E140" s="17"/>
      <c r="F140" s="17" t="s">
        <v>617</v>
      </c>
      <c r="G140" s="18">
        <v>70000.0</v>
      </c>
      <c r="H140" s="19" t="s">
        <v>3983</v>
      </c>
      <c r="I140" s="20"/>
      <c r="J140" s="20"/>
      <c r="K140" s="20"/>
      <c r="L140" s="21"/>
      <c r="M140" s="22"/>
      <c r="N140" s="22"/>
      <c r="O140" s="22"/>
      <c r="P140" s="22"/>
      <c r="Q140" s="22"/>
      <c r="R140" s="22"/>
      <c r="S140" s="22"/>
      <c r="T140" s="23"/>
    </row>
    <row r="141">
      <c r="A141" s="16" t="s">
        <v>3931</v>
      </c>
      <c r="B141" s="17" t="s">
        <v>3935</v>
      </c>
      <c r="C141" s="17" t="s">
        <v>97</v>
      </c>
      <c r="D141" s="17" t="str">
        <f>vlookup(C141,'1. 신청자리스트'!J:N,2,false)</f>
        <v>정상</v>
      </c>
      <c r="E141" s="17"/>
      <c r="F141" s="17" t="s">
        <v>97</v>
      </c>
      <c r="G141" s="18">
        <v>35000.0</v>
      </c>
      <c r="H141" s="19" t="s">
        <v>3946</v>
      </c>
      <c r="I141" s="20"/>
      <c r="J141" s="20"/>
      <c r="K141" s="20"/>
      <c r="L141" s="21"/>
      <c r="M141" s="22"/>
      <c r="N141" s="22"/>
      <c r="O141" s="22"/>
      <c r="P141" s="22"/>
      <c r="Q141" s="22"/>
      <c r="R141" s="22"/>
      <c r="S141" s="22"/>
      <c r="T141" s="23"/>
    </row>
    <row r="142">
      <c r="A142" s="24" t="s">
        <v>3940</v>
      </c>
      <c r="B142" s="25" t="s">
        <v>3932</v>
      </c>
      <c r="C142" s="25" t="s">
        <v>98</v>
      </c>
      <c r="D142" s="17" t="str">
        <f>vlookup(C142,'1. 신청자리스트'!J:N,2,false)</f>
        <v>정상</v>
      </c>
      <c r="E142" s="25"/>
      <c r="F142" s="25" t="s">
        <v>3097</v>
      </c>
      <c r="G142" s="26">
        <v>35000.0</v>
      </c>
      <c r="H142" s="27" t="s">
        <v>4029</v>
      </c>
      <c r="I142" s="28"/>
      <c r="J142" s="28"/>
      <c r="K142" s="28"/>
      <c r="L142" s="29"/>
      <c r="M142" s="22"/>
      <c r="N142" s="22"/>
      <c r="O142" s="22"/>
      <c r="P142" s="22"/>
      <c r="Q142" s="22"/>
      <c r="R142" s="22"/>
      <c r="S142" s="22"/>
      <c r="T142" s="23"/>
    </row>
    <row r="143">
      <c r="A143" s="16" t="s">
        <v>4002</v>
      </c>
      <c r="B143" s="17" t="s">
        <v>3935</v>
      </c>
      <c r="C143" s="17" t="s">
        <v>99</v>
      </c>
      <c r="D143" s="17" t="str">
        <f>vlookup(C143,'1. 신청자리스트'!J:N,2,false)</f>
        <v>정상</v>
      </c>
      <c r="E143" s="17"/>
      <c r="F143" s="17" t="s">
        <v>99</v>
      </c>
      <c r="G143" s="18">
        <v>35000.0</v>
      </c>
      <c r="H143" s="19" t="s">
        <v>4041</v>
      </c>
      <c r="I143" s="20"/>
      <c r="J143" s="20"/>
      <c r="K143" s="20"/>
      <c r="L143" s="21"/>
      <c r="M143" s="22"/>
      <c r="N143" s="22"/>
      <c r="O143" s="22"/>
      <c r="P143" s="22"/>
      <c r="Q143" s="22"/>
      <c r="R143" s="22"/>
      <c r="S143" s="22"/>
      <c r="T143" s="23"/>
    </row>
    <row r="144">
      <c r="A144" s="16" t="s">
        <v>3962</v>
      </c>
      <c r="B144" s="17" t="s">
        <v>3935</v>
      </c>
      <c r="C144" s="17" t="s">
        <v>619</v>
      </c>
      <c r="D144" s="17" t="str">
        <f>vlookup(C144,'1. 신청자리스트'!J:N,2,false)</f>
        <v>정상</v>
      </c>
      <c r="E144" s="17"/>
      <c r="F144" s="17" t="s">
        <v>619</v>
      </c>
      <c r="G144" s="18">
        <v>70000.0</v>
      </c>
      <c r="H144" s="19" t="s">
        <v>3983</v>
      </c>
      <c r="I144" s="20"/>
      <c r="J144" s="20"/>
      <c r="K144" s="20"/>
      <c r="L144" s="21"/>
      <c r="M144" s="22"/>
      <c r="N144" s="22"/>
      <c r="O144" s="22"/>
      <c r="P144" s="22"/>
      <c r="Q144" s="22"/>
      <c r="R144" s="22"/>
      <c r="S144" s="22"/>
      <c r="T144" s="23"/>
    </row>
    <row r="145">
      <c r="A145" s="16" t="s">
        <v>3955</v>
      </c>
      <c r="B145" s="17" t="s">
        <v>3935</v>
      </c>
      <c r="C145" s="17" t="s">
        <v>620</v>
      </c>
      <c r="D145" s="17" t="str">
        <f>vlookup(C145,'1. 신청자리스트'!J:N,2,false)</f>
        <v>정상</v>
      </c>
      <c r="E145" s="17"/>
      <c r="F145" s="17" t="s">
        <v>4042</v>
      </c>
      <c r="G145" s="18">
        <v>70000.0</v>
      </c>
      <c r="H145" s="19" t="s">
        <v>3937</v>
      </c>
      <c r="I145" s="20"/>
      <c r="J145" s="20"/>
      <c r="K145" s="20"/>
      <c r="L145" s="21"/>
      <c r="M145" s="22"/>
      <c r="N145" s="22"/>
      <c r="O145" s="22"/>
      <c r="P145" s="22"/>
      <c r="Q145" s="22"/>
      <c r="R145" s="22"/>
      <c r="S145" s="22"/>
      <c r="T145" s="23"/>
    </row>
    <row r="146">
      <c r="A146" s="16" t="s">
        <v>3940</v>
      </c>
      <c r="B146" s="17" t="s">
        <v>3935</v>
      </c>
      <c r="C146" s="17" t="s">
        <v>100</v>
      </c>
      <c r="D146" s="17" t="str">
        <f>vlookup(C146,'1. 신청자리스트'!J:N,2,false)</f>
        <v>정상</v>
      </c>
      <c r="E146" s="17"/>
      <c r="F146" s="17" t="s">
        <v>100</v>
      </c>
      <c r="G146" s="18">
        <v>35000.0</v>
      </c>
      <c r="H146" s="19" t="s">
        <v>3948</v>
      </c>
      <c r="I146" s="20"/>
      <c r="J146" s="20"/>
      <c r="K146" s="20"/>
      <c r="L146" s="21"/>
      <c r="M146" s="22"/>
      <c r="N146" s="22"/>
      <c r="O146" s="22"/>
      <c r="P146" s="22"/>
      <c r="Q146" s="22"/>
      <c r="R146" s="22"/>
      <c r="S146" s="22"/>
      <c r="T146" s="23"/>
    </row>
    <row r="147">
      <c r="A147" s="24" t="s">
        <v>3940</v>
      </c>
      <c r="B147" s="25" t="s">
        <v>3935</v>
      </c>
      <c r="C147" s="25" t="s">
        <v>101</v>
      </c>
      <c r="D147" s="17" t="str">
        <f>vlookup(C147,'1. 신청자리스트'!J:N,2,false)</f>
        <v>정상</v>
      </c>
      <c r="E147" s="25"/>
      <c r="F147" s="25" t="s">
        <v>3103</v>
      </c>
      <c r="G147" s="26">
        <v>35000.0</v>
      </c>
      <c r="H147" s="27" t="s">
        <v>3939</v>
      </c>
      <c r="I147" s="28"/>
      <c r="J147" s="28"/>
      <c r="K147" s="28"/>
      <c r="L147" s="29"/>
      <c r="M147" s="22"/>
      <c r="N147" s="22"/>
      <c r="O147" s="22"/>
      <c r="P147" s="22"/>
      <c r="Q147" s="22"/>
      <c r="R147" s="22"/>
      <c r="S147" s="22"/>
      <c r="T147" s="23"/>
    </row>
    <row r="148">
      <c r="A148" s="16" t="s">
        <v>4043</v>
      </c>
      <c r="B148" s="17" t="s">
        <v>3935</v>
      </c>
      <c r="C148" s="17" t="s">
        <v>102</v>
      </c>
      <c r="D148" s="17" t="str">
        <f>vlookup(C148,'1. 신청자리스트'!J:N,2,false)</f>
        <v>정상</v>
      </c>
      <c r="E148" s="17"/>
      <c r="F148" s="17" t="s">
        <v>102</v>
      </c>
      <c r="G148" s="18">
        <v>35000.0</v>
      </c>
      <c r="H148" s="19" t="s">
        <v>3946</v>
      </c>
      <c r="I148" s="20"/>
      <c r="J148" s="20"/>
      <c r="K148" s="20"/>
      <c r="L148" s="21"/>
      <c r="M148" s="22"/>
      <c r="N148" s="22"/>
      <c r="O148" s="22"/>
      <c r="P148" s="22"/>
      <c r="Q148" s="22"/>
      <c r="R148" s="22"/>
      <c r="S148" s="22"/>
      <c r="T148" s="23"/>
    </row>
    <row r="149">
      <c r="A149" s="16" t="s">
        <v>3962</v>
      </c>
      <c r="B149" s="17" t="s">
        <v>3932</v>
      </c>
      <c r="C149" s="17" t="s">
        <v>103</v>
      </c>
      <c r="D149" s="17" t="str">
        <f>vlookup(C149,'1. 신청자리스트'!J:N,2,false)</f>
        <v>정상</v>
      </c>
      <c r="E149" s="17"/>
      <c r="F149" s="17" t="s">
        <v>103</v>
      </c>
      <c r="G149" s="18">
        <v>35000.0</v>
      </c>
      <c r="H149" s="19" t="s">
        <v>4044</v>
      </c>
      <c r="I149" s="20"/>
      <c r="J149" s="20"/>
      <c r="K149" s="20"/>
      <c r="L149" s="21"/>
      <c r="M149" s="22"/>
      <c r="N149" s="22"/>
      <c r="O149" s="22"/>
      <c r="P149" s="22"/>
      <c r="Q149" s="22"/>
      <c r="R149" s="22"/>
      <c r="S149" s="22"/>
      <c r="T149" s="23"/>
    </row>
    <row r="150">
      <c r="A150" s="16" t="s">
        <v>3984</v>
      </c>
      <c r="B150" s="17" t="s">
        <v>3935</v>
      </c>
      <c r="C150" s="17" t="s">
        <v>104</v>
      </c>
      <c r="D150" s="17" t="str">
        <f>vlookup(C150,'1. 신청자리스트'!J:N,2,false)</f>
        <v>정상</v>
      </c>
      <c r="E150" s="17"/>
      <c r="F150" s="17" t="s">
        <v>104</v>
      </c>
      <c r="G150" s="18">
        <v>35000.0</v>
      </c>
      <c r="H150" s="19" t="s">
        <v>3946</v>
      </c>
      <c r="I150" s="20"/>
      <c r="J150" s="20"/>
      <c r="K150" s="20"/>
      <c r="L150" s="21"/>
      <c r="M150" s="22"/>
      <c r="N150" s="22"/>
      <c r="O150" s="22"/>
      <c r="P150" s="22"/>
      <c r="Q150" s="22"/>
      <c r="R150" s="22"/>
      <c r="S150" s="22"/>
      <c r="T150" s="23"/>
    </row>
    <row r="151">
      <c r="A151" s="16" t="s">
        <v>3942</v>
      </c>
      <c r="B151" s="17" t="s">
        <v>3935</v>
      </c>
      <c r="C151" s="17" t="s">
        <v>623</v>
      </c>
      <c r="D151" s="17" t="str">
        <f>vlookup(C151,'1. 신청자리스트'!J:N,2,false)</f>
        <v>정상</v>
      </c>
      <c r="E151" s="17"/>
      <c r="F151" s="17" t="s">
        <v>623</v>
      </c>
      <c r="G151" s="18">
        <v>70000.0</v>
      </c>
      <c r="H151" s="19" t="s">
        <v>3952</v>
      </c>
      <c r="I151" s="20"/>
      <c r="J151" s="20"/>
      <c r="K151" s="20"/>
      <c r="L151" s="21"/>
      <c r="M151" s="22"/>
      <c r="N151" s="22"/>
      <c r="O151" s="22"/>
      <c r="P151" s="22"/>
      <c r="Q151" s="22"/>
      <c r="R151" s="22"/>
      <c r="S151" s="22"/>
      <c r="T151" s="23"/>
    </row>
    <row r="152">
      <c r="A152" s="16" t="s">
        <v>3940</v>
      </c>
      <c r="B152" s="17" t="s">
        <v>3935</v>
      </c>
      <c r="C152" s="17" t="s">
        <v>624</v>
      </c>
      <c r="D152" s="17" t="str">
        <f>vlookup(C152,'1. 신청자리스트'!J:N,2,false)</f>
        <v>정상</v>
      </c>
      <c r="E152" s="17"/>
      <c r="F152" s="17" t="s">
        <v>624</v>
      </c>
      <c r="G152" s="18">
        <v>70000.0</v>
      </c>
      <c r="H152" s="19" t="s">
        <v>3961</v>
      </c>
      <c r="I152" s="20"/>
      <c r="J152" s="20"/>
      <c r="K152" s="20"/>
      <c r="L152" s="21"/>
      <c r="M152" s="22"/>
      <c r="N152" s="22"/>
      <c r="O152" s="22"/>
      <c r="P152" s="22"/>
      <c r="Q152" s="22"/>
      <c r="R152" s="22"/>
      <c r="S152" s="22"/>
      <c r="T152" s="23"/>
    </row>
    <row r="153">
      <c r="A153" s="16" t="s">
        <v>3962</v>
      </c>
      <c r="B153" s="17" t="s">
        <v>3932</v>
      </c>
      <c r="C153" s="17" t="s">
        <v>105</v>
      </c>
      <c r="D153" s="17" t="str">
        <f>vlookup(C153,'1. 신청자리스트'!J:N,2,false)</f>
        <v>정상</v>
      </c>
      <c r="E153" s="17"/>
      <c r="F153" s="17" t="s">
        <v>105</v>
      </c>
      <c r="G153" s="18">
        <v>35000.0</v>
      </c>
      <c r="H153" s="19" t="s">
        <v>4045</v>
      </c>
      <c r="I153" s="20"/>
      <c r="J153" s="20"/>
      <c r="K153" s="20"/>
      <c r="L153" s="21"/>
      <c r="M153" s="22"/>
      <c r="N153" s="22"/>
      <c r="O153" s="22"/>
      <c r="P153" s="22"/>
      <c r="Q153" s="22"/>
      <c r="R153" s="22"/>
      <c r="S153" s="22"/>
      <c r="T153" s="23"/>
    </row>
    <row r="154">
      <c r="A154" s="24" t="s">
        <v>3940</v>
      </c>
      <c r="B154" s="25" t="s">
        <v>3932</v>
      </c>
      <c r="C154" s="25" t="s">
        <v>625</v>
      </c>
      <c r="D154" s="17" t="str">
        <f>vlookup(C154,'1. 신청자리스트'!J:N,2,false)</f>
        <v>정상</v>
      </c>
      <c r="E154" s="25"/>
      <c r="F154" s="25" t="s">
        <v>1671</v>
      </c>
      <c r="G154" s="26">
        <v>70000.0</v>
      </c>
      <c r="H154" s="27" t="s">
        <v>4046</v>
      </c>
      <c r="I154" s="28"/>
      <c r="J154" s="28"/>
      <c r="K154" s="28"/>
      <c r="L154" s="29"/>
      <c r="M154" s="22"/>
      <c r="N154" s="22"/>
      <c r="O154" s="22"/>
      <c r="P154" s="22"/>
      <c r="Q154" s="22"/>
      <c r="R154" s="22"/>
      <c r="S154" s="22"/>
      <c r="T154" s="23"/>
    </row>
    <row r="155">
      <c r="A155" s="24" t="s">
        <v>3942</v>
      </c>
      <c r="B155" s="25" t="s">
        <v>3932</v>
      </c>
      <c r="C155" s="25" t="s">
        <v>626</v>
      </c>
      <c r="D155" s="17" t="str">
        <f>vlookup(C155,'1. 신청자리스트'!J:N,2,false)</f>
        <v>정상</v>
      </c>
      <c r="E155" s="25"/>
      <c r="F155" s="25" t="s">
        <v>1406</v>
      </c>
      <c r="G155" s="26">
        <v>70000.0</v>
      </c>
      <c r="H155" s="27" t="s">
        <v>4047</v>
      </c>
      <c r="I155" s="28"/>
      <c r="J155" s="28"/>
      <c r="K155" s="28"/>
      <c r="L155" s="29"/>
      <c r="M155" s="22"/>
      <c r="N155" s="22"/>
      <c r="O155" s="22"/>
      <c r="P155" s="22"/>
      <c r="Q155" s="22"/>
      <c r="R155" s="22"/>
      <c r="S155" s="22"/>
      <c r="T155" s="23"/>
    </row>
    <row r="156">
      <c r="A156" s="16" t="s">
        <v>3962</v>
      </c>
      <c r="B156" s="17" t="s">
        <v>3935</v>
      </c>
      <c r="C156" s="17" t="s">
        <v>627</v>
      </c>
      <c r="D156" s="17" t="str">
        <f>vlookup(C156,'1. 신청자리스트'!J:N,2,false)</f>
        <v>정상</v>
      </c>
      <c r="E156" s="17"/>
      <c r="F156" s="17" t="s">
        <v>627</v>
      </c>
      <c r="G156" s="18">
        <v>70000.0</v>
      </c>
      <c r="H156" s="19" t="s">
        <v>3983</v>
      </c>
      <c r="I156" s="20"/>
      <c r="J156" s="20"/>
      <c r="K156" s="20"/>
      <c r="L156" s="21"/>
      <c r="M156" s="22"/>
      <c r="N156" s="22"/>
      <c r="O156" s="22"/>
      <c r="P156" s="22"/>
      <c r="Q156" s="22"/>
      <c r="R156" s="22"/>
      <c r="S156" s="22"/>
      <c r="T156" s="23"/>
    </row>
    <row r="157">
      <c r="A157" s="16" t="s">
        <v>3940</v>
      </c>
      <c r="B157" s="17" t="s">
        <v>3993</v>
      </c>
      <c r="C157" s="17" t="s">
        <v>107</v>
      </c>
      <c r="D157" s="17" t="str">
        <f>vlookup(C157,'1. 신청자리스트'!J:N,2,false)</f>
        <v>정상</v>
      </c>
      <c r="E157" s="17"/>
      <c r="F157" s="17" t="s">
        <v>107</v>
      </c>
      <c r="G157" s="18">
        <v>35000.0</v>
      </c>
      <c r="H157" s="19" t="s">
        <v>4006</v>
      </c>
      <c r="I157" s="20"/>
      <c r="J157" s="20"/>
      <c r="K157" s="20"/>
      <c r="L157" s="21"/>
      <c r="M157" s="22"/>
      <c r="N157" s="22"/>
      <c r="O157" s="22"/>
      <c r="P157" s="22"/>
      <c r="Q157" s="22"/>
      <c r="R157" s="22"/>
      <c r="S157" s="22"/>
      <c r="T157" s="23"/>
    </row>
    <row r="158">
      <c r="A158" s="16" t="s">
        <v>3945</v>
      </c>
      <c r="B158" s="17" t="s">
        <v>3935</v>
      </c>
      <c r="C158" s="17" t="s">
        <v>108</v>
      </c>
      <c r="D158" s="17" t="str">
        <f>vlookup(C158,'1. 신청자리스트'!J:N,2,false)</f>
        <v>정상</v>
      </c>
      <c r="E158" s="17"/>
      <c r="F158" s="17" t="s">
        <v>108</v>
      </c>
      <c r="G158" s="18">
        <v>35000.0</v>
      </c>
      <c r="H158" s="19" t="s">
        <v>3948</v>
      </c>
      <c r="I158" s="20"/>
      <c r="J158" s="20"/>
      <c r="K158" s="20"/>
      <c r="L158" s="21"/>
      <c r="M158" s="22"/>
      <c r="N158" s="22"/>
      <c r="O158" s="22"/>
      <c r="P158" s="22"/>
      <c r="Q158" s="22"/>
      <c r="R158" s="22"/>
      <c r="S158" s="22"/>
      <c r="T158" s="23"/>
    </row>
    <row r="159">
      <c r="A159" s="16" t="s">
        <v>3949</v>
      </c>
      <c r="B159" s="17" t="s">
        <v>3935</v>
      </c>
      <c r="C159" s="17" t="s">
        <v>628</v>
      </c>
      <c r="D159" s="17" t="str">
        <f>vlookup(C159,'1. 신청자리스트'!J:N,2,false)</f>
        <v>정상</v>
      </c>
      <c r="E159" s="17"/>
      <c r="F159" s="17" t="s">
        <v>628</v>
      </c>
      <c r="G159" s="18">
        <v>70000.0</v>
      </c>
      <c r="H159" s="19" t="s">
        <v>3990</v>
      </c>
      <c r="I159" s="20"/>
      <c r="J159" s="20"/>
      <c r="K159" s="20"/>
      <c r="L159" s="21"/>
      <c r="M159" s="22"/>
      <c r="N159" s="22"/>
      <c r="O159" s="22"/>
      <c r="P159" s="22"/>
      <c r="Q159" s="22"/>
      <c r="R159" s="22"/>
      <c r="S159" s="22"/>
      <c r="T159" s="23"/>
    </row>
    <row r="160">
      <c r="A160" s="24" t="s">
        <v>3940</v>
      </c>
      <c r="B160" s="25" t="s">
        <v>3932</v>
      </c>
      <c r="C160" s="25" t="s">
        <v>109</v>
      </c>
      <c r="D160" s="17" t="str">
        <f>vlookup(C160,'1. 신청자리스트'!J:N,2,false)</f>
        <v>정상</v>
      </c>
      <c r="E160" s="25"/>
      <c r="F160" s="25" t="s">
        <v>3114</v>
      </c>
      <c r="G160" s="26">
        <v>35000.0</v>
      </c>
      <c r="H160" s="27" t="s">
        <v>4048</v>
      </c>
      <c r="I160" s="28"/>
      <c r="J160" s="28"/>
      <c r="K160" s="28"/>
      <c r="L160" s="29"/>
      <c r="M160" s="22"/>
      <c r="N160" s="22"/>
      <c r="O160" s="22"/>
      <c r="P160" s="22"/>
      <c r="Q160" s="22"/>
      <c r="R160" s="22"/>
      <c r="S160" s="22"/>
      <c r="T160" s="23"/>
    </row>
    <row r="161">
      <c r="A161" s="16" t="s">
        <v>4049</v>
      </c>
      <c r="B161" s="17" t="s">
        <v>3935</v>
      </c>
      <c r="C161" s="17" t="s">
        <v>629</v>
      </c>
      <c r="D161" s="17" t="str">
        <f>vlookup(C161,'1. 신청자리스트'!J:N,2,false)</f>
        <v>정상</v>
      </c>
      <c r="E161" s="17"/>
      <c r="F161" s="17" t="s">
        <v>629</v>
      </c>
      <c r="G161" s="18">
        <v>70000.0</v>
      </c>
      <c r="H161" s="19" t="s">
        <v>3941</v>
      </c>
      <c r="I161" s="20"/>
      <c r="J161" s="20"/>
      <c r="K161" s="20"/>
      <c r="L161" s="21"/>
      <c r="M161" s="22"/>
      <c r="N161" s="22"/>
      <c r="O161" s="22"/>
      <c r="P161" s="22"/>
      <c r="Q161" s="22"/>
      <c r="R161" s="22"/>
      <c r="S161" s="22"/>
      <c r="T161" s="23"/>
    </row>
    <row r="162">
      <c r="A162" s="24" t="s">
        <v>3985</v>
      </c>
      <c r="B162" s="25" t="s">
        <v>3935</v>
      </c>
      <c r="C162" s="25" t="s">
        <v>110</v>
      </c>
      <c r="D162" s="17" t="str">
        <f>vlookup(C162,'1. 신청자리스트'!J:N,2,false)</f>
        <v>정상</v>
      </c>
      <c r="E162" s="25"/>
      <c r="F162" s="25" t="s">
        <v>3116</v>
      </c>
      <c r="G162" s="26">
        <v>35000.0</v>
      </c>
      <c r="H162" s="27" t="s">
        <v>4050</v>
      </c>
      <c r="I162" s="28"/>
      <c r="J162" s="28"/>
      <c r="K162" s="28"/>
      <c r="L162" s="29"/>
      <c r="M162" s="22"/>
      <c r="N162" s="22"/>
      <c r="O162" s="22"/>
      <c r="P162" s="22"/>
      <c r="Q162" s="22"/>
      <c r="R162" s="22"/>
      <c r="S162" s="22"/>
      <c r="T162" s="23"/>
    </row>
    <row r="163">
      <c r="A163" s="16" t="s">
        <v>3940</v>
      </c>
      <c r="B163" s="17" t="s">
        <v>3935</v>
      </c>
      <c r="C163" s="17" t="s">
        <v>111</v>
      </c>
      <c r="D163" s="17" t="str">
        <f>vlookup(C163,'1. 신청자리스트'!J:N,2,false)</f>
        <v>정상</v>
      </c>
      <c r="E163" s="17"/>
      <c r="F163" s="17" t="s">
        <v>111</v>
      </c>
      <c r="G163" s="18">
        <v>35000.0</v>
      </c>
      <c r="H163" s="19" t="s">
        <v>3939</v>
      </c>
      <c r="I163" s="20"/>
      <c r="J163" s="20"/>
      <c r="K163" s="20"/>
      <c r="L163" s="21"/>
      <c r="M163" s="22"/>
      <c r="N163" s="22"/>
      <c r="O163" s="22"/>
      <c r="P163" s="22"/>
      <c r="Q163" s="22"/>
      <c r="R163" s="22"/>
      <c r="S163" s="22"/>
      <c r="T163" s="23"/>
    </row>
    <row r="164">
      <c r="A164" s="16" t="s">
        <v>3942</v>
      </c>
      <c r="B164" s="17" t="s">
        <v>3935</v>
      </c>
      <c r="C164" s="17" t="s">
        <v>630</v>
      </c>
      <c r="D164" s="17" t="str">
        <f>vlookup(C164,'1. 신청자리스트'!J:N,2,false)</f>
        <v>정상</v>
      </c>
      <c r="E164" s="17"/>
      <c r="F164" s="17" t="s">
        <v>630</v>
      </c>
      <c r="G164" s="18">
        <v>70000.0</v>
      </c>
      <c r="H164" s="19" t="s">
        <v>3983</v>
      </c>
      <c r="I164" s="20"/>
      <c r="J164" s="20"/>
      <c r="K164" s="20"/>
      <c r="L164" s="21"/>
      <c r="M164" s="22"/>
      <c r="N164" s="22"/>
      <c r="O164" s="22"/>
      <c r="P164" s="22"/>
      <c r="Q164" s="22"/>
      <c r="R164" s="22"/>
      <c r="S164" s="22"/>
      <c r="T164" s="23"/>
    </row>
    <row r="165">
      <c r="A165" s="24" t="s">
        <v>3942</v>
      </c>
      <c r="B165" s="25" t="s">
        <v>3935</v>
      </c>
      <c r="C165" s="25" t="s">
        <v>112</v>
      </c>
      <c r="D165" s="17" t="str">
        <f>vlookup(C165,'1. 신청자리스트'!J:N,2,false)</f>
        <v>정상</v>
      </c>
      <c r="E165" s="25"/>
      <c r="F165" s="25" t="s">
        <v>3120</v>
      </c>
      <c r="G165" s="26">
        <v>35000.0</v>
      </c>
      <c r="H165" s="27" t="s">
        <v>3983</v>
      </c>
      <c r="I165" s="28"/>
      <c r="J165" s="28"/>
      <c r="K165" s="28"/>
      <c r="L165" s="29"/>
      <c r="M165" s="22"/>
      <c r="N165" s="22"/>
      <c r="O165" s="22"/>
      <c r="P165" s="22"/>
      <c r="Q165" s="22"/>
      <c r="R165" s="22"/>
      <c r="S165" s="22"/>
      <c r="T165" s="23"/>
    </row>
    <row r="166">
      <c r="A166" s="16" t="s">
        <v>3942</v>
      </c>
      <c r="B166" s="17" t="s">
        <v>3935</v>
      </c>
      <c r="C166" s="17" t="s">
        <v>113</v>
      </c>
      <c r="D166" s="17" t="str">
        <f>vlookup(C166,'1. 신청자리스트'!J:N,2,false)</f>
        <v>정상</v>
      </c>
      <c r="E166" s="17"/>
      <c r="F166" s="17" t="s">
        <v>113</v>
      </c>
      <c r="G166" s="18">
        <v>35000.0</v>
      </c>
      <c r="H166" s="19" t="s">
        <v>3946</v>
      </c>
      <c r="I166" s="20"/>
      <c r="J166" s="20"/>
      <c r="K166" s="20"/>
      <c r="L166" s="21"/>
      <c r="M166" s="22"/>
      <c r="N166" s="22"/>
      <c r="O166" s="22"/>
      <c r="P166" s="22"/>
      <c r="Q166" s="22"/>
      <c r="R166" s="22"/>
      <c r="S166" s="22"/>
      <c r="T166" s="23"/>
    </row>
    <row r="167">
      <c r="A167" s="16" t="s">
        <v>3955</v>
      </c>
      <c r="B167" s="17" t="s">
        <v>3935</v>
      </c>
      <c r="C167" s="17" t="s">
        <v>118</v>
      </c>
      <c r="D167" s="17" t="str">
        <f>vlookup(C167,'1. 신청자리스트'!J:N,2,false)</f>
        <v>정상</v>
      </c>
      <c r="E167" s="17"/>
      <c r="F167" s="17" t="s">
        <v>118</v>
      </c>
      <c r="G167" s="18">
        <v>35000.0</v>
      </c>
      <c r="H167" s="19" t="s">
        <v>3983</v>
      </c>
      <c r="I167" s="20"/>
      <c r="J167" s="20"/>
      <c r="K167" s="20"/>
      <c r="L167" s="21"/>
      <c r="M167" s="22"/>
      <c r="N167" s="22"/>
      <c r="O167" s="22"/>
      <c r="P167" s="22"/>
      <c r="Q167" s="22"/>
      <c r="R167" s="22"/>
      <c r="S167" s="22"/>
      <c r="T167" s="23"/>
    </row>
    <row r="168">
      <c r="A168" s="16" t="s">
        <v>3985</v>
      </c>
      <c r="B168" s="17" t="s">
        <v>3935</v>
      </c>
      <c r="C168" s="17" t="s">
        <v>632</v>
      </c>
      <c r="D168" s="17" t="str">
        <f>vlookup(C168,'1. 신청자리스트'!J:N,2,false)</f>
        <v>정상</v>
      </c>
      <c r="E168" s="17"/>
      <c r="F168" s="17" t="s">
        <v>632</v>
      </c>
      <c r="G168" s="18">
        <v>70000.0</v>
      </c>
      <c r="H168" s="19" t="s">
        <v>3990</v>
      </c>
      <c r="I168" s="20"/>
      <c r="J168" s="20"/>
      <c r="K168" s="20"/>
      <c r="L168" s="21"/>
      <c r="M168" s="22"/>
      <c r="N168" s="22"/>
      <c r="O168" s="22"/>
      <c r="P168" s="22"/>
      <c r="Q168" s="22"/>
      <c r="R168" s="22"/>
      <c r="S168" s="22"/>
      <c r="T168" s="23"/>
    </row>
    <row r="169">
      <c r="A169" s="16" t="s">
        <v>3940</v>
      </c>
      <c r="B169" s="17" t="s">
        <v>3935</v>
      </c>
      <c r="C169" s="17" t="s">
        <v>633</v>
      </c>
      <c r="D169" s="17" t="str">
        <f>vlookup(C169,'1. 신청자리스트'!J:N,2,false)</f>
        <v>정상</v>
      </c>
      <c r="E169" s="17"/>
      <c r="F169" s="17" t="s">
        <v>633</v>
      </c>
      <c r="G169" s="18">
        <v>70000.0</v>
      </c>
      <c r="H169" s="19" t="s">
        <v>3939</v>
      </c>
      <c r="I169" s="20"/>
      <c r="J169" s="20"/>
      <c r="K169" s="20"/>
      <c r="L169" s="21"/>
      <c r="M169" s="22"/>
      <c r="N169" s="22"/>
      <c r="O169" s="22"/>
      <c r="P169" s="22"/>
      <c r="Q169" s="22"/>
      <c r="R169" s="22"/>
      <c r="S169" s="22"/>
      <c r="T169" s="23"/>
    </row>
    <row r="170">
      <c r="A170" s="24" t="s">
        <v>3962</v>
      </c>
      <c r="B170" s="25" t="s">
        <v>3935</v>
      </c>
      <c r="C170" s="25" t="s">
        <v>119</v>
      </c>
      <c r="D170" s="17" t="str">
        <f>vlookup(C170,'1. 신청자리스트'!J:N,2,false)</f>
        <v>정상</v>
      </c>
      <c r="E170" s="25"/>
      <c r="F170" s="25" t="s">
        <v>3126</v>
      </c>
      <c r="G170" s="26">
        <v>35000.0</v>
      </c>
      <c r="H170" s="27" t="s">
        <v>3948</v>
      </c>
      <c r="I170" s="28"/>
      <c r="J170" s="28"/>
      <c r="K170" s="28"/>
      <c r="L170" s="29"/>
      <c r="M170" s="22"/>
      <c r="N170" s="22"/>
      <c r="O170" s="22"/>
      <c r="P170" s="22"/>
      <c r="Q170" s="22"/>
      <c r="R170" s="22"/>
      <c r="S170" s="22"/>
      <c r="T170" s="23"/>
    </row>
    <row r="171">
      <c r="A171" s="16" t="s">
        <v>3985</v>
      </c>
      <c r="B171" s="17" t="s">
        <v>3935</v>
      </c>
      <c r="C171" s="17" t="s">
        <v>634</v>
      </c>
      <c r="D171" s="17" t="str">
        <f>vlookup(C171,'1. 신청자리스트'!J:N,2,false)</f>
        <v>정상</v>
      </c>
      <c r="E171" s="17"/>
      <c r="F171" s="17" t="s">
        <v>634</v>
      </c>
      <c r="G171" s="18">
        <v>70000.0</v>
      </c>
      <c r="H171" s="19" t="s">
        <v>3948</v>
      </c>
      <c r="I171" s="20"/>
      <c r="J171" s="20"/>
      <c r="K171" s="20"/>
      <c r="L171" s="21"/>
      <c r="M171" s="22"/>
      <c r="N171" s="22"/>
      <c r="O171" s="22"/>
      <c r="P171" s="22"/>
      <c r="Q171" s="22"/>
      <c r="R171" s="22"/>
      <c r="S171" s="22"/>
      <c r="T171" s="23"/>
    </row>
    <row r="172">
      <c r="A172" s="16" t="s">
        <v>3985</v>
      </c>
      <c r="B172" s="17" t="s">
        <v>3935</v>
      </c>
      <c r="C172" s="17" t="s">
        <v>121</v>
      </c>
      <c r="D172" s="17" t="str">
        <f>vlookup(C172,'1. 신청자리스트'!J:N,2,false)</f>
        <v>정상</v>
      </c>
      <c r="E172" s="17"/>
      <c r="F172" s="17" t="s">
        <v>121</v>
      </c>
      <c r="G172" s="18">
        <v>35000.0</v>
      </c>
      <c r="H172" s="19" t="s">
        <v>3990</v>
      </c>
      <c r="I172" s="20"/>
      <c r="J172" s="20"/>
      <c r="K172" s="20"/>
      <c r="L172" s="21"/>
      <c r="M172" s="22"/>
      <c r="N172" s="22"/>
      <c r="O172" s="22"/>
      <c r="P172" s="22"/>
      <c r="Q172" s="22"/>
      <c r="R172" s="22"/>
      <c r="S172" s="22"/>
      <c r="T172" s="23"/>
    </row>
    <row r="173">
      <c r="A173" s="30" t="s">
        <v>4011</v>
      </c>
      <c r="B173" s="31" t="s">
        <v>3935</v>
      </c>
      <c r="C173" s="31" t="s">
        <v>4051</v>
      </c>
      <c r="D173" s="17" t="str">
        <f>vlookup(C173,'1. 신청자리스트'!J:N,2,false)</f>
        <v>정상</v>
      </c>
      <c r="E173" s="31"/>
      <c r="F173" s="31" t="s">
        <v>4051</v>
      </c>
      <c r="G173" s="32">
        <v>35000.0</v>
      </c>
      <c r="H173" s="33" t="s">
        <v>3983</v>
      </c>
      <c r="I173" s="36" t="str">
        <f>VLOOKUP(C173, '문의'!D:E, 2, FALSE)</f>
        <v>[취소/환불] 분명1차접수라고 했는데 증거사진을 안 남긴게 아쉽네요,,,
 환불계좌
 신한은행
 110 244 927617
 김인혜
 35,000</v>
      </c>
      <c r="J173" s="36">
        <f t="array" ref="J173">INDEX('문의'!C:C, MATCH(C173, '문의'!D:D, 0))</f>
        <v>1035660306</v>
      </c>
      <c r="K173" s="36" t="s">
        <v>3957</v>
      </c>
      <c r="L173" s="37" t="s">
        <v>4052</v>
      </c>
      <c r="M173" s="42"/>
      <c r="N173" s="42"/>
      <c r="O173" s="42"/>
      <c r="P173" s="42"/>
      <c r="Q173" s="42"/>
      <c r="R173" s="44"/>
      <c r="S173" s="42"/>
      <c r="T173" s="41"/>
    </row>
    <row r="174">
      <c r="A174" s="16" t="s">
        <v>4011</v>
      </c>
      <c r="B174" s="17" t="s">
        <v>3935</v>
      </c>
      <c r="C174" s="17" t="s">
        <v>122</v>
      </c>
      <c r="D174" s="17" t="str">
        <f>vlookup(C174,'1. 신청자리스트'!J:N,2,false)</f>
        <v>정상</v>
      </c>
      <c r="E174" s="17"/>
      <c r="F174" s="17" t="s">
        <v>122</v>
      </c>
      <c r="G174" s="18">
        <v>35000.0</v>
      </c>
      <c r="H174" s="19" t="s">
        <v>3939</v>
      </c>
      <c r="I174" s="20"/>
      <c r="J174" s="20"/>
      <c r="K174" s="20"/>
      <c r="L174" s="21"/>
      <c r="M174" s="22"/>
      <c r="N174" s="22"/>
      <c r="O174" s="22"/>
      <c r="P174" s="22"/>
      <c r="Q174" s="22"/>
      <c r="R174" s="22"/>
      <c r="S174" s="22"/>
      <c r="T174" s="23"/>
    </row>
    <row r="175">
      <c r="A175" s="16" t="s">
        <v>4053</v>
      </c>
      <c r="B175" s="17" t="s">
        <v>3932</v>
      </c>
      <c r="C175" s="17" t="s">
        <v>123</v>
      </c>
      <c r="D175" s="17" t="str">
        <f>vlookup(C175,'1. 신청자리스트'!J:N,2,false)</f>
        <v>정상</v>
      </c>
      <c r="E175" s="17"/>
      <c r="F175" s="17" t="s">
        <v>123</v>
      </c>
      <c r="G175" s="18">
        <v>35000.0</v>
      </c>
      <c r="H175" s="19" t="s">
        <v>4054</v>
      </c>
      <c r="I175" s="20"/>
      <c r="J175" s="20"/>
      <c r="K175" s="20"/>
      <c r="L175" s="21"/>
      <c r="M175" s="22"/>
      <c r="N175" s="22"/>
      <c r="O175" s="22"/>
      <c r="P175" s="22"/>
      <c r="Q175" s="22"/>
      <c r="R175" s="22"/>
      <c r="S175" s="22"/>
      <c r="T175" s="23"/>
    </row>
    <row r="176">
      <c r="A176" s="16" t="s">
        <v>3985</v>
      </c>
      <c r="B176" s="17" t="s">
        <v>3935</v>
      </c>
      <c r="C176" s="17" t="s">
        <v>636</v>
      </c>
      <c r="D176" s="17" t="str">
        <f>vlookup(C176,'1. 신청자리스트'!J:N,2,false)</f>
        <v>정상</v>
      </c>
      <c r="E176" s="17"/>
      <c r="F176" s="17" t="s">
        <v>636</v>
      </c>
      <c r="G176" s="18">
        <v>70000.0</v>
      </c>
      <c r="H176" s="19" t="s">
        <v>3983</v>
      </c>
      <c r="I176" s="20"/>
      <c r="J176" s="20"/>
      <c r="K176" s="20"/>
      <c r="L176" s="21"/>
      <c r="M176" s="22"/>
      <c r="N176" s="22"/>
      <c r="O176" s="22"/>
      <c r="P176" s="22"/>
      <c r="Q176" s="22"/>
      <c r="R176" s="22"/>
      <c r="S176" s="22"/>
      <c r="T176" s="23"/>
    </row>
    <row r="177">
      <c r="A177" s="16" t="s">
        <v>4012</v>
      </c>
      <c r="B177" s="17" t="s">
        <v>3935</v>
      </c>
      <c r="C177" s="17" t="s">
        <v>124</v>
      </c>
      <c r="D177" s="17" t="str">
        <f>vlookup(C177,'1. 신청자리스트'!J:N,2,false)</f>
        <v>정상</v>
      </c>
      <c r="E177" s="17"/>
      <c r="F177" s="17" t="s">
        <v>124</v>
      </c>
      <c r="G177" s="18">
        <v>35000.0</v>
      </c>
      <c r="H177" s="19" t="s">
        <v>3952</v>
      </c>
      <c r="I177" s="20"/>
      <c r="J177" s="20"/>
      <c r="K177" s="20"/>
      <c r="L177" s="21"/>
      <c r="M177" s="22"/>
      <c r="N177" s="22"/>
      <c r="O177" s="22"/>
      <c r="P177" s="22"/>
      <c r="Q177" s="22"/>
      <c r="R177" s="22"/>
      <c r="S177" s="22"/>
      <c r="T177" s="23"/>
    </row>
    <row r="178">
      <c r="A178" s="16" t="s">
        <v>3962</v>
      </c>
      <c r="B178" s="17" t="s">
        <v>3935</v>
      </c>
      <c r="C178" s="17" t="s">
        <v>637</v>
      </c>
      <c r="D178" s="17" t="str">
        <f>vlookup(C178,'1. 신청자리스트'!J:N,2,false)</f>
        <v>정상</v>
      </c>
      <c r="E178" s="17"/>
      <c r="F178" s="17" t="s">
        <v>4055</v>
      </c>
      <c r="G178" s="18">
        <v>70000.0</v>
      </c>
      <c r="H178" s="19" t="s">
        <v>3946</v>
      </c>
      <c r="I178" s="20"/>
      <c r="J178" s="20"/>
      <c r="K178" s="20"/>
      <c r="L178" s="21"/>
      <c r="M178" s="22"/>
      <c r="N178" s="22"/>
      <c r="O178" s="22"/>
      <c r="P178" s="22"/>
      <c r="Q178" s="22"/>
      <c r="R178" s="22"/>
      <c r="S178" s="22"/>
      <c r="T178" s="23"/>
    </row>
    <row r="179">
      <c r="A179" s="16" t="s">
        <v>4056</v>
      </c>
      <c r="B179" s="17" t="s">
        <v>3935</v>
      </c>
      <c r="C179" s="17" t="s">
        <v>638</v>
      </c>
      <c r="D179" s="17" t="str">
        <f>vlookup(C179,'1. 신청자리스트'!J:N,2,false)</f>
        <v>정상</v>
      </c>
      <c r="E179" s="17"/>
      <c r="F179" s="17" t="s">
        <v>4057</v>
      </c>
      <c r="G179" s="18">
        <v>70000.0</v>
      </c>
      <c r="H179" s="19" t="s">
        <v>3983</v>
      </c>
      <c r="I179" s="20"/>
      <c r="J179" s="20"/>
      <c r="K179" s="20"/>
      <c r="L179" s="21"/>
      <c r="M179" s="22"/>
      <c r="N179" s="22"/>
      <c r="O179" s="22"/>
      <c r="P179" s="17" t="s">
        <v>4058</v>
      </c>
      <c r="Q179" s="22"/>
      <c r="R179" s="22"/>
      <c r="S179" s="22"/>
      <c r="T179" s="23"/>
    </row>
    <row r="180">
      <c r="A180" s="16" t="s">
        <v>3940</v>
      </c>
      <c r="B180" s="17" t="s">
        <v>3935</v>
      </c>
      <c r="C180" s="17" t="s">
        <v>125</v>
      </c>
      <c r="D180" s="17" t="str">
        <f>vlookup(C180,'1. 신청자리스트'!J:N,2,false)</f>
        <v>정상</v>
      </c>
      <c r="E180" s="17"/>
      <c r="F180" s="17" t="s">
        <v>125</v>
      </c>
      <c r="G180" s="18">
        <v>35000.0</v>
      </c>
      <c r="H180" s="19" t="s">
        <v>3941</v>
      </c>
      <c r="I180" s="20"/>
      <c r="J180" s="20"/>
      <c r="K180" s="20"/>
      <c r="L180" s="21"/>
      <c r="M180" s="22"/>
      <c r="N180" s="22"/>
      <c r="O180" s="22"/>
      <c r="P180" s="22"/>
      <c r="Q180" s="22"/>
      <c r="R180" s="22"/>
      <c r="S180" s="22"/>
      <c r="T180" s="23"/>
    </row>
    <row r="181">
      <c r="A181" s="16" t="s">
        <v>4059</v>
      </c>
      <c r="B181" s="17" t="s">
        <v>3935</v>
      </c>
      <c r="C181" s="17" t="s">
        <v>126</v>
      </c>
      <c r="D181" s="17" t="str">
        <f>vlookup(C181,'1. 신청자리스트'!J:N,2,false)</f>
        <v>정상</v>
      </c>
      <c r="E181" s="17"/>
      <c r="F181" s="17" t="s">
        <v>126</v>
      </c>
      <c r="G181" s="18">
        <v>35000.0</v>
      </c>
      <c r="H181" s="19" t="s">
        <v>3939</v>
      </c>
      <c r="I181" s="20"/>
      <c r="J181" s="20"/>
      <c r="K181" s="20"/>
      <c r="L181" s="21"/>
      <c r="M181" s="22"/>
      <c r="N181" s="22"/>
      <c r="O181" s="22"/>
      <c r="P181" s="22"/>
      <c r="Q181" s="22"/>
      <c r="R181" s="22"/>
      <c r="S181" s="22"/>
      <c r="T181" s="23"/>
    </row>
    <row r="182">
      <c r="A182" s="30" t="s">
        <v>4008</v>
      </c>
      <c r="B182" s="31" t="s">
        <v>3935</v>
      </c>
      <c r="C182" s="31" t="s">
        <v>4060</v>
      </c>
      <c r="D182" s="17" t="str">
        <f>vlookup(C182,'1. 신청자리스트'!J:N,2,false)</f>
        <v>정상</v>
      </c>
      <c r="E182" s="31"/>
      <c r="F182" s="31" t="s">
        <v>4061</v>
      </c>
      <c r="G182" s="32">
        <v>70000.0</v>
      </c>
      <c r="H182" s="33" t="s">
        <v>3946</v>
      </c>
      <c r="I182" s="34" t="str">
        <f>VLOOKUP(C182, '문의'!D:E, 2, FALSE)</f>
        <v>[정보변경] 김정화 01094956109
 이경하 01021236109(동반자) 
 신청확인시 동반자이름과 전번 쓸 시간이없었습니다.</v>
      </c>
      <c r="J182" s="34">
        <f t="array" ref="J182">INDEX('문의'!C:C, MATCH(C182, '문의'!D:D, 0))</f>
        <v>1094956109</v>
      </c>
      <c r="K182" s="34" t="s">
        <v>3957</v>
      </c>
      <c r="L182" s="37" t="s">
        <v>4062</v>
      </c>
      <c r="M182" s="42"/>
      <c r="N182" s="42"/>
      <c r="O182" s="42"/>
      <c r="P182" s="42"/>
      <c r="Q182" s="42"/>
      <c r="R182" s="44"/>
      <c r="S182" s="42"/>
      <c r="T182" s="41"/>
    </row>
    <row r="183">
      <c r="A183" s="16" t="s">
        <v>3945</v>
      </c>
      <c r="B183" s="17" t="s">
        <v>3932</v>
      </c>
      <c r="C183" s="17" t="s">
        <v>639</v>
      </c>
      <c r="D183" s="17" t="str">
        <f>vlookup(C183,'1. 신청자리스트'!J:N,2,false)</f>
        <v>정상</v>
      </c>
      <c r="E183" s="17"/>
      <c r="F183" s="17" t="s">
        <v>639</v>
      </c>
      <c r="G183" s="18">
        <v>70000.0</v>
      </c>
      <c r="H183" s="19" t="s">
        <v>4063</v>
      </c>
      <c r="I183" s="20"/>
      <c r="J183" s="20"/>
      <c r="K183" s="20"/>
      <c r="L183" s="21"/>
      <c r="M183" s="22"/>
      <c r="N183" s="22"/>
      <c r="O183" s="22"/>
      <c r="P183" s="22"/>
      <c r="Q183" s="22"/>
      <c r="R183" s="22"/>
      <c r="S183" s="22"/>
      <c r="T183" s="23"/>
    </row>
    <row r="184">
      <c r="A184" s="16" t="s">
        <v>3945</v>
      </c>
      <c r="B184" s="17" t="s">
        <v>3935</v>
      </c>
      <c r="C184" s="17" t="s">
        <v>640</v>
      </c>
      <c r="D184" s="17" t="str">
        <f>vlookup(C184,'1. 신청자리스트'!J:N,2,false)</f>
        <v>정상</v>
      </c>
      <c r="E184" s="17"/>
      <c r="F184" s="17" t="s">
        <v>640</v>
      </c>
      <c r="G184" s="18">
        <v>70000.0</v>
      </c>
      <c r="H184" s="19" t="s">
        <v>3946</v>
      </c>
      <c r="I184" s="20"/>
      <c r="J184" s="20"/>
      <c r="K184" s="20"/>
      <c r="L184" s="21"/>
      <c r="M184" s="22"/>
      <c r="N184" s="22"/>
      <c r="O184" s="22"/>
      <c r="P184" s="22"/>
      <c r="Q184" s="22"/>
      <c r="R184" s="22"/>
      <c r="S184" s="22"/>
      <c r="T184" s="23"/>
    </row>
    <row r="185">
      <c r="A185" s="16" t="s">
        <v>3945</v>
      </c>
      <c r="B185" s="17" t="s">
        <v>3935</v>
      </c>
      <c r="C185" s="17" t="s">
        <v>128</v>
      </c>
      <c r="D185" s="17" t="str">
        <f>vlookup(C185,'1. 신청자리스트'!J:N,2,false)</f>
        <v>정상</v>
      </c>
      <c r="E185" s="17"/>
      <c r="F185" s="17" t="s">
        <v>4064</v>
      </c>
      <c r="G185" s="18">
        <v>35000.0</v>
      </c>
      <c r="H185" s="19" t="s">
        <v>3946</v>
      </c>
      <c r="I185" s="20"/>
      <c r="J185" s="20"/>
      <c r="K185" s="20"/>
      <c r="L185" s="21"/>
      <c r="M185" s="22"/>
      <c r="N185" s="22"/>
      <c r="O185" s="22"/>
      <c r="P185" s="22"/>
      <c r="Q185" s="22"/>
      <c r="R185" s="22"/>
      <c r="S185" s="22"/>
      <c r="T185" s="23"/>
    </row>
    <row r="186">
      <c r="A186" s="24" t="s">
        <v>3945</v>
      </c>
      <c r="B186" s="25" t="s">
        <v>3935</v>
      </c>
      <c r="C186" s="25" t="s">
        <v>129</v>
      </c>
      <c r="D186" s="17" t="str">
        <f>vlookup(C186,'1. 신청자리스트'!J:N,2,false)</f>
        <v>정상</v>
      </c>
      <c r="E186" s="25"/>
      <c r="F186" s="25" t="s">
        <v>3141</v>
      </c>
      <c r="G186" s="26">
        <v>35000.0</v>
      </c>
      <c r="H186" s="27" t="s">
        <v>3990</v>
      </c>
      <c r="I186" s="28"/>
      <c r="J186" s="28"/>
      <c r="K186" s="28"/>
      <c r="L186" s="29"/>
      <c r="M186" s="22"/>
      <c r="N186" s="22"/>
      <c r="O186" s="22"/>
      <c r="P186" s="22"/>
      <c r="Q186" s="22"/>
      <c r="R186" s="22"/>
      <c r="S186" s="22"/>
      <c r="T186" s="23"/>
    </row>
    <row r="187">
      <c r="A187" s="24" t="s">
        <v>3940</v>
      </c>
      <c r="B187" s="25" t="s">
        <v>3935</v>
      </c>
      <c r="C187" s="25" t="s">
        <v>641</v>
      </c>
      <c r="D187" s="17" t="str">
        <f>vlookup(C187,'1. 신청자리스트'!J:N,2,false)</f>
        <v>정상</v>
      </c>
      <c r="E187" s="25"/>
      <c r="F187" s="25" t="s">
        <v>2439</v>
      </c>
      <c r="G187" s="26">
        <v>70000.0</v>
      </c>
      <c r="H187" s="27" t="s">
        <v>3941</v>
      </c>
      <c r="I187" s="28"/>
      <c r="J187" s="28"/>
      <c r="K187" s="45" t="s">
        <v>4065</v>
      </c>
      <c r="L187" s="29"/>
      <c r="M187" s="22"/>
      <c r="N187" s="22"/>
      <c r="O187" s="22"/>
      <c r="P187" s="22"/>
      <c r="Q187" s="22"/>
      <c r="R187" s="22"/>
      <c r="S187" s="22"/>
      <c r="T187" s="23"/>
    </row>
    <row r="188">
      <c r="A188" s="24" t="s">
        <v>3945</v>
      </c>
      <c r="B188" s="25" t="s">
        <v>3935</v>
      </c>
      <c r="C188" s="25" t="s">
        <v>642</v>
      </c>
      <c r="D188" s="17" t="str">
        <f>vlookup(C188,'1. 신청자리스트'!J:N,2,false)</f>
        <v>정상</v>
      </c>
      <c r="E188" s="25"/>
      <c r="F188" s="25" t="s">
        <v>1553</v>
      </c>
      <c r="G188" s="26">
        <v>70000.0</v>
      </c>
      <c r="H188" s="27" t="s">
        <v>3948</v>
      </c>
      <c r="I188" s="28"/>
      <c r="J188" s="28"/>
      <c r="K188" s="28"/>
      <c r="L188" s="29"/>
      <c r="M188" s="22"/>
      <c r="N188" s="22"/>
      <c r="O188" s="22"/>
      <c r="P188" s="22"/>
      <c r="Q188" s="22"/>
      <c r="R188" s="22"/>
      <c r="S188" s="22"/>
      <c r="T188" s="23"/>
    </row>
    <row r="189">
      <c r="A189" s="16" t="s">
        <v>3931</v>
      </c>
      <c r="B189" s="17" t="s">
        <v>3935</v>
      </c>
      <c r="C189" s="17" t="s">
        <v>130</v>
      </c>
      <c r="D189" s="17" t="str">
        <f>vlookup(C189,'1. 신청자리스트'!J:N,2,false)</f>
        <v>정상</v>
      </c>
      <c r="E189" s="17"/>
      <c r="F189" s="17" t="s">
        <v>130</v>
      </c>
      <c r="G189" s="18">
        <v>35000.0</v>
      </c>
      <c r="H189" s="19" t="s">
        <v>3990</v>
      </c>
      <c r="I189" s="20"/>
      <c r="J189" s="20"/>
      <c r="K189" s="20"/>
      <c r="L189" s="21"/>
      <c r="M189" s="22"/>
      <c r="N189" s="22"/>
      <c r="O189" s="22"/>
      <c r="P189" s="22"/>
      <c r="Q189" s="22"/>
      <c r="R189" s="22"/>
      <c r="S189" s="22"/>
      <c r="T189" s="23"/>
    </row>
    <row r="190">
      <c r="A190" s="16" t="s">
        <v>4066</v>
      </c>
      <c r="B190" s="17" t="s">
        <v>3935</v>
      </c>
      <c r="C190" s="17" t="s">
        <v>644</v>
      </c>
      <c r="D190" s="17" t="str">
        <f>vlookup(C190,'1. 신청자리스트'!J:N,2,false)</f>
        <v>정상</v>
      </c>
      <c r="E190" s="17"/>
      <c r="F190" s="17" t="s">
        <v>644</v>
      </c>
      <c r="G190" s="18">
        <v>70000.0</v>
      </c>
      <c r="H190" s="19" t="s">
        <v>3968</v>
      </c>
      <c r="I190" s="20"/>
      <c r="J190" s="20"/>
      <c r="K190" s="20"/>
      <c r="L190" s="21"/>
      <c r="M190" s="22"/>
      <c r="N190" s="22"/>
      <c r="O190" s="22"/>
      <c r="P190" s="22"/>
      <c r="Q190" s="22"/>
      <c r="R190" s="22"/>
      <c r="S190" s="22"/>
      <c r="T190" s="23"/>
    </row>
    <row r="191">
      <c r="A191" s="16" t="s">
        <v>3938</v>
      </c>
      <c r="B191" s="17" t="s">
        <v>3932</v>
      </c>
      <c r="C191" s="17" t="s">
        <v>645</v>
      </c>
      <c r="D191" s="17" t="str">
        <f>vlookup(C191,'1. 신청자리스트'!J:N,2,false)</f>
        <v>정상</v>
      </c>
      <c r="E191" s="17"/>
      <c r="F191" s="17" t="s">
        <v>645</v>
      </c>
      <c r="G191" s="18">
        <v>70000.0</v>
      </c>
      <c r="H191" s="19" t="s">
        <v>4067</v>
      </c>
      <c r="I191" s="28"/>
      <c r="J191" s="28"/>
      <c r="K191" s="28"/>
      <c r="L191" s="29"/>
      <c r="M191" s="22"/>
      <c r="N191" s="22"/>
      <c r="O191" s="22"/>
      <c r="P191" s="22"/>
      <c r="Q191" s="22"/>
      <c r="R191" s="22"/>
      <c r="S191" s="22"/>
      <c r="T191" s="23"/>
    </row>
    <row r="192">
      <c r="A192" s="24" t="s">
        <v>3942</v>
      </c>
      <c r="B192" s="25" t="s">
        <v>3932</v>
      </c>
      <c r="C192" s="25" t="s">
        <v>132</v>
      </c>
      <c r="D192" s="17" t="str">
        <f>vlookup(C192,'1. 신청자리스트'!J:N,2,false)</f>
        <v>정상</v>
      </c>
      <c r="E192" s="25"/>
      <c r="F192" s="25" t="s">
        <v>2439</v>
      </c>
      <c r="G192" s="26">
        <v>35000.0</v>
      </c>
      <c r="H192" s="27" t="s">
        <v>4068</v>
      </c>
      <c r="I192" s="28"/>
      <c r="J192" s="28"/>
      <c r="K192" s="28"/>
      <c r="L192" s="29"/>
      <c r="M192" s="22"/>
      <c r="N192" s="22"/>
      <c r="O192" s="22"/>
      <c r="P192" s="22"/>
      <c r="Q192" s="22"/>
      <c r="R192" s="22"/>
      <c r="S192" s="22"/>
      <c r="T192" s="23"/>
    </row>
    <row r="193">
      <c r="A193" s="16" t="s">
        <v>3955</v>
      </c>
      <c r="B193" s="17" t="s">
        <v>3935</v>
      </c>
      <c r="C193" s="17" t="s">
        <v>133</v>
      </c>
      <c r="D193" s="17" t="str">
        <f>vlookup(C193,'1. 신청자리스트'!J:N,2,false)</f>
        <v>정상</v>
      </c>
      <c r="E193" s="17"/>
      <c r="F193" s="17" t="s">
        <v>133</v>
      </c>
      <c r="G193" s="18">
        <v>35000.0</v>
      </c>
      <c r="H193" s="19" t="s">
        <v>3941</v>
      </c>
      <c r="I193" s="20"/>
      <c r="J193" s="20"/>
      <c r="K193" s="20"/>
      <c r="L193" s="21"/>
      <c r="M193" s="22"/>
      <c r="N193" s="22"/>
      <c r="O193" s="22"/>
      <c r="P193" s="22"/>
      <c r="Q193" s="22"/>
      <c r="R193" s="22"/>
      <c r="S193" s="22"/>
      <c r="T193" s="23"/>
    </row>
    <row r="194">
      <c r="A194" s="16" t="s">
        <v>4069</v>
      </c>
      <c r="B194" s="17" t="s">
        <v>3935</v>
      </c>
      <c r="C194" s="17" t="s">
        <v>646</v>
      </c>
      <c r="D194" s="17" t="str">
        <f>vlookup(C194,'1. 신청자리스트'!J:N,2,false)</f>
        <v>정상</v>
      </c>
      <c r="E194" s="17"/>
      <c r="F194" s="17" t="s">
        <v>646</v>
      </c>
      <c r="G194" s="18">
        <v>70000.0</v>
      </c>
      <c r="H194" s="19" t="s">
        <v>4070</v>
      </c>
      <c r="I194" s="20"/>
      <c r="J194" s="20"/>
      <c r="K194" s="20"/>
      <c r="L194" s="21"/>
      <c r="M194" s="22"/>
      <c r="N194" s="22"/>
      <c r="O194" s="22"/>
      <c r="P194" s="22"/>
      <c r="Q194" s="22"/>
      <c r="R194" s="22"/>
      <c r="S194" s="22"/>
      <c r="T194" s="23"/>
    </row>
    <row r="195">
      <c r="A195" s="16" t="s">
        <v>3938</v>
      </c>
      <c r="B195" s="17" t="s">
        <v>3935</v>
      </c>
      <c r="C195" s="17" t="s">
        <v>135</v>
      </c>
      <c r="D195" s="17" t="str">
        <f>vlookup(C195,'1. 신청자리스트'!J:N,2,false)</f>
        <v>정상</v>
      </c>
      <c r="E195" s="17"/>
      <c r="F195" s="17" t="s">
        <v>135</v>
      </c>
      <c r="G195" s="18">
        <v>35000.0</v>
      </c>
      <c r="H195" s="19" t="s">
        <v>3946</v>
      </c>
      <c r="I195" s="20"/>
      <c r="J195" s="20"/>
      <c r="K195" s="20"/>
      <c r="L195" s="21"/>
      <c r="M195" s="22"/>
      <c r="N195" s="22"/>
      <c r="O195" s="22"/>
      <c r="P195" s="22"/>
      <c r="Q195" s="22"/>
      <c r="R195" s="22"/>
      <c r="S195" s="22"/>
      <c r="T195" s="23"/>
    </row>
    <row r="196">
      <c r="A196" s="24" t="s">
        <v>4071</v>
      </c>
      <c r="B196" s="25" t="s">
        <v>3993</v>
      </c>
      <c r="C196" s="25" t="s">
        <v>136</v>
      </c>
      <c r="D196" s="17" t="str">
        <f>vlookup(C196,'1. 신청자리스트'!J:N,2,false)</f>
        <v>정상</v>
      </c>
      <c r="E196" s="25"/>
      <c r="F196" s="25" t="s">
        <v>3149</v>
      </c>
      <c r="G196" s="26">
        <v>35000.0</v>
      </c>
      <c r="H196" s="27" t="s">
        <v>3948</v>
      </c>
      <c r="I196" s="28"/>
      <c r="J196" s="28"/>
      <c r="K196" s="28"/>
      <c r="L196" s="29"/>
      <c r="M196" s="22"/>
      <c r="N196" s="22"/>
      <c r="O196" s="22"/>
      <c r="P196" s="22"/>
      <c r="Q196" s="22"/>
      <c r="R196" s="22"/>
      <c r="S196" s="22"/>
      <c r="T196" s="23"/>
    </row>
    <row r="197">
      <c r="A197" s="16" t="s">
        <v>3998</v>
      </c>
      <c r="B197" s="17" t="s">
        <v>3935</v>
      </c>
      <c r="C197" s="17" t="s">
        <v>137</v>
      </c>
      <c r="D197" s="17" t="str">
        <f>vlookup(C197,'1. 신청자리스트'!J:N,2,false)</f>
        <v>정상</v>
      </c>
      <c r="E197" s="17"/>
      <c r="F197" s="17" t="s">
        <v>4072</v>
      </c>
      <c r="G197" s="18">
        <v>35000.0</v>
      </c>
      <c r="H197" s="19" t="s">
        <v>4027</v>
      </c>
      <c r="I197" s="20"/>
      <c r="J197" s="20"/>
      <c r="K197" s="20"/>
      <c r="L197" s="21"/>
      <c r="M197" s="22"/>
      <c r="N197" s="22"/>
      <c r="O197" s="22"/>
      <c r="P197" s="22"/>
      <c r="Q197" s="22"/>
      <c r="R197" s="22"/>
      <c r="S197" s="22"/>
      <c r="T197" s="23"/>
    </row>
    <row r="198">
      <c r="A198" s="24" t="s">
        <v>3985</v>
      </c>
      <c r="B198" s="25" t="s">
        <v>3943</v>
      </c>
      <c r="C198" s="25" t="s">
        <v>138</v>
      </c>
      <c r="D198" s="17" t="str">
        <f>vlookup(C198,'1. 신청자리스트'!J:N,2,false)</f>
        <v>정상</v>
      </c>
      <c r="E198" s="25"/>
      <c r="F198" s="25" t="s">
        <v>3151</v>
      </c>
      <c r="G198" s="26">
        <v>35000.0</v>
      </c>
      <c r="H198" s="27" t="s">
        <v>3944</v>
      </c>
      <c r="I198" s="28"/>
      <c r="J198" s="28"/>
      <c r="K198" s="28"/>
      <c r="L198" s="29"/>
      <c r="M198" s="22"/>
      <c r="N198" s="22"/>
      <c r="O198" s="22"/>
      <c r="P198" s="22"/>
      <c r="Q198" s="22"/>
      <c r="R198" s="22"/>
      <c r="S198" s="22"/>
      <c r="T198" s="23"/>
    </row>
    <row r="199">
      <c r="A199" s="16" t="s">
        <v>3940</v>
      </c>
      <c r="B199" s="17" t="s">
        <v>3935</v>
      </c>
      <c r="C199" s="17" t="s">
        <v>648</v>
      </c>
      <c r="D199" s="17" t="str">
        <f>vlookup(C199,'1. 신청자리스트'!J:N,2,false)</f>
        <v>정상</v>
      </c>
      <c r="E199" s="17"/>
      <c r="F199" s="17" t="s">
        <v>648</v>
      </c>
      <c r="G199" s="18">
        <v>70000.0</v>
      </c>
      <c r="H199" s="19" t="s">
        <v>3983</v>
      </c>
      <c r="I199" s="20"/>
      <c r="J199" s="20"/>
      <c r="K199" s="20"/>
      <c r="L199" s="21"/>
      <c r="M199" s="22"/>
      <c r="N199" s="22"/>
      <c r="O199" s="22"/>
      <c r="P199" s="22"/>
      <c r="Q199" s="22"/>
      <c r="R199" s="22"/>
      <c r="S199" s="22"/>
      <c r="T199" s="23"/>
    </row>
    <row r="200">
      <c r="A200" s="16" t="s">
        <v>3962</v>
      </c>
      <c r="B200" s="17" t="s">
        <v>3935</v>
      </c>
      <c r="C200" s="17" t="s">
        <v>139</v>
      </c>
      <c r="D200" s="17" t="str">
        <f>vlookup(C200,'1. 신청자리스트'!J:N,2,false)</f>
        <v>정상</v>
      </c>
      <c r="E200" s="17"/>
      <c r="F200" s="17" t="s">
        <v>139</v>
      </c>
      <c r="G200" s="18">
        <v>35000.0</v>
      </c>
      <c r="H200" s="19" t="s">
        <v>3948</v>
      </c>
      <c r="I200" s="20"/>
      <c r="J200" s="20"/>
      <c r="K200" s="20"/>
      <c r="L200" s="21"/>
      <c r="M200" s="22"/>
      <c r="N200" s="22"/>
      <c r="O200" s="22"/>
      <c r="P200" s="22"/>
      <c r="Q200" s="22"/>
      <c r="R200" s="22"/>
      <c r="S200" s="22"/>
      <c r="T200" s="23"/>
    </row>
    <row r="201">
      <c r="A201" s="16" t="s">
        <v>3942</v>
      </c>
      <c r="B201" s="17" t="s">
        <v>3935</v>
      </c>
      <c r="C201" s="17" t="s">
        <v>649</v>
      </c>
      <c r="D201" s="17" t="str">
        <f>vlookup(C201,'1. 신청자리스트'!J:N,2,false)</f>
        <v>정상</v>
      </c>
      <c r="E201" s="17"/>
      <c r="F201" s="17" t="s">
        <v>649</v>
      </c>
      <c r="G201" s="18">
        <v>70000.0</v>
      </c>
      <c r="H201" s="19" t="s">
        <v>3941</v>
      </c>
      <c r="I201" s="20"/>
      <c r="J201" s="20"/>
      <c r="K201" s="20"/>
      <c r="L201" s="21"/>
      <c r="M201" s="22"/>
      <c r="N201" s="22"/>
      <c r="O201" s="22"/>
      <c r="P201" s="22"/>
      <c r="Q201" s="22"/>
      <c r="R201" s="22"/>
      <c r="S201" s="22"/>
      <c r="T201" s="23"/>
    </row>
    <row r="202">
      <c r="A202" s="16" t="s">
        <v>3985</v>
      </c>
      <c r="B202" s="17" t="s">
        <v>3932</v>
      </c>
      <c r="C202" s="17" t="s">
        <v>140</v>
      </c>
      <c r="D202" s="17" t="str">
        <f>vlookup(C202,'1. 신청자리스트'!J:N,2,false)</f>
        <v>정상</v>
      </c>
      <c r="E202" s="17"/>
      <c r="F202" s="17" t="s">
        <v>140</v>
      </c>
      <c r="G202" s="18">
        <v>35000.0</v>
      </c>
      <c r="H202" s="19" t="s">
        <v>4073</v>
      </c>
      <c r="I202" s="20"/>
      <c r="J202" s="20"/>
      <c r="K202" s="20"/>
      <c r="L202" s="21"/>
      <c r="M202" s="22"/>
      <c r="N202" s="22"/>
      <c r="O202" s="22"/>
      <c r="P202" s="22"/>
      <c r="Q202" s="22"/>
      <c r="R202" s="22"/>
      <c r="S202" s="22"/>
      <c r="T202" s="23"/>
    </row>
    <row r="203">
      <c r="A203" s="16" t="s">
        <v>4012</v>
      </c>
      <c r="B203" s="17" t="s">
        <v>3932</v>
      </c>
      <c r="C203" s="17" t="s">
        <v>650</v>
      </c>
      <c r="D203" s="17" t="str">
        <f>vlookup(C203,'1. 신청자리스트'!J:N,2,false)</f>
        <v>정상</v>
      </c>
      <c r="E203" s="17"/>
      <c r="F203" s="17" t="s">
        <v>650</v>
      </c>
      <c r="G203" s="18">
        <v>70000.0</v>
      </c>
      <c r="H203" s="19" t="s">
        <v>4074</v>
      </c>
      <c r="I203" s="20"/>
      <c r="J203" s="20"/>
      <c r="K203" s="20"/>
      <c r="L203" s="21"/>
      <c r="M203" s="22"/>
      <c r="N203" s="22"/>
      <c r="O203" s="22"/>
      <c r="P203" s="22"/>
      <c r="Q203" s="22"/>
      <c r="R203" s="22"/>
      <c r="S203" s="22"/>
      <c r="T203" s="23"/>
    </row>
    <row r="204">
      <c r="A204" s="16" t="s">
        <v>3940</v>
      </c>
      <c r="B204" s="17" t="s">
        <v>3935</v>
      </c>
      <c r="C204" s="17" t="s">
        <v>142</v>
      </c>
      <c r="D204" s="17" t="str">
        <f>vlookup(C204,'1. 신청자리스트'!J:N,2,false)</f>
        <v>정상</v>
      </c>
      <c r="E204" s="17"/>
      <c r="F204" s="17" t="s">
        <v>142</v>
      </c>
      <c r="G204" s="18">
        <v>35000.0</v>
      </c>
      <c r="H204" s="19" t="s">
        <v>3983</v>
      </c>
      <c r="I204" s="20"/>
      <c r="J204" s="20"/>
      <c r="K204" s="20"/>
      <c r="L204" s="21"/>
      <c r="M204" s="22"/>
      <c r="N204" s="22"/>
      <c r="O204" s="22"/>
      <c r="P204" s="22"/>
      <c r="Q204" s="22"/>
      <c r="R204" s="22"/>
      <c r="S204" s="22"/>
      <c r="T204" s="23"/>
    </row>
    <row r="205">
      <c r="A205" s="16" t="s">
        <v>3949</v>
      </c>
      <c r="B205" s="17" t="s">
        <v>3935</v>
      </c>
      <c r="C205" s="17" t="s">
        <v>651</v>
      </c>
      <c r="D205" s="17" t="str">
        <f>vlookup(C205,'1. 신청자리스트'!J:N,2,false)</f>
        <v>정상</v>
      </c>
      <c r="E205" s="17"/>
      <c r="F205" s="17" t="s">
        <v>651</v>
      </c>
      <c r="G205" s="18">
        <v>70000.0</v>
      </c>
      <c r="H205" s="19" t="s">
        <v>3939</v>
      </c>
      <c r="I205" s="20"/>
      <c r="J205" s="20"/>
      <c r="K205" s="20"/>
      <c r="L205" s="21"/>
      <c r="M205" s="22"/>
      <c r="N205" s="22"/>
      <c r="O205" s="22"/>
      <c r="P205" s="22"/>
      <c r="Q205" s="22"/>
      <c r="R205" s="22"/>
      <c r="S205" s="22"/>
      <c r="T205" s="23"/>
    </row>
    <row r="206">
      <c r="A206" s="16" t="s">
        <v>3940</v>
      </c>
      <c r="B206" s="17" t="s">
        <v>3932</v>
      </c>
      <c r="C206" s="17" t="s">
        <v>653</v>
      </c>
      <c r="D206" s="17" t="str">
        <f>vlookup(C206,'1. 신청자리스트'!J:N,2,false)</f>
        <v>정상</v>
      </c>
      <c r="E206" s="17"/>
      <c r="F206" s="17" t="s">
        <v>653</v>
      </c>
      <c r="G206" s="18">
        <v>70000.0</v>
      </c>
      <c r="H206" s="19" t="s">
        <v>4075</v>
      </c>
      <c r="I206" s="20"/>
      <c r="J206" s="20"/>
      <c r="K206" s="20"/>
      <c r="L206" s="21"/>
      <c r="M206" s="22"/>
      <c r="N206" s="22"/>
      <c r="O206" s="22"/>
      <c r="P206" s="22"/>
      <c r="Q206" s="22"/>
      <c r="R206" s="22"/>
      <c r="S206" s="22"/>
      <c r="T206" s="23"/>
    </row>
    <row r="207">
      <c r="A207" s="16" t="s">
        <v>3945</v>
      </c>
      <c r="B207" s="17" t="s">
        <v>3932</v>
      </c>
      <c r="C207" s="17" t="s">
        <v>143</v>
      </c>
      <c r="D207" s="17" t="str">
        <f>vlookup(C207,'1. 신청자리스트'!J:N,2,false)</f>
        <v>정상</v>
      </c>
      <c r="E207" s="17"/>
      <c r="F207" s="17" t="s">
        <v>143</v>
      </c>
      <c r="G207" s="18">
        <v>35000.0</v>
      </c>
      <c r="H207" s="19" t="s">
        <v>4076</v>
      </c>
      <c r="I207" s="20"/>
      <c r="J207" s="20"/>
      <c r="K207" s="20"/>
      <c r="L207" s="21"/>
      <c r="M207" s="22"/>
      <c r="N207" s="22"/>
      <c r="O207" s="22"/>
      <c r="P207" s="22"/>
      <c r="Q207" s="22"/>
      <c r="R207" s="22"/>
      <c r="S207" s="22"/>
      <c r="T207" s="23"/>
    </row>
    <row r="208">
      <c r="A208" s="16" t="s">
        <v>3938</v>
      </c>
      <c r="B208" s="17" t="s">
        <v>3935</v>
      </c>
      <c r="C208" s="17" t="s">
        <v>144</v>
      </c>
      <c r="D208" s="17" t="str">
        <f>vlookup(C208,'1. 신청자리스트'!J:N,2,false)</f>
        <v>정상</v>
      </c>
      <c r="E208" s="17"/>
      <c r="F208" s="17" t="s">
        <v>144</v>
      </c>
      <c r="G208" s="18">
        <v>35000.0</v>
      </c>
      <c r="H208" s="19" t="s">
        <v>3941</v>
      </c>
      <c r="I208" s="20"/>
      <c r="J208" s="20"/>
      <c r="K208" s="20"/>
      <c r="L208" s="21"/>
      <c r="M208" s="22"/>
      <c r="N208" s="22"/>
      <c r="O208" s="22"/>
      <c r="P208" s="22"/>
      <c r="Q208" s="22"/>
      <c r="R208" s="22"/>
      <c r="S208" s="22"/>
      <c r="T208" s="23"/>
    </row>
    <row r="209">
      <c r="A209" s="24" t="s">
        <v>3955</v>
      </c>
      <c r="B209" s="25" t="s">
        <v>3935</v>
      </c>
      <c r="C209" s="25" t="s">
        <v>145</v>
      </c>
      <c r="D209" s="17" t="str">
        <f>vlookup(C209,'1. 신청자리스트'!J:N,2,false)</f>
        <v>정상</v>
      </c>
      <c r="E209" s="25"/>
      <c r="F209" s="25" t="s">
        <v>3163</v>
      </c>
      <c r="G209" s="26">
        <v>35000.0</v>
      </c>
      <c r="H209" s="27" t="s">
        <v>3948</v>
      </c>
      <c r="I209" s="28"/>
      <c r="J209" s="28"/>
      <c r="K209" s="28"/>
      <c r="L209" s="29"/>
      <c r="M209" s="22"/>
      <c r="N209" s="22"/>
      <c r="O209" s="22"/>
      <c r="P209" s="22"/>
      <c r="Q209" s="22"/>
      <c r="R209" s="22"/>
      <c r="S209" s="22"/>
      <c r="T209" s="23"/>
    </row>
    <row r="210">
      <c r="A210" s="16" t="s">
        <v>4077</v>
      </c>
      <c r="B210" s="17" t="s">
        <v>3935</v>
      </c>
      <c r="C210" s="17" t="s">
        <v>146</v>
      </c>
      <c r="D210" s="17" t="str">
        <f>vlookup(C210,'1. 신청자리스트'!J:N,2,false)</f>
        <v>정상</v>
      </c>
      <c r="E210" s="17"/>
      <c r="F210" s="17" t="s">
        <v>146</v>
      </c>
      <c r="G210" s="18">
        <v>35000.0</v>
      </c>
      <c r="H210" s="19" t="s">
        <v>3946</v>
      </c>
      <c r="I210" s="20"/>
      <c r="J210" s="20"/>
      <c r="K210" s="20"/>
      <c r="L210" s="21"/>
      <c r="M210" s="22"/>
      <c r="N210" s="22"/>
      <c r="O210" s="22"/>
      <c r="P210" s="22"/>
      <c r="Q210" s="22"/>
      <c r="R210" s="22"/>
      <c r="S210" s="22"/>
      <c r="T210" s="23"/>
    </row>
    <row r="211">
      <c r="A211" s="24" t="s">
        <v>3940</v>
      </c>
      <c r="B211" s="25" t="s">
        <v>3935</v>
      </c>
      <c r="C211" s="25" t="s">
        <v>147</v>
      </c>
      <c r="D211" s="17" t="str">
        <f>vlookup(C211,'1. 신청자리스트'!J:N,2,false)</f>
        <v>정상</v>
      </c>
      <c r="E211" s="25"/>
      <c r="F211" s="25" t="s">
        <v>3165</v>
      </c>
      <c r="G211" s="26">
        <v>35000.0</v>
      </c>
      <c r="H211" s="27" t="s">
        <v>3983</v>
      </c>
      <c r="I211" s="28"/>
      <c r="J211" s="28"/>
      <c r="K211" s="28"/>
      <c r="L211" s="29"/>
      <c r="M211" s="22"/>
      <c r="N211" s="22"/>
      <c r="O211" s="22"/>
      <c r="P211" s="22"/>
      <c r="Q211" s="22"/>
      <c r="R211" s="22"/>
      <c r="S211" s="22"/>
      <c r="T211" s="23"/>
    </row>
    <row r="212">
      <c r="A212" s="30" t="s">
        <v>4011</v>
      </c>
      <c r="B212" s="31" t="s">
        <v>3935</v>
      </c>
      <c r="C212" s="31" t="s">
        <v>4078</v>
      </c>
      <c r="D212" s="17" t="str">
        <f>vlookup(C212,'1. 신청자리스트'!J:N,2,false)</f>
        <v>정상</v>
      </c>
      <c r="E212" s="31"/>
      <c r="F212" s="31" t="s">
        <v>4078</v>
      </c>
      <c r="G212" s="32">
        <v>35000.0</v>
      </c>
      <c r="H212" s="33" t="s">
        <v>3983</v>
      </c>
      <c r="I212" s="34" t="str">
        <f>VLOOKUP(C212, '문의'!D:E, 2, FALSE)</f>
        <v>[입금/결제] 입금은 신한 9:25분 입금 입금자 동일 김혜란입니다</v>
      </c>
      <c r="J212" s="34">
        <f t="array" ref="J212">INDEX('문의'!C:C, MATCH(C212, '문의'!D:D, 0))</f>
        <v>1047442120</v>
      </c>
      <c r="K212" s="34" t="s">
        <v>3957</v>
      </c>
      <c r="L212" s="37" t="s">
        <v>4079</v>
      </c>
      <c r="M212" s="42"/>
      <c r="N212" s="42"/>
      <c r="O212" s="42"/>
      <c r="P212" s="42"/>
      <c r="Q212" s="42"/>
      <c r="R212" s="44"/>
      <c r="S212" s="42"/>
      <c r="T212" s="23"/>
    </row>
    <row r="213">
      <c r="A213" s="16" t="s">
        <v>3945</v>
      </c>
      <c r="B213" s="17" t="s">
        <v>3932</v>
      </c>
      <c r="C213" s="17" t="s">
        <v>150</v>
      </c>
      <c r="D213" s="17" t="str">
        <f>vlookup(C213,'1. 신청자리스트'!J:N,2,false)</f>
        <v>정상</v>
      </c>
      <c r="E213" s="17"/>
      <c r="F213" s="17" t="s">
        <v>150</v>
      </c>
      <c r="G213" s="18">
        <v>35000.0</v>
      </c>
      <c r="H213" s="19" t="s">
        <v>4080</v>
      </c>
      <c r="I213" s="20"/>
      <c r="J213" s="20"/>
      <c r="K213" s="20"/>
      <c r="L213" s="21"/>
      <c r="M213" s="22"/>
      <c r="N213" s="22"/>
      <c r="O213" s="22"/>
      <c r="P213" s="22"/>
      <c r="Q213" s="22"/>
      <c r="R213" s="22"/>
      <c r="S213" s="22"/>
      <c r="T213" s="41"/>
    </row>
    <row r="214">
      <c r="A214" s="24" t="s">
        <v>4002</v>
      </c>
      <c r="B214" s="25" t="s">
        <v>3935</v>
      </c>
      <c r="C214" s="25" t="s">
        <v>654</v>
      </c>
      <c r="D214" s="17" t="str">
        <f>vlookup(C214,'1. 신청자리스트'!J:N,2,false)</f>
        <v>정상</v>
      </c>
      <c r="E214" s="25"/>
      <c r="F214" s="25" t="s">
        <v>1804</v>
      </c>
      <c r="G214" s="26">
        <v>70000.0</v>
      </c>
      <c r="H214" s="27" t="s">
        <v>3941</v>
      </c>
      <c r="I214" s="28"/>
      <c r="J214" s="28"/>
      <c r="K214" s="28"/>
      <c r="L214" s="29"/>
      <c r="M214" s="22"/>
      <c r="N214" s="22"/>
      <c r="O214" s="22"/>
      <c r="P214" s="22"/>
      <c r="Q214" s="22"/>
      <c r="R214" s="22"/>
      <c r="S214" s="22"/>
      <c r="T214" s="23"/>
    </row>
    <row r="215">
      <c r="A215" s="16" t="s">
        <v>3962</v>
      </c>
      <c r="B215" s="17" t="s">
        <v>3935</v>
      </c>
      <c r="C215" s="17" t="s">
        <v>152</v>
      </c>
      <c r="D215" s="17" t="str">
        <f>vlookup(C215,'1. 신청자리스트'!J:N,2,false)</f>
        <v>정상</v>
      </c>
      <c r="E215" s="17"/>
      <c r="F215" s="17" t="s">
        <v>152</v>
      </c>
      <c r="G215" s="18">
        <v>35000.0</v>
      </c>
      <c r="H215" s="19" t="s">
        <v>3941</v>
      </c>
      <c r="I215" s="28"/>
      <c r="J215" s="28"/>
      <c r="K215" s="28"/>
      <c r="L215" s="29"/>
      <c r="M215" s="22"/>
      <c r="N215" s="22"/>
      <c r="O215" s="22"/>
      <c r="P215" s="22"/>
      <c r="Q215" s="22"/>
      <c r="R215" s="22"/>
      <c r="S215" s="22"/>
      <c r="T215" s="23"/>
    </row>
    <row r="216">
      <c r="A216" s="16" t="s">
        <v>3940</v>
      </c>
      <c r="B216" s="17" t="s">
        <v>3935</v>
      </c>
      <c r="C216" s="17" t="s">
        <v>655</v>
      </c>
      <c r="D216" s="17" t="str">
        <f>vlookup(C216,'1. 신청자리스트'!J:N,2,false)</f>
        <v>정상</v>
      </c>
      <c r="E216" s="17"/>
      <c r="F216" s="17" t="s">
        <v>655</v>
      </c>
      <c r="G216" s="18">
        <v>70000.0</v>
      </c>
      <c r="H216" s="19" t="s">
        <v>3946</v>
      </c>
      <c r="I216" s="20"/>
      <c r="J216" s="20"/>
      <c r="K216" s="20"/>
      <c r="L216" s="21"/>
      <c r="M216" s="22"/>
      <c r="N216" s="22"/>
      <c r="O216" s="22"/>
      <c r="P216" s="22"/>
      <c r="Q216" s="22"/>
      <c r="R216" s="22"/>
      <c r="S216" s="22"/>
      <c r="T216" s="23"/>
    </row>
    <row r="217">
      <c r="A217" s="16" t="s">
        <v>4081</v>
      </c>
      <c r="B217" s="17" t="s">
        <v>3935</v>
      </c>
      <c r="C217" s="17" t="s">
        <v>154</v>
      </c>
      <c r="D217" s="17" t="str">
        <f>vlookup(C217,'1. 신청자리스트'!J:N,2,false)</f>
        <v>정상</v>
      </c>
      <c r="E217" s="17"/>
      <c r="F217" s="17" t="s">
        <v>154</v>
      </c>
      <c r="G217" s="18">
        <v>35000.0</v>
      </c>
      <c r="H217" s="19" t="s">
        <v>3948</v>
      </c>
      <c r="I217" s="20"/>
      <c r="J217" s="20"/>
      <c r="K217" s="20"/>
      <c r="L217" s="21"/>
      <c r="M217" s="22"/>
      <c r="N217" s="22"/>
      <c r="O217" s="22"/>
      <c r="P217" s="22"/>
      <c r="Q217" s="22"/>
      <c r="R217" s="22"/>
      <c r="S217" s="22"/>
      <c r="T217" s="23"/>
    </row>
    <row r="218">
      <c r="A218" s="16" t="s">
        <v>3962</v>
      </c>
      <c r="B218" s="17" t="s">
        <v>3935</v>
      </c>
      <c r="C218" s="17" t="s">
        <v>156</v>
      </c>
      <c r="D218" s="17" t="str">
        <f>vlookup(C218,'1. 신청자리스트'!J:N,2,false)</f>
        <v>정상</v>
      </c>
      <c r="E218" s="17"/>
      <c r="F218" s="17" t="s">
        <v>156</v>
      </c>
      <c r="G218" s="18">
        <v>35000.0</v>
      </c>
      <c r="H218" s="19" t="s">
        <v>3952</v>
      </c>
      <c r="I218" s="20"/>
      <c r="J218" s="20"/>
      <c r="K218" s="20"/>
      <c r="L218" s="21"/>
      <c r="M218" s="22"/>
      <c r="N218" s="22"/>
      <c r="O218" s="22"/>
      <c r="P218" s="22"/>
      <c r="Q218" s="22"/>
      <c r="R218" s="22"/>
      <c r="S218" s="22"/>
      <c r="T218" s="23"/>
    </row>
    <row r="219">
      <c r="A219" s="30" t="s">
        <v>4082</v>
      </c>
      <c r="B219" s="31" t="s">
        <v>3935</v>
      </c>
      <c r="C219" s="31" t="s">
        <v>4083</v>
      </c>
      <c r="D219" s="17" t="str">
        <f>vlookup(C219,'1. 신청자리스트'!J:N,2,false)</f>
        <v>정상</v>
      </c>
      <c r="E219" s="31"/>
      <c r="F219" s="31" t="s">
        <v>4084</v>
      </c>
      <c r="G219" s="32">
        <v>35000.0</v>
      </c>
      <c r="H219" s="33" t="s">
        <v>3983</v>
      </c>
      <c r="I219" s="34" t="str">
        <f>VLOOKUP(C219, '문의'!D:E, 2, FALSE)</f>
        <v>[취소/환불] 어제 신청 접수 됐는 줄 알고 국민은행 윤석만 계좌로 입금 했는데 환불 부탁드립니다
 [환불정보]
 금액: 35000원
 은행: 신한은행
 계좌: 110213760202
 예금주: 나경희</v>
      </c>
      <c r="J219" s="34">
        <f t="array" ref="J219">INDEX('문의'!C:C, MATCH(C219, '문의'!D:D, 0))</f>
        <v>1065173088</v>
      </c>
      <c r="K219" s="34" t="s">
        <v>3957</v>
      </c>
      <c r="L219" s="37" t="s">
        <v>4085</v>
      </c>
      <c r="M219" s="42"/>
      <c r="N219" s="42"/>
      <c r="O219" s="42"/>
      <c r="P219" s="42"/>
      <c r="Q219" s="42"/>
      <c r="R219" s="44"/>
      <c r="S219" s="42"/>
      <c r="T219" s="23"/>
    </row>
    <row r="220">
      <c r="A220" s="16" t="s">
        <v>3940</v>
      </c>
      <c r="B220" s="17" t="s">
        <v>3932</v>
      </c>
      <c r="C220" s="17" t="s">
        <v>656</v>
      </c>
      <c r="D220" s="17" t="str">
        <f>vlookup(C220,'1. 신청자리스트'!J:N,2,false)</f>
        <v>정상</v>
      </c>
      <c r="E220" s="17"/>
      <c r="F220" s="17" t="s">
        <v>656</v>
      </c>
      <c r="G220" s="18">
        <v>70000.0</v>
      </c>
      <c r="H220" s="19" t="s">
        <v>4086</v>
      </c>
      <c r="I220" s="20"/>
      <c r="J220" s="20"/>
      <c r="K220" s="20"/>
      <c r="L220" s="21"/>
      <c r="M220" s="22"/>
      <c r="N220" s="22"/>
      <c r="O220" s="22"/>
      <c r="P220" s="22"/>
      <c r="Q220" s="22"/>
      <c r="R220" s="22"/>
      <c r="S220" s="22"/>
      <c r="T220" s="23"/>
    </row>
    <row r="221">
      <c r="A221" s="16" t="s">
        <v>3945</v>
      </c>
      <c r="B221" s="17" t="s">
        <v>3935</v>
      </c>
      <c r="C221" s="17" t="s">
        <v>657</v>
      </c>
      <c r="D221" s="17" t="str">
        <f>vlookup(C221,'1. 신청자리스트'!J:N,2,false)</f>
        <v>정상</v>
      </c>
      <c r="E221" s="17"/>
      <c r="F221" s="17" t="s">
        <v>657</v>
      </c>
      <c r="G221" s="18">
        <v>70000.0</v>
      </c>
      <c r="H221" s="19" t="s">
        <v>3992</v>
      </c>
      <c r="I221" s="20"/>
      <c r="J221" s="20"/>
      <c r="K221" s="20"/>
      <c r="L221" s="21"/>
      <c r="M221" s="22"/>
      <c r="N221" s="22"/>
      <c r="O221" s="22"/>
      <c r="P221" s="22"/>
      <c r="Q221" s="22"/>
      <c r="R221" s="22"/>
      <c r="S221" s="22"/>
      <c r="T221" s="41"/>
    </row>
    <row r="222">
      <c r="A222" s="16" t="s">
        <v>3985</v>
      </c>
      <c r="B222" s="17" t="s">
        <v>3932</v>
      </c>
      <c r="C222" s="17" t="s">
        <v>658</v>
      </c>
      <c r="D222" s="17" t="str">
        <f>vlookup(C222,'1. 신청자리스트'!J:N,2,false)</f>
        <v>정상</v>
      </c>
      <c r="E222" s="17"/>
      <c r="F222" s="17" t="s">
        <v>658</v>
      </c>
      <c r="G222" s="18">
        <v>70000.0</v>
      </c>
      <c r="H222" s="19" t="s">
        <v>4087</v>
      </c>
      <c r="I222" s="20"/>
      <c r="J222" s="20"/>
      <c r="K222" s="20"/>
      <c r="L222" s="21"/>
      <c r="M222" s="22"/>
      <c r="N222" s="22"/>
      <c r="O222" s="22"/>
      <c r="P222" s="22"/>
      <c r="Q222" s="22"/>
      <c r="R222" s="22"/>
      <c r="S222" s="22"/>
      <c r="T222" s="23"/>
    </row>
    <row r="223">
      <c r="A223" s="16" t="s">
        <v>3940</v>
      </c>
      <c r="B223" s="17" t="s">
        <v>3935</v>
      </c>
      <c r="C223" s="17" t="s">
        <v>158</v>
      </c>
      <c r="D223" s="17" t="str">
        <f>vlookup(C223,'1. 신청자리스트'!J:N,2,false)</f>
        <v>정상</v>
      </c>
      <c r="E223" s="17"/>
      <c r="F223" s="17" t="s">
        <v>158</v>
      </c>
      <c r="G223" s="18">
        <v>35000.0</v>
      </c>
      <c r="H223" s="19" t="s">
        <v>3952</v>
      </c>
      <c r="I223" s="20"/>
      <c r="J223" s="20"/>
      <c r="K223" s="20"/>
      <c r="L223" s="21"/>
      <c r="M223" s="22"/>
      <c r="N223" s="22"/>
      <c r="O223" s="22"/>
      <c r="P223" s="22"/>
      <c r="Q223" s="22"/>
      <c r="R223" s="22"/>
      <c r="S223" s="22"/>
      <c r="T223" s="23"/>
    </row>
    <row r="224">
      <c r="A224" s="16" t="s">
        <v>3940</v>
      </c>
      <c r="B224" s="17" t="s">
        <v>3935</v>
      </c>
      <c r="C224" s="17" t="s">
        <v>159</v>
      </c>
      <c r="D224" s="17" t="str">
        <f>vlookup(C224,'1. 신청자리스트'!J:N,2,false)</f>
        <v>정상</v>
      </c>
      <c r="E224" s="17"/>
      <c r="F224" s="17" t="s">
        <v>159</v>
      </c>
      <c r="G224" s="18">
        <v>35000.0</v>
      </c>
      <c r="H224" s="19" t="s">
        <v>3941</v>
      </c>
      <c r="I224" s="20"/>
      <c r="J224" s="20"/>
      <c r="K224" s="20"/>
      <c r="L224" s="21"/>
      <c r="M224" s="22"/>
      <c r="N224" s="22"/>
      <c r="O224" s="22"/>
      <c r="P224" s="22"/>
      <c r="Q224" s="22"/>
      <c r="R224" s="22"/>
      <c r="S224" s="22"/>
      <c r="T224" s="23"/>
    </row>
    <row r="225">
      <c r="A225" s="24" t="s">
        <v>3949</v>
      </c>
      <c r="B225" s="25" t="s">
        <v>3935</v>
      </c>
      <c r="C225" s="25" t="s">
        <v>660</v>
      </c>
      <c r="D225" s="17" t="str">
        <f>vlookup(C225,'1. 신청자리스트'!J:N,2,false)</f>
        <v>정상</v>
      </c>
      <c r="E225" s="25"/>
      <c r="F225" s="25" t="s">
        <v>4088</v>
      </c>
      <c r="G225" s="26">
        <v>70000.0</v>
      </c>
      <c r="H225" s="27" t="s">
        <v>3948</v>
      </c>
      <c r="I225" s="28"/>
      <c r="J225" s="28"/>
      <c r="K225" s="28"/>
      <c r="L225" s="29"/>
      <c r="M225" s="22"/>
      <c r="N225" s="22"/>
      <c r="O225" s="22"/>
      <c r="P225" s="22"/>
      <c r="Q225" s="22"/>
      <c r="R225" s="22"/>
      <c r="S225" s="22"/>
      <c r="T225" s="23"/>
    </row>
    <row r="226">
      <c r="A226" s="16" t="s">
        <v>3945</v>
      </c>
      <c r="B226" s="17" t="s">
        <v>3943</v>
      </c>
      <c r="C226" s="17" t="s">
        <v>161</v>
      </c>
      <c r="D226" s="17" t="str">
        <f>vlookup(C226,'1. 신청자리스트'!J:N,2,false)</f>
        <v>정상</v>
      </c>
      <c r="E226" s="17"/>
      <c r="F226" s="17" t="s">
        <v>161</v>
      </c>
      <c r="G226" s="18">
        <v>35000.0</v>
      </c>
      <c r="H226" s="19" t="s">
        <v>3944</v>
      </c>
      <c r="I226" s="20"/>
      <c r="J226" s="20"/>
      <c r="K226" s="20"/>
      <c r="L226" s="21"/>
      <c r="M226" s="22"/>
      <c r="N226" s="22"/>
      <c r="O226" s="22"/>
      <c r="P226" s="22"/>
      <c r="Q226" s="22"/>
      <c r="R226" s="22"/>
      <c r="S226" s="22"/>
      <c r="T226" s="23"/>
    </row>
    <row r="227">
      <c r="A227" s="16" t="s">
        <v>3940</v>
      </c>
      <c r="B227" s="17" t="s">
        <v>3943</v>
      </c>
      <c r="C227" s="17" t="s">
        <v>661</v>
      </c>
      <c r="D227" s="17" t="str">
        <f>vlookup(C227,'1. 신청자리스트'!J:N,2,false)</f>
        <v>정상</v>
      </c>
      <c r="E227" s="17"/>
      <c r="F227" s="17" t="s">
        <v>661</v>
      </c>
      <c r="G227" s="18">
        <v>70000.0</v>
      </c>
      <c r="H227" s="19" t="s">
        <v>3944</v>
      </c>
      <c r="I227" s="20"/>
      <c r="J227" s="20"/>
      <c r="K227" s="20"/>
      <c r="L227" s="21"/>
      <c r="M227" s="22"/>
      <c r="N227" s="22"/>
      <c r="O227" s="22"/>
      <c r="P227" s="22"/>
      <c r="Q227" s="22"/>
      <c r="R227" s="22"/>
      <c r="S227" s="22"/>
      <c r="T227" s="23"/>
    </row>
    <row r="228">
      <c r="A228" s="24" t="s">
        <v>3962</v>
      </c>
      <c r="B228" s="25" t="s">
        <v>3935</v>
      </c>
      <c r="C228" s="25" t="s">
        <v>662</v>
      </c>
      <c r="D228" s="17" t="str">
        <f>vlookup(C228,'1. 신청자리스트'!J:N,2,false)</f>
        <v>정상</v>
      </c>
      <c r="E228" s="25"/>
      <c r="F228" s="25" t="s">
        <v>1897</v>
      </c>
      <c r="G228" s="26">
        <v>70000.0</v>
      </c>
      <c r="H228" s="27" t="s">
        <v>3948</v>
      </c>
      <c r="I228" s="28"/>
      <c r="J228" s="28"/>
      <c r="K228" s="28"/>
      <c r="L228" s="29"/>
      <c r="M228" s="22"/>
      <c r="N228" s="22"/>
      <c r="O228" s="22"/>
      <c r="P228" s="22"/>
      <c r="Q228" s="22"/>
      <c r="R228" s="22"/>
      <c r="S228" s="22"/>
      <c r="T228" s="23"/>
    </row>
    <row r="229">
      <c r="A229" s="30" t="s">
        <v>3934</v>
      </c>
      <c r="B229" s="31" t="s">
        <v>3935</v>
      </c>
      <c r="C229" s="31" t="s">
        <v>4089</v>
      </c>
      <c r="D229" s="17" t="str">
        <f>vlookup(C229,'1. 신청자리스트'!J:N,2,false)</f>
        <v>정상</v>
      </c>
      <c r="E229" s="31"/>
      <c r="F229" s="31" t="s">
        <v>4090</v>
      </c>
      <c r="G229" s="32">
        <v>35000.0</v>
      </c>
      <c r="H229" s="33" t="s">
        <v>3937</v>
      </c>
      <c r="I229" s="34" t="str">
        <f>VLOOKUP(C229, '문의'!D:E, 2, FALSE)</f>
        <v>[입금/결제] 노영숙 01035346512 노영숙  9시21분 우체국 입니다 확인완료 입금완료 질문에 상세설명에 대한 답변입니다</v>
      </c>
      <c r="J229" s="34">
        <f t="array" ref="J229">INDEX('문의'!C:C, MATCH(C229, '문의'!D:D, 0))</f>
        <v>1035346512</v>
      </c>
      <c r="K229" s="34" t="s">
        <v>3957</v>
      </c>
      <c r="L229" s="37" t="s">
        <v>4091</v>
      </c>
      <c r="M229" s="42"/>
      <c r="N229" s="42"/>
      <c r="O229" s="42"/>
      <c r="P229" s="42"/>
      <c r="Q229" s="42"/>
      <c r="R229" s="44"/>
      <c r="S229" s="42"/>
      <c r="T229" s="23"/>
    </row>
    <row r="230">
      <c r="A230" s="16" t="s">
        <v>3962</v>
      </c>
      <c r="B230" s="17" t="s">
        <v>3935</v>
      </c>
      <c r="C230" s="17" t="s">
        <v>663</v>
      </c>
      <c r="D230" s="17" t="str">
        <f>vlookup(C230,'1. 신청자리스트'!J:N,2,false)</f>
        <v>정상</v>
      </c>
      <c r="E230" s="17"/>
      <c r="F230" s="17" t="s">
        <v>663</v>
      </c>
      <c r="G230" s="18">
        <v>70000.0</v>
      </c>
      <c r="H230" s="19" t="s">
        <v>3983</v>
      </c>
      <c r="I230" s="20"/>
      <c r="J230" s="20"/>
      <c r="K230" s="20"/>
      <c r="L230" s="21"/>
      <c r="M230" s="22"/>
      <c r="N230" s="22"/>
      <c r="O230" s="22"/>
      <c r="P230" s="22"/>
      <c r="Q230" s="22"/>
      <c r="R230" s="22"/>
      <c r="S230" s="22"/>
      <c r="T230" s="23"/>
    </row>
    <row r="231">
      <c r="A231" s="16" t="s">
        <v>4092</v>
      </c>
      <c r="B231" s="17" t="s">
        <v>3935</v>
      </c>
      <c r="C231" s="17" t="s">
        <v>164</v>
      </c>
      <c r="D231" s="17" t="str">
        <f>vlookup(C231,'1. 신청자리스트'!J:N,2,false)</f>
        <v>정상</v>
      </c>
      <c r="E231" s="17"/>
      <c r="F231" s="17" t="s">
        <v>4093</v>
      </c>
      <c r="G231" s="18">
        <v>35000.0</v>
      </c>
      <c r="H231" s="19" t="s">
        <v>3939</v>
      </c>
      <c r="I231" s="20"/>
      <c r="J231" s="20"/>
      <c r="K231" s="20"/>
      <c r="L231" s="21"/>
      <c r="M231" s="22"/>
      <c r="N231" s="22"/>
      <c r="O231" s="22"/>
      <c r="P231" s="22"/>
      <c r="Q231" s="22"/>
      <c r="R231" s="22"/>
      <c r="S231" s="22"/>
      <c r="T231" s="41"/>
    </row>
    <row r="232">
      <c r="A232" s="16" t="s">
        <v>3945</v>
      </c>
      <c r="B232" s="17" t="s">
        <v>3932</v>
      </c>
      <c r="C232" s="17" t="s">
        <v>664</v>
      </c>
      <c r="D232" s="17" t="str">
        <f>vlookup(C232,'1. 신청자리스트'!J:N,2,false)</f>
        <v>정상</v>
      </c>
      <c r="E232" s="17"/>
      <c r="F232" s="17" t="s">
        <v>664</v>
      </c>
      <c r="G232" s="18">
        <v>70000.0</v>
      </c>
      <c r="H232" s="19" t="s">
        <v>4094</v>
      </c>
      <c r="I232" s="20"/>
      <c r="J232" s="20"/>
      <c r="K232" s="20"/>
      <c r="L232" s="21"/>
      <c r="M232" s="22"/>
      <c r="N232" s="22"/>
      <c r="O232" s="22"/>
      <c r="P232" s="22"/>
      <c r="Q232" s="22"/>
      <c r="R232" s="22"/>
      <c r="S232" s="22"/>
      <c r="T232" s="23"/>
    </row>
    <row r="233">
      <c r="A233" s="16" t="s">
        <v>3931</v>
      </c>
      <c r="B233" s="17" t="s">
        <v>3935</v>
      </c>
      <c r="C233" s="17" t="s">
        <v>665</v>
      </c>
      <c r="D233" s="17" t="str">
        <f>vlookup(C233,'1. 신청자리스트'!J:N,2,false)</f>
        <v>정상</v>
      </c>
      <c r="E233" s="17"/>
      <c r="F233" s="17" t="s">
        <v>665</v>
      </c>
      <c r="G233" s="18">
        <v>70000.0</v>
      </c>
      <c r="H233" s="19" t="s">
        <v>3992</v>
      </c>
      <c r="I233" s="20"/>
      <c r="J233" s="20"/>
      <c r="K233" s="20"/>
      <c r="L233" s="21"/>
      <c r="M233" s="22"/>
      <c r="N233" s="22"/>
      <c r="O233" s="22"/>
      <c r="P233" s="22"/>
      <c r="Q233" s="22"/>
      <c r="R233" s="22"/>
      <c r="S233" s="22"/>
      <c r="T233" s="23"/>
    </row>
    <row r="234">
      <c r="A234" s="16" t="s">
        <v>3931</v>
      </c>
      <c r="B234" s="17" t="s">
        <v>3993</v>
      </c>
      <c r="C234" s="17" t="s">
        <v>666</v>
      </c>
      <c r="D234" s="17" t="str">
        <f>vlookup(C234,'1. 신청자리스트'!J:N,2,false)</f>
        <v>정상</v>
      </c>
      <c r="E234" s="17"/>
      <c r="F234" s="17" t="s">
        <v>666</v>
      </c>
      <c r="G234" s="18">
        <v>70000.0</v>
      </c>
      <c r="H234" s="19" t="s">
        <v>4095</v>
      </c>
      <c r="I234" s="20"/>
      <c r="J234" s="20"/>
      <c r="K234" s="20"/>
      <c r="L234" s="21"/>
      <c r="M234" s="22"/>
      <c r="N234" s="22"/>
      <c r="O234" s="22"/>
      <c r="P234" s="22"/>
      <c r="Q234" s="22"/>
      <c r="R234" s="22"/>
      <c r="S234" s="22"/>
      <c r="T234" s="23"/>
    </row>
    <row r="235">
      <c r="A235" s="16" t="s">
        <v>4096</v>
      </c>
      <c r="B235" s="17" t="s">
        <v>3935</v>
      </c>
      <c r="C235" s="17" t="s">
        <v>667</v>
      </c>
      <c r="D235" s="17" t="str">
        <f>vlookup(C235,'1. 신청자리스트'!J:N,2,false)</f>
        <v>정상</v>
      </c>
      <c r="E235" s="17"/>
      <c r="F235" s="17" t="s">
        <v>667</v>
      </c>
      <c r="G235" s="18">
        <v>70000.0</v>
      </c>
      <c r="H235" s="19" t="s">
        <v>3948</v>
      </c>
      <c r="I235" s="20"/>
      <c r="J235" s="20"/>
      <c r="K235" s="20"/>
      <c r="L235" s="21"/>
      <c r="M235" s="22"/>
      <c r="N235" s="22"/>
      <c r="O235" s="22"/>
      <c r="P235" s="22"/>
      <c r="Q235" s="22"/>
      <c r="R235" s="22"/>
      <c r="S235" s="22"/>
      <c r="T235" s="23"/>
    </row>
    <row r="236">
      <c r="A236" s="16" t="s">
        <v>3931</v>
      </c>
      <c r="B236" s="17" t="s">
        <v>3935</v>
      </c>
      <c r="C236" s="17" t="s">
        <v>668</v>
      </c>
      <c r="D236" s="17" t="str">
        <f>vlookup(C236,'1. 신청자리스트'!J:N,2,false)</f>
        <v>정상</v>
      </c>
      <c r="E236" s="17"/>
      <c r="F236" s="17" t="s">
        <v>668</v>
      </c>
      <c r="G236" s="18">
        <v>70000.0</v>
      </c>
      <c r="H236" s="19" t="s">
        <v>3939</v>
      </c>
      <c r="I236" s="20"/>
      <c r="J236" s="20"/>
      <c r="K236" s="20"/>
      <c r="L236" s="21"/>
      <c r="M236" s="22"/>
      <c r="N236" s="22"/>
      <c r="O236" s="22"/>
      <c r="P236" s="22"/>
      <c r="Q236" s="22"/>
      <c r="R236" s="22"/>
      <c r="S236" s="22"/>
      <c r="T236" s="23"/>
    </row>
    <row r="237">
      <c r="A237" s="16" t="s">
        <v>3962</v>
      </c>
      <c r="B237" s="17" t="s">
        <v>4032</v>
      </c>
      <c r="C237" s="17" t="s">
        <v>166</v>
      </c>
      <c r="D237" s="17" t="str">
        <f>vlookup(C237,'1. 신청자리스트'!J:N,2,false)</f>
        <v>정상</v>
      </c>
      <c r="E237" s="17"/>
      <c r="F237" s="17" t="s">
        <v>166</v>
      </c>
      <c r="G237" s="18">
        <v>35000.0</v>
      </c>
      <c r="H237" s="19" t="s">
        <v>4097</v>
      </c>
      <c r="I237" s="20"/>
      <c r="J237" s="20"/>
      <c r="K237" s="20"/>
      <c r="L237" s="21"/>
      <c r="M237" s="22"/>
      <c r="N237" s="22"/>
      <c r="O237" s="22"/>
      <c r="P237" s="22"/>
      <c r="Q237" s="22"/>
      <c r="R237" s="22"/>
      <c r="S237" s="22"/>
      <c r="T237" s="23"/>
    </row>
    <row r="238">
      <c r="A238" s="24" t="s">
        <v>3945</v>
      </c>
      <c r="B238" s="25" t="s">
        <v>4032</v>
      </c>
      <c r="C238" s="25" t="s">
        <v>669</v>
      </c>
      <c r="D238" s="17" t="str">
        <f>vlookup(C238,'1. 신청자리스트'!J:N,2,false)</f>
        <v>정상</v>
      </c>
      <c r="E238" s="25"/>
      <c r="F238" s="25" t="s">
        <v>4098</v>
      </c>
      <c r="G238" s="26">
        <v>70000.0</v>
      </c>
      <c r="H238" s="27" t="s">
        <v>4097</v>
      </c>
      <c r="I238" s="28"/>
      <c r="J238" s="28"/>
      <c r="K238" s="28"/>
      <c r="L238" s="29"/>
      <c r="M238" s="22"/>
      <c r="N238" s="22"/>
      <c r="O238" s="22"/>
      <c r="P238" s="22"/>
      <c r="Q238" s="22"/>
      <c r="R238" s="22"/>
      <c r="S238" s="22"/>
      <c r="T238" s="23"/>
    </row>
    <row r="239">
      <c r="A239" s="16" t="s">
        <v>3940</v>
      </c>
      <c r="B239" s="17" t="s">
        <v>3935</v>
      </c>
      <c r="C239" s="17" t="s">
        <v>167</v>
      </c>
      <c r="D239" s="17" t="str">
        <f>vlookup(C239,'1. 신청자리스트'!J:N,2,false)</f>
        <v>정상</v>
      </c>
      <c r="E239" s="17"/>
      <c r="F239" s="17" t="s">
        <v>167</v>
      </c>
      <c r="G239" s="18">
        <v>35000.0</v>
      </c>
      <c r="H239" s="19" t="s">
        <v>3939</v>
      </c>
      <c r="I239" s="20"/>
      <c r="J239" s="20"/>
      <c r="K239" s="20"/>
      <c r="L239" s="21"/>
      <c r="M239" s="22"/>
      <c r="N239" s="22"/>
      <c r="O239" s="22"/>
      <c r="P239" s="22"/>
      <c r="Q239" s="22"/>
      <c r="R239" s="22"/>
      <c r="S239" s="22"/>
      <c r="T239" s="23"/>
    </row>
    <row r="240">
      <c r="A240" s="16" t="s">
        <v>4099</v>
      </c>
      <c r="B240" s="17" t="s">
        <v>4100</v>
      </c>
      <c r="C240" s="17" t="s">
        <v>168</v>
      </c>
      <c r="D240" s="17" t="str">
        <f>vlookup(C240,'1. 신청자리스트'!J:N,2,false)</f>
        <v>정상</v>
      </c>
      <c r="E240" s="17"/>
      <c r="F240" s="17" t="s">
        <v>168</v>
      </c>
      <c r="G240" s="18">
        <v>35000.0</v>
      </c>
      <c r="H240" s="19" t="s">
        <v>4101</v>
      </c>
      <c r="I240" s="20"/>
      <c r="J240" s="20"/>
      <c r="K240" s="20"/>
      <c r="L240" s="21"/>
      <c r="M240" s="22"/>
      <c r="N240" s="22"/>
      <c r="O240" s="22"/>
      <c r="P240" s="22"/>
      <c r="Q240" s="22"/>
      <c r="R240" s="22"/>
      <c r="S240" s="22"/>
      <c r="T240" s="23"/>
    </row>
    <row r="241">
      <c r="A241" s="16" t="s">
        <v>3975</v>
      </c>
      <c r="B241" s="17" t="s">
        <v>3935</v>
      </c>
      <c r="C241" s="17" t="s">
        <v>169</v>
      </c>
      <c r="D241" s="17" t="str">
        <f>vlookup(C241,'1. 신청자리스트'!J:N,2,false)</f>
        <v>정상</v>
      </c>
      <c r="E241" s="17"/>
      <c r="F241" s="17" t="s">
        <v>169</v>
      </c>
      <c r="G241" s="18">
        <v>35000.0</v>
      </c>
      <c r="H241" s="19" t="s">
        <v>3948</v>
      </c>
      <c r="I241" s="20"/>
      <c r="J241" s="20"/>
      <c r="K241" s="20"/>
      <c r="L241" s="21"/>
      <c r="M241" s="22"/>
      <c r="N241" s="22"/>
      <c r="O241" s="22"/>
      <c r="P241" s="22"/>
      <c r="Q241" s="22"/>
      <c r="R241" s="22"/>
      <c r="S241" s="22"/>
      <c r="T241" s="23"/>
    </row>
    <row r="242">
      <c r="A242" s="16" t="s">
        <v>3931</v>
      </c>
      <c r="B242" s="17" t="s">
        <v>3935</v>
      </c>
      <c r="C242" s="17" t="s">
        <v>170</v>
      </c>
      <c r="D242" s="17" t="str">
        <f>vlookup(C242,'1. 신청자리스트'!J:N,2,false)</f>
        <v>정상</v>
      </c>
      <c r="E242" s="17"/>
      <c r="F242" s="17" t="s">
        <v>170</v>
      </c>
      <c r="G242" s="18">
        <v>35000.0</v>
      </c>
      <c r="H242" s="19" t="s">
        <v>3990</v>
      </c>
      <c r="I242" s="20"/>
      <c r="J242" s="20"/>
      <c r="K242" s="20"/>
      <c r="L242" s="21"/>
      <c r="M242" s="22"/>
      <c r="N242" s="22"/>
      <c r="O242" s="22"/>
      <c r="P242" s="22"/>
      <c r="Q242" s="22"/>
      <c r="R242" s="22"/>
      <c r="S242" s="22"/>
      <c r="T242" s="23"/>
    </row>
    <row r="243">
      <c r="A243" s="16" t="s">
        <v>3942</v>
      </c>
      <c r="B243" s="17" t="s">
        <v>3935</v>
      </c>
      <c r="C243" s="17" t="s">
        <v>670</v>
      </c>
      <c r="D243" s="17" t="str">
        <f>vlookup(C243,'1. 신청자리스트'!J:N,2,false)</f>
        <v>정상</v>
      </c>
      <c r="E243" s="17"/>
      <c r="F243" s="17" t="s">
        <v>670</v>
      </c>
      <c r="G243" s="18">
        <v>70000.0</v>
      </c>
      <c r="H243" s="19" t="s">
        <v>3983</v>
      </c>
      <c r="I243" s="20"/>
      <c r="J243" s="20"/>
      <c r="K243" s="20"/>
      <c r="L243" s="21"/>
      <c r="M243" s="22"/>
      <c r="N243" s="22"/>
      <c r="O243" s="22"/>
      <c r="P243" s="22"/>
      <c r="Q243" s="22"/>
      <c r="R243" s="22"/>
      <c r="S243" s="22"/>
      <c r="T243" s="23"/>
    </row>
    <row r="244">
      <c r="A244" s="16" t="s">
        <v>3989</v>
      </c>
      <c r="B244" s="17" t="s">
        <v>3932</v>
      </c>
      <c r="C244" s="17" t="s">
        <v>671</v>
      </c>
      <c r="D244" s="17" t="str">
        <f>vlookup(C244,'1. 신청자리스트'!J:N,2,false)</f>
        <v>정상</v>
      </c>
      <c r="E244" s="17"/>
      <c r="F244" s="17" t="s">
        <v>671</v>
      </c>
      <c r="G244" s="18">
        <v>70000.0</v>
      </c>
      <c r="H244" s="19" t="s">
        <v>4102</v>
      </c>
      <c r="I244" s="20"/>
      <c r="J244" s="20"/>
      <c r="K244" s="20"/>
      <c r="L244" s="21"/>
      <c r="M244" s="22"/>
      <c r="N244" s="22"/>
      <c r="O244" s="22"/>
      <c r="P244" s="22"/>
      <c r="Q244" s="22"/>
      <c r="R244" s="22"/>
      <c r="S244" s="22"/>
      <c r="T244" s="23"/>
    </row>
    <row r="245">
      <c r="A245" s="16" t="s">
        <v>3931</v>
      </c>
      <c r="B245" s="17" t="s">
        <v>3935</v>
      </c>
      <c r="C245" s="17" t="s">
        <v>171</v>
      </c>
      <c r="D245" s="17" t="str">
        <f>vlookup(C245,'1. 신청자리스트'!J:N,2,false)</f>
        <v>정상</v>
      </c>
      <c r="E245" s="17"/>
      <c r="F245" s="17" t="s">
        <v>171</v>
      </c>
      <c r="G245" s="18">
        <v>35000.0</v>
      </c>
      <c r="H245" s="19" t="s">
        <v>3946</v>
      </c>
      <c r="I245" s="20"/>
      <c r="J245" s="20"/>
      <c r="K245" s="20"/>
      <c r="L245" s="21"/>
      <c r="M245" s="22"/>
      <c r="N245" s="22"/>
      <c r="O245" s="22"/>
      <c r="P245" s="22"/>
      <c r="Q245" s="22"/>
      <c r="R245" s="22"/>
      <c r="S245" s="22"/>
      <c r="T245" s="23"/>
    </row>
    <row r="246">
      <c r="A246" s="16" t="s">
        <v>3940</v>
      </c>
      <c r="B246" s="17" t="s">
        <v>3935</v>
      </c>
      <c r="C246" s="17" t="s">
        <v>172</v>
      </c>
      <c r="D246" s="17" t="str">
        <f>vlookup(C246,'1. 신청자리스트'!J:N,2,false)</f>
        <v>정상</v>
      </c>
      <c r="E246" s="17"/>
      <c r="F246" s="17" t="s">
        <v>172</v>
      </c>
      <c r="G246" s="18">
        <v>35000.0</v>
      </c>
      <c r="H246" s="19" t="s">
        <v>3983</v>
      </c>
      <c r="I246" s="20"/>
      <c r="J246" s="20"/>
      <c r="K246" s="20"/>
      <c r="L246" s="21"/>
      <c r="M246" s="22"/>
      <c r="N246" s="22"/>
      <c r="O246" s="22"/>
      <c r="P246" s="22"/>
      <c r="Q246" s="22"/>
      <c r="R246" s="22"/>
      <c r="S246" s="22"/>
      <c r="T246" s="23"/>
    </row>
    <row r="247">
      <c r="A247" s="16" t="s">
        <v>3945</v>
      </c>
      <c r="B247" s="17" t="s">
        <v>3935</v>
      </c>
      <c r="C247" s="17" t="s">
        <v>672</v>
      </c>
      <c r="D247" s="17" t="str">
        <f>vlookup(C247,'1. 신청자리스트'!J:N,2,false)</f>
        <v>정상</v>
      </c>
      <c r="E247" s="17"/>
      <c r="F247" s="17" t="s">
        <v>672</v>
      </c>
      <c r="G247" s="18">
        <v>70000.0</v>
      </c>
      <c r="H247" s="19" t="s">
        <v>3939</v>
      </c>
      <c r="I247" s="20"/>
      <c r="J247" s="20"/>
      <c r="K247" s="20"/>
      <c r="L247" s="21"/>
      <c r="M247" s="22"/>
      <c r="N247" s="22"/>
      <c r="O247" s="22"/>
      <c r="P247" s="22"/>
      <c r="Q247" s="22"/>
      <c r="R247" s="22"/>
      <c r="S247" s="22"/>
      <c r="T247" s="23"/>
    </row>
    <row r="248">
      <c r="A248" s="16" t="s">
        <v>3945</v>
      </c>
      <c r="B248" s="17" t="s">
        <v>3932</v>
      </c>
      <c r="C248" s="17" t="s">
        <v>673</v>
      </c>
      <c r="D248" s="17" t="str">
        <f>vlookup(C248,'1. 신청자리스트'!J:N,2,false)</f>
        <v>정상</v>
      </c>
      <c r="E248" s="17"/>
      <c r="F248" s="17" t="s">
        <v>673</v>
      </c>
      <c r="G248" s="18">
        <v>70000.0</v>
      </c>
      <c r="H248" s="19" t="s">
        <v>4103</v>
      </c>
      <c r="I248" s="20"/>
      <c r="J248" s="20"/>
      <c r="K248" s="20"/>
      <c r="L248" s="21"/>
      <c r="M248" s="22"/>
      <c r="N248" s="22"/>
      <c r="O248" s="22"/>
      <c r="P248" s="22"/>
      <c r="Q248" s="22"/>
      <c r="R248" s="22"/>
      <c r="S248" s="22"/>
      <c r="T248" s="23"/>
    </row>
    <row r="249">
      <c r="A249" s="16" t="s">
        <v>3989</v>
      </c>
      <c r="B249" s="17" t="s">
        <v>3935</v>
      </c>
      <c r="C249" s="17" t="s">
        <v>173</v>
      </c>
      <c r="D249" s="17" t="str">
        <f>vlookup(C249,'1. 신청자리스트'!J:N,2,false)</f>
        <v>정상</v>
      </c>
      <c r="E249" s="17"/>
      <c r="F249" s="17" t="s">
        <v>173</v>
      </c>
      <c r="G249" s="18">
        <v>35000.0</v>
      </c>
      <c r="H249" s="19" t="s">
        <v>3939</v>
      </c>
      <c r="I249" s="20"/>
      <c r="J249" s="20"/>
      <c r="K249" s="20"/>
      <c r="L249" s="21"/>
      <c r="M249" s="22"/>
      <c r="N249" s="22"/>
      <c r="O249" s="22"/>
      <c r="P249" s="22"/>
      <c r="Q249" s="22"/>
      <c r="R249" s="22"/>
      <c r="S249" s="22"/>
      <c r="T249" s="23"/>
    </row>
    <row r="250">
      <c r="A250" s="16" t="s">
        <v>4104</v>
      </c>
      <c r="B250" s="17" t="s">
        <v>3943</v>
      </c>
      <c r="C250" s="17" t="s">
        <v>174</v>
      </c>
      <c r="D250" s="17" t="str">
        <f>vlookup(C250,'1. 신청자리스트'!J:N,2,false)</f>
        <v>정상</v>
      </c>
      <c r="E250" s="17"/>
      <c r="F250" s="17" t="s">
        <v>174</v>
      </c>
      <c r="G250" s="18">
        <v>35000.0</v>
      </c>
      <c r="H250" s="19" t="s">
        <v>3944</v>
      </c>
      <c r="I250" s="20"/>
      <c r="J250" s="20"/>
      <c r="K250" s="20"/>
      <c r="L250" s="21"/>
      <c r="M250" s="22"/>
      <c r="N250" s="22"/>
      <c r="O250" s="22"/>
      <c r="P250" s="22"/>
      <c r="Q250" s="22"/>
      <c r="R250" s="22"/>
      <c r="S250" s="22"/>
      <c r="T250" s="23"/>
    </row>
    <row r="251">
      <c r="A251" s="16" t="s">
        <v>3989</v>
      </c>
      <c r="B251" s="17" t="s">
        <v>3935</v>
      </c>
      <c r="C251" s="17" t="s">
        <v>175</v>
      </c>
      <c r="D251" s="17" t="str">
        <f>vlookup(C251,'1. 신청자리스트'!J:N,2,false)</f>
        <v>정상</v>
      </c>
      <c r="E251" s="17"/>
      <c r="F251" s="17" t="s">
        <v>175</v>
      </c>
      <c r="G251" s="18">
        <v>35000.0</v>
      </c>
      <c r="H251" s="19" t="s">
        <v>3990</v>
      </c>
      <c r="I251" s="20"/>
      <c r="J251" s="20"/>
      <c r="K251" s="20"/>
      <c r="L251" s="21"/>
      <c r="M251" s="22"/>
      <c r="N251" s="22"/>
      <c r="O251" s="22"/>
      <c r="P251" s="22"/>
      <c r="Q251" s="22"/>
      <c r="R251" s="22"/>
      <c r="S251" s="22"/>
      <c r="T251" s="23"/>
    </row>
    <row r="252">
      <c r="A252" s="16" t="s">
        <v>3945</v>
      </c>
      <c r="B252" s="17" t="s">
        <v>3935</v>
      </c>
      <c r="C252" s="17" t="s">
        <v>176</v>
      </c>
      <c r="D252" s="17" t="str">
        <f>vlookup(C252,'1. 신청자리스트'!J:N,2,false)</f>
        <v>정상</v>
      </c>
      <c r="E252" s="17"/>
      <c r="F252" s="17" t="s">
        <v>176</v>
      </c>
      <c r="G252" s="18">
        <v>35000.0</v>
      </c>
      <c r="H252" s="19" t="s">
        <v>3983</v>
      </c>
      <c r="I252" s="20"/>
      <c r="J252" s="20"/>
      <c r="K252" s="20"/>
      <c r="L252" s="21"/>
      <c r="M252" s="22"/>
      <c r="N252" s="22"/>
      <c r="O252" s="22"/>
      <c r="P252" s="22"/>
      <c r="Q252" s="22"/>
      <c r="R252" s="22"/>
      <c r="S252" s="22"/>
      <c r="T252" s="23"/>
    </row>
    <row r="253">
      <c r="A253" s="16" t="s">
        <v>4018</v>
      </c>
      <c r="B253" s="17" t="s">
        <v>3932</v>
      </c>
      <c r="C253" s="17" t="s">
        <v>177</v>
      </c>
      <c r="D253" s="17" t="str">
        <f>vlookup(C253,'1. 신청자리스트'!J:N,2,false)</f>
        <v>정상</v>
      </c>
      <c r="E253" s="17"/>
      <c r="F253" s="17" t="s">
        <v>177</v>
      </c>
      <c r="G253" s="18">
        <v>35000.0</v>
      </c>
      <c r="H253" s="19" t="s">
        <v>4105</v>
      </c>
      <c r="I253" s="20"/>
      <c r="J253" s="20"/>
      <c r="K253" s="20"/>
      <c r="L253" s="21"/>
      <c r="M253" s="22"/>
      <c r="N253" s="22"/>
      <c r="O253" s="22"/>
      <c r="P253" s="22"/>
      <c r="Q253" s="22"/>
      <c r="R253" s="22"/>
      <c r="S253" s="22"/>
      <c r="T253" s="23"/>
    </row>
    <row r="254">
      <c r="A254" s="16" t="s">
        <v>4002</v>
      </c>
      <c r="B254" s="17" t="s">
        <v>3935</v>
      </c>
      <c r="C254" s="17" t="s">
        <v>178</v>
      </c>
      <c r="D254" s="17" t="str">
        <f>vlookup(C254,'1. 신청자리스트'!J:N,2,false)</f>
        <v>정상</v>
      </c>
      <c r="E254" s="17"/>
      <c r="F254" s="17" t="s">
        <v>178</v>
      </c>
      <c r="G254" s="18">
        <v>35000.0</v>
      </c>
      <c r="H254" s="19" t="s">
        <v>3948</v>
      </c>
      <c r="I254" s="20"/>
      <c r="J254" s="20"/>
      <c r="K254" s="20"/>
      <c r="L254" s="21"/>
      <c r="M254" s="22"/>
      <c r="N254" s="22"/>
      <c r="O254" s="22"/>
      <c r="P254" s="22"/>
      <c r="Q254" s="22"/>
      <c r="R254" s="22"/>
      <c r="S254" s="22"/>
      <c r="T254" s="23"/>
    </row>
    <row r="255">
      <c r="A255" s="16" t="s">
        <v>4106</v>
      </c>
      <c r="B255" s="17" t="s">
        <v>3935</v>
      </c>
      <c r="C255" s="17" t="s">
        <v>179</v>
      </c>
      <c r="D255" s="17" t="str">
        <f>vlookup(C255,'1. 신청자리스트'!J:N,2,false)</f>
        <v>정상</v>
      </c>
      <c r="E255" s="17"/>
      <c r="F255" s="17" t="s">
        <v>179</v>
      </c>
      <c r="G255" s="18">
        <v>35000.0</v>
      </c>
      <c r="H255" s="19" t="s">
        <v>3948</v>
      </c>
      <c r="I255" s="20"/>
      <c r="J255" s="20"/>
      <c r="K255" s="20"/>
      <c r="L255" s="21"/>
      <c r="M255" s="22"/>
      <c r="N255" s="22"/>
      <c r="O255" s="22"/>
      <c r="P255" s="22"/>
      <c r="Q255" s="22"/>
      <c r="R255" s="22"/>
      <c r="S255" s="22"/>
      <c r="T255" s="23"/>
    </row>
    <row r="256">
      <c r="A256" s="16" t="s">
        <v>3945</v>
      </c>
      <c r="B256" s="17" t="s">
        <v>3935</v>
      </c>
      <c r="C256" s="17" t="s">
        <v>180</v>
      </c>
      <c r="D256" s="17" t="str">
        <f>vlookup(C256,'1. 신청자리스트'!J:N,2,false)</f>
        <v>정상</v>
      </c>
      <c r="E256" s="17"/>
      <c r="F256" s="17" t="s">
        <v>4107</v>
      </c>
      <c r="G256" s="18">
        <v>35000.0</v>
      </c>
      <c r="H256" s="19" t="s">
        <v>3946</v>
      </c>
      <c r="I256" s="20"/>
      <c r="J256" s="20"/>
      <c r="K256" s="20"/>
      <c r="L256" s="21"/>
      <c r="M256" s="22"/>
      <c r="N256" s="22"/>
      <c r="O256" s="22"/>
      <c r="P256" s="22"/>
      <c r="Q256" s="22"/>
      <c r="R256" s="22"/>
      <c r="S256" s="22"/>
      <c r="T256" s="23"/>
    </row>
    <row r="257">
      <c r="A257" s="16" t="s">
        <v>3945</v>
      </c>
      <c r="B257" s="17" t="s">
        <v>3935</v>
      </c>
      <c r="C257" s="17" t="s">
        <v>676</v>
      </c>
      <c r="D257" s="17" t="str">
        <f>vlookup(C257,'1. 신청자리스트'!J:N,2,false)</f>
        <v>정상</v>
      </c>
      <c r="E257" s="17"/>
      <c r="F257" s="17" t="s">
        <v>4108</v>
      </c>
      <c r="G257" s="18">
        <v>70000.0</v>
      </c>
      <c r="H257" s="19" t="s">
        <v>3937</v>
      </c>
      <c r="I257" s="20"/>
      <c r="J257" s="20"/>
      <c r="K257" s="20"/>
      <c r="L257" s="21"/>
      <c r="M257" s="22"/>
      <c r="N257" s="22"/>
      <c r="O257" s="22"/>
      <c r="P257" s="22"/>
      <c r="Q257" s="22"/>
      <c r="R257" s="22"/>
      <c r="S257" s="22"/>
      <c r="T257" s="23"/>
    </row>
    <row r="258">
      <c r="A258" s="24" t="s">
        <v>3985</v>
      </c>
      <c r="B258" s="25" t="s">
        <v>3932</v>
      </c>
      <c r="C258" s="25" t="s">
        <v>181</v>
      </c>
      <c r="D258" s="17" t="str">
        <f>vlookup(C258,'1. 신청자리스트'!J:N,2,false)</f>
        <v>정상</v>
      </c>
      <c r="E258" s="25"/>
      <c r="F258" s="25" t="s">
        <v>2289</v>
      </c>
      <c r="G258" s="26">
        <v>35000.0</v>
      </c>
      <c r="H258" s="27" t="s">
        <v>4109</v>
      </c>
      <c r="I258" s="28"/>
      <c r="J258" s="28"/>
      <c r="K258" s="28"/>
      <c r="L258" s="29"/>
      <c r="M258" s="22"/>
      <c r="N258" s="22"/>
      <c r="O258" s="22"/>
      <c r="P258" s="22"/>
      <c r="Q258" s="22"/>
      <c r="R258" s="22"/>
      <c r="S258" s="22"/>
      <c r="T258" s="23"/>
    </row>
    <row r="259">
      <c r="A259" s="16" t="s">
        <v>4002</v>
      </c>
      <c r="B259" s="17" t="s">
        <v>3932</v>
      </c>
      <c r="C259" s="17" t="s">
        <v>182</v>
      </c>
      <c r="D259" s="17" t="str">
        <f>vlookup(C259,'1. 신청자리스트'!J:N,2,false)</f>
        <v>정상</v>
      </c>
      <c r="E259" s="17"/>
      <c r="F259" s="17" t="s">
        <v>182</v>
      </c>
      <c r="G259" s="18">
        <v>35000.0</v>
      </c>
      <c r="H259" s="19" t="s">
        <v>4110</v>
      </c>
      <c r="I259" s="20"/>
      <c r="J259" s="20"/>
      <c r="K259" s="20"/>
      <c r="L259" s="21"/>
      <c r="M259" s="22"/>
      <c r="N259" s="22"/>
      <c r="O259" s="22"/>
      <c r="P259" s="22"/>
      <c r="Q259" s="22"/>
      <c r="R259" s="22"/>
      <c r="S259" s="22"/>
      <c r="T259" s="23"/>
    </row>
    <row r="260">
      <c r="A260" s="16" t="s">
        <v>3989</v>
      </c>
      <c r="B260" s="17" t="s">
        <v>3935</v>
      </c>
      <c r="C260" s="17" t="s">
        <v>183</v>
      </c>
      <c r="D260" s="17" t="str">
        <f>vlookup(C260,'1. 신청자리스트'!J:N,2,false)</f>
        <v>정상</v>
      </c>
      <c r="E260" s="17"/>
      <c r="F260" s="17" t="s">
        <v>183</v>
      </c>
      <c r="G260" s="18">
        <v>35000.0</v>
      </c>
      <c r="H260" s="19" t="s">
        <v>3941</v>
      </c>
      <c r="I260" s="20"/>
      <c r="J260" s="20"/>
      <c r="K260" s="20"/>
      <c r="L260" s="21"/>
      <c r="M260" s="22"/>
      <c r="N260" s="22"/>
      <c r="O260" s="22"/>
      <c r="P260" s="22"/>
      <c r="Q260" s="22"/>
      <c r="R260" s="22"/>
      <c r="S260" s="22"/>
      <c r="T260" s="23"/>
    </row>
    <row r="261">
      <c r="A261" s="16" t="s">
        <v>3945</v>
      </c>
      <c r="B261" s="17" t="s">
        <v>3935</v>
      </c>
      <c r="C261" s="17" t="s">
        <v>184</v>
      </c>
      <c r="D261" s="17" t="str">
        <f>vlookup(C261,'1. 신청자리스트'!J:N,2,false)</f>
        <v>정상</v>
      </c>
      <c r="E261" s="17"/>
      <c r="F261" s="17" t="s">
        <v>184</v>
      </c>
      <c r="G261" s="18">
        <v>35000.0</v>
      </c>
      <c r="H261" s="19" t="s">
        <v>3939</v>
      </c>
      <c r="I261" s="20"/>
      <c r="J261" s="20"/>
      <c r="K261" s="20"/>
      <c r="L261" s="21"/>
      <c r="M261" s="22"/>
      <c r="N261" s="22"/>
      <c r="O261" s="22"/>
      <c r="P261" s="22"/>
      <c r="Q261" s="22"/>
      <c r="R261" s="22"/>
      <c r="S261" s="22"/>
      <c r="T261" s="23"/>
    </row>
    <row r="262">
      <c r="A262" s="16" t="s">
        <v>3942</v>
      </c>
      <c r="B262" s="17" t="s">
        <v>3935</v>
      </c>
      <c r="C262" s="17" t="s">
        <v>185</v>
      </c>
      <c r="D262" s="17" t="str">
        <f>vlookup(C262,'1. 신청자리스트'!J:N,2,false)</f>
        <v>정상</v>
      </c>
      <c r="E262" s="17"/>
      <c r="F262" s="17" t="s">
        <v>185</v>
      </c>
      <c r="G262" s="18">
        <v>35000.0</v>
      </c>
      <c r="H262" s="19" t="s">
        <v>3983</v>
      </c>
      <c r="I262" s="20"/>
      <c r="J262" s="20"/>
      <c r="K262" s="20"/>
      <c r="L262" s="21"/>
      <c r="M262" s="22"/>
      <c r="N262" s="22"/>
      <c r="O262" s="22"/>
      <c r="P262" s="22"/>
      <c r="Q262" s="22"/>
      <c r="R262" s="22"/>
      <c r="S262" s="22"/>
      <c r="T262" s="23"/>
    </row>
    <row r="263">
      <c r="A263" s="30" t="s">
        <v>3938</v>
      </c>
      <c r="B263" s="31" t="s">
        <v>3935</v>
      </c>
      <c r="C263" s="31" t="s">
        <v>4111</v>
      </c>
      <c r="D263" s="17" t="str">
        <f>vlookup(C263,'1. 신청자리스트'!J:N,2,false)</f>
        <v>정상</v>
      </c>
      <c r="E263" s="31"/>
      <c r="F263" s="31" t="s">
        <v>4111</v>
      </c>
      <c r="G263" s="32">
        <v>35000.0</v>
      </c>
      <c r="H263" s="33" t="s">
        <v>3939</v>
      </c>
      <c r="I263" s="34" t="str">
        <f>VLOOKUP(C263, '문의'!D:E, 2, FALSE)</f>
        <v>#N/A</v>
      </c>
      <c r="J263" s="35" t="s">
        <v>3820</v>
      </c>
      <c r="K263" s="34" t="s">
        <v>3957</v>
      </c>
      <c r="L263" s="37" t="s">
        <v>4112</v>
      </c>
      <c r="M263" s="42"/>
      <c r="N263" s="42"/>
      <c r="O263" s="42"/>
      <c r="P263" s="42"/>
      <c r="Q263" s="42"/>
      <c r="R263" s="44"/>
      <c r="S263" s="42"/>
      <c r="T263" s="23"/>
    </row>
    <row r="264">
      <c r="A264" s="16" t="s">
        <v>3940</v>
      </c>
      <c r="B264" s="17" t="s">
        <v>3935</v>
      </c>
      <c r="C264" s="17" t="s">
        <v>186</v>
      </c>
      <c r="D264" s="17" t="str">
        <f>vlookup(C264,'1. 신청자리스트'!J:N,2,false)</f>
        <v>정상</v>
      </c>
      <c r="E264" s="17"/>
      <c r="F264" s="17" t="s">
        <v>186</v>
      </c>
      <c r="G264" s="18">
        <v>35000.0</v>
      </c>
      <c r="H264" s="19" t="s">
        <v>3941</v>
      </c>
      <c r="I264" s="20"/>
      <c r="J264" s="20"/>
      <c r="K264" s="20"/>
      <c r="L264" s="21"/>
      <c r="M264" s="22"/>
      <c r="N264" s="22"/>
      <c r="O264" s="22"/>
      <c r="P264" s="22"/>
      <c r="Q264" s="22"/>
      <c r="R264" s="22"/>
      <c r="S264" s="22"/>
      <c r="T264" s="23"/>
    </row>
    <row r="265">
      <c r="A265" s="16" t="s">
        <v>3940</v>
      </c>
      <c r="B265" s="17" t="s">
        <v>3935</v>
      </c>
      <c r="C265" s="17" t="s">
        <v>187</v>
      </c>
      <c r="D265" s="17" t="str">
        <f>vlookup(C265,'1. 신청자리스트'!J:N,2,false)</f>
        <v>정상</v>
      </c>
      <c r="E265" s="17"/>
      <c r="F265" s="17" t="s">
        <v>187</v>
      </c>
      <c r="G265" s="18">
        <v>35000.0</v>
      </c>
      <c r="H265" s="19" t="s">
        <v>3948</v>
      </c>
      <c r="I265" s="20"/>
      <c r="J265" s="20"/>
      <c r="K265" s="20"/>
      <c r="L265" s="21"/>
      <c r="M265" s="22"/>
      <c r="N265" s="22"/>
      <c r="O265" s="22"/>
      <c r="P265" s="22"/>
      <c r="Q265" s="22"/>
      <c r="R265" s="22"/>
      <c r="S265" s="22"/>
      <c r="T265" s="23"/>
    </row>
    <row r="266">
      <c r="A266" s="24" t="s">
        <v>3931</v>
      </c>
      <c r="B266" s="25" t="s">
        <v>3935</v>
      </c>
      <c r="C266" s="25" t="s">
        <v>677</v>
      </c>
      <c r="D266" s="17" t="str">
        <f>vlookup(C266,'1. 신청자리스트'!J:N,2,false)</f>
        <v>정상</v>
      </c>
      <c r="E266" s="25"/>
      <c r="F266" s="25" t="s">
        <v>2467</v>
      </c>
      <c r="G266" s="26">
        <v>70000.0</v>
      </c>
      <c r="H266" s="27" t="s">
        <v>3948</v>
      </c>
      <c r="I266" s="28"/>
      <c r="J266" s="28"/>
      <c r="K266" s="28"/>
      <c r="L266" s="29"/>
      <c r="M266" s="22"/>
      <c r="N266" s="22"/>
      <c r="O266" s="22"/>
      <c r="P266" s="22"/>
      <c r="Q266" s="22"/>
      <c r="R266" s="22"/>
      <c r="S266" s="22"/>
      <c r="T266" s="41"/>
    </row>
    <row r="267">
      <c r="A267" s="16" t="s">
        <v>3989</v>
      </c>
      <c r="B267" s="17" t="s">
        <v>3935</v>
      </c>
      <c r="C267" s="17" t="s">
        <v>188</v>
      </c>
      <c r="D267" s="17" t="str">
        <f>vlookup(C267,'1. 신청자리스트'!J:N,2,false)</f>
        <v>정상</v>
      </c>
      <c r="E267" s="17"/>
      <c r="F267" s="17" t="s">
        <v>188</v>
      </c>
      <c r="G267" s="18">
        <v>35000.0</v>
      </c>
      <c r="H267" s="19" t="s">
        <v>4006</v>
      </c>
      <c r="I267" s="20"/>
      <c r="J267" s="20"/>
      <c r="K267" s="20"/>
      <c r="L267" s="21"/>
      <c r="M267" s="22"/>
      <c r="N267" s="22"/>
      <c r="O267" s="22"/>
      <c r="P267" s="22"/>
      <c r="Q267" s="22"/>
      <c r="R267" s="22"/>
      <c r="S267" s="22"/>
      <c r="T267" s="23"/>
    </row>
    <row r="268">
      <c r="A268" s="24" t="s">
        <v>3945</v>
      </c>
      <c r="B268" s="25" t="s">
        <v>3935</v>
      </c>
      <c r="C268" s="25" t="s">
        <v>678</v>
      </c>
      <c r="D268" s="17" t="str">
        <f>vlookup(C268,'1. 신청자리스트'!J:N,2,false)</f>
        <v>정상</v>
      </c>
      <c r="E268" s="25"/>
      <c r="F268" s="25" t="s">
        <v>1735</v>
      </c>
      <c r="G268" s="26">
        <v>70000.0</v>
      </c>
      <c r="H268" s="27" t="s">
        <v>3946</v>
      </c>
      <c r="I268" s="28"/>
      <c r="J268" s="28"/>
      <c r="K268" s="28"/>
      <c r="L268" s="29"/>
      <c r="M268" s="22"/>
      <c r="N268" s="22"/>
      <c r="O268" s="22"/>
      <c r="P268" s="22"/>
      <c r="Q268" s="22"/>
      <c r="R268" s="22"/>
      <c r="S268" s="22"/>
      <c r="T268" s="23"/>
    </row>
    <row r="269">
      <c r="A269" s="16" t="s">
        <v>3984</v>
      </c>
      <c r="B269" s="17" t="s">
        <v>3935</v>
      </c>
      <c r="C269" s="17" t="s">
        <v>189</v>
      </c>
      <c r="D269" s="17" t="str">
        <f>vlookup(C269,'1. 신청자리스트'!J:N,2,false)</f>
        <v>정상</v>
      </c>
      <c r="E269" s="17"/>
      <c r="F269" s="17" t="s">
        <v>189</v>
      </c>
      <c r="G269" s="18">
        <v>35000.0</v>
      </c>
      <c r="H269" s="19" t="s">
        <v>3946</v>
      </c>
      <c r="I269" s="20"/>
      <c r="J269" s="20"/>
      <c r="K269" s="20"/>
      <c r="L269" s="21"/>
      <c r="M269" s="22"/>
      <c r="N269" s="22"/>
      <c r="O269" s="22"/>
      <c r="P269" s="22"/>
      <c r="Q269" s="22"/>
      <c r="R269" s="22"/>
      <c r="S269" s="22"/>
      <c r="T269" s="23"/>
    </row>
    <row r="270">
      <c r="A270" s="16" t="s">
        <v>4071</v>
      </c>
      <c r="B270" s="17" t="s">
        <v>3935</v>
      </c>
      <c r="C270" s="17" t="s">
        <v>190</v>
      </c>
      <c r="D270" s="17" t="str">
        <f>vlookup(C270,'1. 신청자리스트'!J:N,2,false)</f>
        <v>정상</v>
      </c>
      <c r="E270" s="17"/>
      <c r="F270" s="17" t="s">
        <v>190</v>
      </c>
      <c r="G270" s="18">
        <v>35000.0</v>
      </c>
      <c r="H270" s="19" t="s">
        <v>3941</v>
      </c>
      <c r="I270" s="20"/>
      <c r="J270" s="20"/>
      <c r="K270" s="20"/>
      <c r="L270" s="21"/>
      <c r="M270" s="22"/>
      <c r="N270" s="22"/>
      <c r="O270" s="22"/>
      <c r="P270" s="22"/>
      <c r="Q270" s="22"/>
      <c r="R270" s="22"/>
      <c r="S270" s="22"/>
      <c r="T270" s="23"/>
    </row>
    <row r="271">
      <c r="A271" s="16" t="s">
        <v>3942</v>
      </c>
      <c r="B271" s="17" t="s">
        <v>3935</v>
      </c>
      <c r="C271" s="17" t="s">
        <v>679</v>
      </c>
      <c r="D271" s="17" t="str">
        <f>vlookup(C271,'1. 신청자리스트'!J:N,2,false)</f>
        <v>정상</v>
      </c>
      <c r="E271" s="17"/>
      <c r="F271" s="17" t="s">
        <v>679</v>
      </c>
      <c r="G271" s="18">
        <v>70000.0</v>
      </c>
      <c r="H271" s="19" t="s">
        <v>3948</v>
      </c>
      <c r="I271" s="20"/>
      <c r="J271" s="20"/>
      <c r="K271" s="20"/>
      <c r="L271" s="21"/>
      <c r="M271" s="22"/>
      <c r="N271" s="22"/>
      <c r="O271" s="22"/>
      <c r="P271" s="22"/>
      <c r="Q271" s="22"/>
      <c r="R271" s="22"/>
      <c r="S271" s="22"/>
      <c r="T271" s="23"/>
    </row>
    <row r="272">
      <c r="A272" s="16" t="s">
        <v>3942</v>
      </c>
      <c r="B272" s="17" t="s">
        <v>3932</v>
      </c>
      <c r="C272" s="17" t="s">
        <v>191</v>
      </c>
      <c r="D272" s="17" t="str">
        <f>vlookup(C272,'1. 신청자리스트'!J:N,2,false)</f>
        <v>정상</v>
      </c>
      <c r="E272" s="17"/>
      <c r="F272" s="17" t="s">
        <v>191</v>
      </c>
      <c r="G272" s="18">
        <v>35000.0</v>
      </c>
      <c r="H272" s="19" t="s">
        <v>4046</v>
      </c>
      <c r="I272" s="20"/>
      <c r="J272" s="20"/>
      <c r="K272" s="20"/>
      <c r="L272" s="21"/>
      <c r="M272" s="22"/>
      <c r="N272" s="22"/>
      <c r="O272" s="22"/>
      <c r="P272" s="22"/>
      <c r="Q272" s="22"/>
      <c r="R272" s="22"/>
      <c r="S272" s="22"/>
      <c r="T272" s="23"/>
    </row>
    <row r="273">
      <c r="A273" s="16" t="s">
        <v>3942</v>
      </c>
      <c r="B273" s="17" t="s">
        <v>3935</v>
      </c>
      <c r="C273" s="17" t="s">
        <v>680</v>
      </c>
      <c r="D273" s="17" t="str">
        <f>vlookup(C273,'1. 신청자리스트'!J:N,2,false)</f>
        <v>정상</v>
      </c>
      <c r="E273" s="17"/>
      <c r="F273" s="17" t="s">
        <v>680</v>
      </c>
      <c r="G273" s="18">
        <v>70000.0</v>
      </c>
      <c r="H273" s="19" t="s">
        <v>3952</v>
      </c>
      <c r="I273" s="20"/>
      <c r="J273" s="20"/>
      <c r="K273" s="20"/>
      <c r="L273" s="21"/>
      <c r="M273" s="22"/>
      <c r="N273" s="22"/>
      <c r="O273" s="22"/>
      <c r="P273" s="22"/>
      <c r="Q273" s="22"/>
      <c r="R273" s="22"/>
      <c r="S273" s="22"/>
      <c r="T273" s="23"/>
    </row>
    <row r="274">
      <c r="A274" s="16" t="s">
        <v>3942</v>
      </c>
      <c r="B274" s="17" t="s">
        <v>3943</v>
      </c>
      <c r="C274" s="17" t="s">
        <v>681</v>
      </c>
      <c r="D274" s="17" t="str">
        <f>vlookup(C274,'1. 신청자리스트'!J:N,2,false)</f>
        <v>정상</v>
      </c>
      <c r="E274" s="17"/>
      <c r="F274" s="17" t="s">
        <v>681</v>
      </c>
      <c r="G274" s="18">
        <v>70000.0</v>
      </c>
      <c r="H274" s="19" t="s">
        <v>3944</v>
      </c>
      <c r="I274" s="20"/>
      <c r="J274" s="20"/>
      <c r="K274" s="20"/>
      <c r="L274" s="21"/>
      <c r="M274" s="22"/>
      <c r="N274" s="22"/>
      <c r="O274" s="22"/>
      <c r="P274" s="22"/>
      <c r="Q274" s="22"/>
      <c r="R274" s="22"/>
      <c r="S274" s="22"/>
      <c r="T274" s="23"/>
    </row>
    <row r="275">
      <c r="A275" s="24" t="s">
        <v>3989</v>
      </c>
      <c r="B275" s="25" t="s">
        <v>3935</v>
      </c>
      <c r="C275" s="25" t="s">
        <v>192</v>
      </c>
      <c r="D275" s="17" t="str">
        <f>vlookup(C275,'1. 신청자리스트'!J:N,2,false)</f>
        <v>정상</v>
      </c>
      <c r="E275" s="25"/>
      <c r="F275" s="25" t="s">
        <v>1363</v>
      </c>
      <c r="G275" s="26">
        <v>35000.0</v>
      </c>
      <c r="H275" s="27" t="s">
        <v>3968</v>
      </c>
      <c r="I275" s="28"/>
      <c r="J275" s="28"/>
      <c r="K275" s="28"/>
      <c r="L275" s="29"/>
      <c r="M275" s="22"/>
      <c r="N275" s="22"/>
      <c r="O275" s="22"/>
      <c r="P275" s="22"/>
      <c r="Q275" s="22"/>
      <c r="R275" s="22"/>
      <c r="S275" s="22"/>
      <c r="T275" s="23"/>
    </row>
    <row r="276">
      <c r="A276" s="24" t="s">
        <v>3931</v>
      </c>
      <c r="B276" s="25" t="s">
        <v>3935</v>
      </c>
      <c r="C276" s="25" t="s">
        <v>682</v>
      </c>
      <c r="D276" s="17" t="str">
        <f>vlookup(C276,'1. 신청자리스트'!J:N,2,false)</f>
        <v>정상</v>
      </c>
      <c r="E276" s="25"/>
      <c r="F276" s="25" t="s">
        <v>2682</v>
      </c>
      <c r="G276" s="26">
        <v>70000.0</v>
      </c>
      <c r="H276" s="27" t="s">
        <v>3948</v>
      </c>
      <c r="I276" s="28"/>
      <c r="J276" s="28"/>
      <c r="K276" s="28"/>
      <c r="L276" s="29"/>
      <c r="M276" s="22"/>
      <c r="N276" s="22"/>
      <c r="O276" s="22"/>
      <c r="P276" s="22"/>
      <c r="Q276" s="22"/>
      <c r="R276" s="22"/>
      <c r="S276" s="22"/>
      <c r="T276" s="23"/>
    </row>
    <row r="277">
      <c r="A277" s="16" t="s">
        <v>3940</v>
      </c>
      <c r="B277" s="17" t="s">
        <v>3935</v>
      </c>
      <c r="C277" s="17" t="s">
        <v>683</v>
      </c>
      <c r="D277" s="17" t="str">
        <f>vlookup(C277,'1. 신청자리스트'!J:N,2,false)</f>
        <v>정상</v>
      </c>
      <c r="E277" s="17"/>
      <c r="F277" s="17" t="s">
        <v>4113</v>
      </c>
      <c r="G277" s="18">
        <v>70000.0</v>
      </c>
      <c r="H277" s="19" t="s">
        <v>3946</v>
      </c>
      <c r="I277" s="20"/>
      <c r="J277" s="20"/>
      <c r="K277" s="20"/>
      <c r="L277" s="21"/>
      <c r="M277" s="22"/>
      <c r="N277" s="22"/>
      <c r="O277" s="22"/>
      <c r="P277" s="22"/>
      <c r="Q277" s="22"/>
      <c r="R277" s="22"/>
      <c r="S277" s="22"/>
      <c r="T277" s="23"/>
    </row>
    <row r="278">
      <c r="A278" s="16" t="s">
        <v>3942</v>
      </c>
      <c r="B278" s="17" t="s">
        <v>3935</v>
      </c>
      <c r="C278" s="17" t="s">
        <v>684</v>
      </c>
      <c r="D278" s="17" t="str">
        <f>vlookup(C278,'1. 신청자리스트'!J:N,2,false)</f>
        <v>정상</v>
      </c>
      <c r="E278" s="17"/>
      <c r="F278" s="17" t="s">
        <v>684</v>
      </c>
      <c r="G278" s="18">
        <v>70000.0</v>
      </c>
      <c r="H278" s="19" t="s">
        <v>3983</v>
      </c>
      <c r="I278" s="20"/>
      <c r="J278" s="20"/>
      <c r="K278" s="20"/>
      <c r="L278" s="21"/>
      <c r="M278" s="22"/>
      <c r="N278" s="22"/>
      <c r="O278" s="22"/>
      <c r="P278" s="22"/>
      <c r="Q278" s="22"/>
      <c r="R278" s="22"/>
      <c r="S278" s="22"/>
      <c r="T278" s="23"/>
    </row>
    <row r="279">
      <c r="A279" s="24" t="s">
        <v>4002</v>
      </c>
      <c r="B279" s="25" t="s">
        <v>3935</v>
      </c>
      <c r="C279" s="25" t="s">
        <v>194</v>
      </c>
      <c r="D279" s="17" t="str">
        <f>vlookup(C279,'1. 신청자리스트'!J:N,2,false)</f>
        <v>정상</v>
      </c>
      <c r="E279" s="25"/>
      <c r="F279" s="25" t="s">
        <v>3235</v>
      </c>
      <c r="G279" s="26">
        <v>35000.0</v>
      </c>
      <c r="H279" s="27" t="s">
        <v>3948</v>
      </c>
      <c r="I279" s="28"/>
      <c r="J279" s="28"/>
      <c r="K279" s="28"/>
      <c r="L279" s="29"/>
      <c r="M279" s="22"/>
      <c r="N279" s="22"/>
      <c r="O279" s="22"/>
      <c r="P279" s="25" t="s">
        <v>4114</v>
      </c>
      <c r="Q279" s="22"/>
      <c r="R279" s="22"/>
      <c r="S279" s="22"/>
      <c r="T279" s="23"/>
    </row>
    <row r="280">
      <c r="A280" s="16" t="s">
        <v>3945</v>
      </c>
      <c r="B280" s="17" t="s">
        <v>3932</v>
      </c>
      <c r="C280" s="17" t="s">
        <v>195</v>
      </c>
      <c r="D280" s="17" t="str">
        <f>vlookup(C280,'1. 신청자리스트'!J:N,2,false)</f>
        <v>정상</v>
      </c>
      <c r="E280" s="17"/>
      <c r="F280" s="17" t="s">
        <v>195</v>
      </c>
      <c r="G280" s="18">
        <v>35000.0</v>
      </c>
      <c r="H280" s="19" t="s">
        <v>4048</v>
      </c>
      <c r="I280" s="20"/>
      <c r="J280" s="20"/>
      <c r="K280" s="20"/>
      <c r="L280" s="21"/>
      <c r="M280" s="22"/>
      <c r="N280" s="22"/>
      <c r="O280" s="22"/>
      <c r="P280" s="22"/>
      <c r="Q280" s="22"/>
      <c r="R280" s="22"/>
      <c r="S280" s="22"/>
      <c r="T280" s="23"/>
    </row>
    <row r="281">
      <c r="A281" s="16" t="s">
        <v>3940</v>
      </c>
      <c r="B281" s="17" t="s">
        <v>3935</v>
      </c>
      <c r="C281" s="17" t="s">
        <v>196</v>
      </c>
      <c r="D281" s="17" t="str">
        <f>vlookup(C281,'1. 신청자리스트'!J:N,2,false)</f>
        <v>정상</v>
      </c>
      <c r="E281" s="17"/>
      <c r="F281" s="17" t="s">
        <v>196</v>
      </c>
      <c r="G281" s="18">
        <v>35000.0</v>
      </c>
      <c r="H281" s="19" t="s">
        <v>3948</v>
      </c>
      <c r="I281" s="20"/>
      <c r="J281" s="20"/>
      <c r="K281" s="20"/>
      <c r="L281" s="21"/>
      <c r="M281" s="22"/>
      <c r="N281" s="22"/>
      <c r="O281" s="22"/>
      <c r="P281" s="22"/>
      <c r="Q281" s="22"/>
      <c r="R281" s="22"/>
      <c r="S281" s="22"/>
      <c r="T281" s="23"/>
    </row>
    <row r="282">
      <c r="A282" s="24" t="s">
        <v>3985</v>
      </c>
      <c r="B282" s="25" t="s">
        <v>3935</v>
      </c>
      <c r="C282" s="25" t="s">
        <v>197</v>
      </c>
      <c r="D282" s="17" t="str">
        <f>vlookup(C282,'1. 신청자리스트'!J:N,2,false)</f>
        <v>정상</v>
      </c>
      <c r="E282" s="25"/>
      <c r="F282" s="25" t="s">
        <v>3241</v>
      </c>
      <c r="G282" s="26">
        <v>35000.0</v>
      </c>
      <c r="H282" s="27" t="s">
        <v>3968</v>
      </c>
      <c r="I282" s="28"/>
      <c r="J282" s="28"/>
      <c r="K282" s="28"/>
      <c r="L282" s="29"/>
      <c r="M282" s="22"/>
      <c r="N282" s="22"/>
      <c r="O282" s="22"/>
      <c r="P282" s="22"/>
      <c r="Q282" s="22"/>
      <c r="R282" s="22"/>
      <c r="S282" s="22"/>
      <c r="T282" s="23"/>
    </row>
    <row r="283">
      <c r="A283" s="16" t="s">
        <v>3942</v>
      </c>
      <c r="B283" s="17" t="s">
        <v>3935</v>
      </c>
      <c r="C283" s="17" t="s">
        <v>198</v>
      </c>
      <c r="D283" s="17" t="str">
        <f>vlookup(C283,'1. 신청자리스트'!J:N,2,false)</f>
        <v>정상</v>
      </c>
      <c r="E283" s="17"/>
      <c r="F283" s="17" t="s">
        <v>198</v>
      </c>
      <c r="G283" s="18">
        <v>35000.0</v>
      </c>
      <c r="H283" s="19" t="s">
        <v>3939</v>
      </c>
      <c r="I283" s="20"/>
      <c r="J283" s="20"/>
      <c r="K283" s="20"/>
      <c r="L283" s="21"/>
      <c r="M283" s="22"/>
      <c r="N283" s="22"/>
      <c r="O283" s="22"/>
      <c r="P283" s="22"/>
      <c r="Q283" s="22"/>
      <c r="R283" s="22"/>
      <c r="S283" s="22"/>
      <c r="T283" s="23"/>
    </row>
    <row r="284">
      <c r="A284" s="16" t="s">
        <v>3942</v>
      </c>
      <c r="B284" s="17" t="s">
        <v>3935</v>
      </c>
      <c r="C284" s="17" t="s">
        <v>685</v>
      </c>
      <c r="D284" s="17" t="str">
        <f>vlookup(C284,'1. 신청자리스트'!J:N,2,false)</f>
        <v>정상</v>
      </c>
      <c r="E284" s="17"/>
      <c r="F284" s="17" t="s">
        <v>4115</v>
      </c>
      <c r="G284" s="18">
        <v>70000.0</v>
      </c>
      <c r="H284" s="19" t="s">
        <v>3946</v>
      </c>
      <c r="I284" s="20"/>
      <c r="J284" s="20"/>
      <c r="K284" s="20"/>
      <c r="L284" s="21"/>
      <c r="M284" s="22"/>
      <c r="N284" s="22"/>
      <c r="O284" s="22"/>
      <c r="P284" s="22"/>
      <c r="Q284" s="22"/>
      <c r="R284" s="22"/>
      <c r="S284" s="22"/>
      <c r="T284" s="23"/>
    </row>
    <row r="285">
      <c r="A285" s="16" t="s">
        <v>3942</v>
      </c>
      <c r="B285" s="17" t="s">
        <v>3935</v>
      </c>
      <c r="C285" s="17" t="s">
        <v>686</v>
      </c>
      <c r="D285" s="17" t="str">
        <f>vlookup(C285,'1. 신청자리스트'!J:N,2,false)</f>
        <v>정상</v>
      </c>
      <c r="E285" s="17"/>
      <c r="F285" s="17" t="s">
        <v>686</v>
      </c>
      <c r="G285" s="18">
        <v>70000.0</v>
      </c>
      <c r="H285" s="19" t="s">
        <v>3983</v>
      </c>
      <c r="I285" s="20"/>
      <c r="J285" s="20"/>
      <c r="K285" s="20"/>
      <c r="L285" s="21"/>
      <c r="M285" s="22"/>
      <c r="N285" s="22"/>
      <c r="O285" s="22"/>
      <c r="P285" s="22"/>
      <c r="Q285" s="22"/>
      <c r="R285" s="22"/>
      <c r="S285" s="22"/>
      <c r="T285" s="23"/>
    </row>
    <row r="286">
      <c r="A286" s="16" t="s">
        <v>3945</v>
      </c>
      <c r="B286" s="17" t="s">
        <v>3932</v>
      </c>
      <c r="C286" s="17" t="s">
        <v>687</v>
      </c>
      <c r="D286" s="17" t="str">
        <f>vlookup(C286,'1. 신청자리스트'!J:N,2,false)</f>
        <v>정상</v>
      </c>
      <c r="E286" s="17"/>
      <c r="F286" s="17" t="s">
        <v>687</v>
      </c>
      <c r="G286" s="18">
        <v>70000.0</v>
      </c>
      <c r="H286" s="19" t="s">
        <v>4116</v>
      </c>
      <c r="I286" s="20"/>
      <c r="J286" s="20"/>
      <c r="K286" s="20"/>
      <c r="L286" s="21"/>
      <c r="M286" s="22"/>
      <c r="N286" s="22"/>
      <c r="O286" s="22"/>
      <c r="P286" s="22"/>
      <c r="Q286" s="22"/>
      <c r="R286" s="22"/>
      <c r="S286" s="22"/>
      <c r="T286" s="23"/>
    </row>
    <row r="287">
      <c r="A287" s="16" t="s">
        <v>3962</v>
      </c>
      <c r="B287" s="17" t="s">
        <v>3935</v>
      </c>
      <c r="C287" s="17" t="s">
        <v>688</v>
      </c>
      <c r="D287" s="17" t="str">
        <f>vlookup(C287,'1. 신청자리스트'!J:N,2,false)</f>
        <v>정상</v>
      </c>
      <c r="E287" s="17"/>
      <c r="F287" s="17" t="s">
        <v>688</v>
      </c>
      <c r="G287" s="18">
        <v>70000.0</v>
      </c>
      <c r="H287" s="19" t="s">
        <v>3948</v>
      </c>
      <c r="I287" s="20"/>
      <c r="J287" s="20"/>
      <c r="K287" s="20"/>
      <c r="L287" s="21"/>
      <c r="M287" s="22"/>
      <c r="N287" s="22"/>
      <c r="O287" s="22"/>
      <c r="P287" s="22"/>
      <c r="Q287" s="22"/>
      <c r="R287" s="22"/>
      <c r="S287" s="22"/>
      <c r="T287" s="23"/>
    </row>
    <row r="288">
      <c r="A288" s="16" t="s">
        <v>3940</v>
      </c>
      <c r="B288" s="17" t="s">
        <v>3932</v>
      </c>
      <c r="C288" s="17" t="s">
        <v>199</v>
      </c>
      <c r="D288" s="17" t="str">
        <f>vlookup(C288,'1. 신청자리스트'!J:N,2,false)</f>
        <v>정상</v>
      </c>
      <c r="E288" s="17"/>
      <c r="F288" s="17" t="s">
        <v>199</v>
      </c>
      <c r="G288" s="18">
        <v>35000.0</v>
      </c>
      <c r="H288" s="19" t="s">
        <v>4117</v>
      </c>
      <c r="I288" s="20"/>
      <c r="J288" s="20"/>
      <c r="K288" s="20"/>
      <c r="L288" s="21"/>
      <c r="M288" s="22"/>
      <c r="N288" s="22"/>
      <c r="O288" s="22"/>
      <c r="P288" s="22"/>
      <c r="Q288" s="22"/>
      <c r="R288" s="22"/>
      <c r="S288" s="22"/>
      <c r="T288" s="23"/>
    </row>
    <row r="289">
      <c r="A289" s="24" t="s">
        <v>3942</v>
      </c>
      <c r="B289" s="25" t="s">
        <v>3932</v>
      </c>
      <c r="C289" s="25" t="s">
        <v>200</v>
      </c>
      <c r="D289" s="17" t="str">
        <f>vlookup(C289,'1. 신청자리스트'!J:N,2,false)</f>
        <v>정상</v>
      </c>
      <c r="E289" s="25"/>
      <c r="F289" s="25" t="s">
        <v>3247</v>
      </c>
      <c r="G289" s="26">
        <v>35000.0</v>
      </c>
      <c r="H289" s="27" t="s">
        <v>4118</v>
      </c>
      <c r="I289" s="28"/>
      <c r="J289" s="28"/>
      <c r="K289" s="28"/>
      <c r="L289" s="29"/>
      <c r="M289" s="22"/>
      <c r="N289" s="22"/>
      <c r="O289" s="22"/>
      <c r="P289" s="22"/>
      <c r="Q289" s="22"/>
      <c r="R289" s="22"/>
      <c r="S289" s="22"/>
      <c r="T289" s="23"/>
    </row>
    <row r="290">
      <c r="A290" s="16" t="s">
        <v>3940</v>
      </c>
      <c r="B290" s="17" t="s">
        <v>3935</v>
      </c>
      <c r="C290" s="17" t="s">
        <v>201</v>
      </c>
      <c r="D290" s="17" t="str">
        <f>vlookup(C290,'1. 신청자리스트'!J:N,2,false)</f>
        <v>정상</v>
      </c>
      <c r="E290" s="17"/>
      <c r="F290" s="17" t="s">
        <v>201</v>
      </c>
      <c r="G290" s="18">
        <v>35000.0</v>
      </c>
      <c r="H290" s="19" t="s">
        <v>4041</v>
      </c>
      <c r="I290" s="20"/>
      <c r="J290" s="20"/>
      <c r="K290" s="20"/>
      <c r="L290" s="21"/>
      <c r="M290" s="22"/>
      <c r="N290" s="22"/>
      <c r="O290" s="22"/>
      <c r="P290" s="22"/>
      <c r="Q290" s="22"/>
      <c r="R290" s="22"/>
      <c r="S290" s="22"/>
      <c r="T290" s="23"/>
    </row>
    <row r="291">
      <c r="A291" s="16" t="s">
        <v>3940</v>
      </c>
      <c r="B291" s="17" t="s">
        <v>3935</v>
      </c>
      <c r="C291" s="17" t="s">
        <v>202</v>
      </c>
      <c r="D291" s="17" t="str">
        <f>vlookup(C291,'1. 신청자리스트'!J:N,2,false)</f>
        <v>정상</v>
      </c>
      <c r="E291" s="17"/>
      <c r="F291" s="17" t="s">
        <v>202</v>
      </c>
      <c r="G291" s="18">
        <v>35000.0</v>
      </c>
      <c r="H291" s="19" t="s">
        <v>3983</v>
      </c>
      <c r="I291" s="20"/>
      <c r="J291" s="20"/>
      <c r="K291" s="20"/>
      <c r="L291" s="21"/>
      <c r="M291" s="22"/>
      <c r="N291" s="22"/>
      <c r="O291" s="22"/>
      <c r="P291" s="22"/>
      <c r="Q291" s="22"/>
      <c r="R291" s="22"/>
      <c r="S291" s="22"/>
      <c r="T291" s="23"/>
    </row>
    <row r="292">
      <c r="A292" s="16" t="s">
        <v>3955</v>
      </c>
      <c r="B292" s="17" t="s">
        <v>3935</v>
      </c>
      <c r="C292" s="17" t="s">
        <v>203</v>
      </c>
      <c r="D292" s="17" t="str">
        <f>vlookup(C292,'1. 신청자리스트'!J:N,2,false)</f>
        <v>정상</v>
      </c>
      <c r="E292" s="17"/>
      <c r="F292" s="17" t="s">
        <v>203</v>
      </c>
      <c r="G292" s="18">
        <v>35000.0</v>
      </c>
      <c r="H292" s="19" t="s">
        <v>3948</v>
      </c>
      <c r="I292" s="20"/>
      <c r="J292" s="20"/>
      <c r="K292" s="20"/>
      <c r="L292" s="21"/>
      <c r="M292" s="22"/>
      <c r="N292" s="22"/>
      <c r="O292" s="22"/>
      <c r="P292" s="22"/>
      <c r="Q292" s="22"/>
      <c r="R292" s="22"/>
      <c r="S292" s="22"/>
      <c r="T292" s="23"/>
    </row>
    <row r="293">
      <c r="A293" s="16" t="s">
        <v>3942</v>
      </c>
      <c r="B293" s="17" t="s">
        <v>3932</v>
      </c>
      <c r="C293" s="17" t="s">
        <v>204</v>
      </c>
      <c r="D293" s="17" t="str">
        <f>vlookup(C293,'1. 신청자리스트'!J:N,2,false)</f>
        <v>정상</v>
      </c>
      <c r="E293" s="17"/>
      <c r="F293" s="17" t="s">
        <v>204</v>
      </c>
      <c r="G293" s="18">
        <v>35000.0</v>
      </c>
      <c r="H293" s="19" t="s">
        <v>4047</v>
      </c>
      <c r="I293" s="20"/>
      <c r="J293" s="20"/>
      <c r="K293" s="20"/>
      <c r="L293" s="21"/>
      <c r="M293" s="22"/>
      <c r="N293" s="22"/>
      <c r="O293" s="22"/>
      <c r="P293" s="22"/>
      <c r="Q293" s="22"/>
      <c r="R293" s="22"/>
      <c r="S293" s="22"/>
      <c r="T293" s="23"/>
    </row>
    <row r="294">
      <c r="A294" s="16" t="s">
        <v>3945</v>
      </c>
      <c r="B294" s="17" t="s">
        <v>3935</v>
      </c>
      <c r="C294" s="17" t="s">
        <v>205</v>
      </c>
      <c r="D294" s="17" t="str">
        <f>vlookup(C294,'1. 신청자리스트'!J:N,2,false)</f>
        <v>정상</v>
      </c>
      <c r="E294" s="17"/>
      <c r="F294" s="17" t="s">
        <v>205</v>
      </c>
      <c r="G294" s="18">
        <v>35000.0</v>
      </c>
      <c r="H294" s="19" t="s">
        <v>3948</v>
      </c>
      <c r="I294" s="20"/>
      <c r="J294" s="20"/>
      <c r="K294" s="20"/>
      <c r="L294" s="21"/>
      <c r="M294" s="22"/>
      <c r="N294" s="22"/>
      <c r="O294" s="22"/>
      <c r="P294" s="22"/>
      <c r="Q294" s="22"/>
      <c r="R294" s="22"/>
      <c r="S294" s="22"/>
      <c r="T294" s="23"/>
    </row>
    <row r="295">
      <c r="A295" s="24" t="s">
        <v>3931</v>
      </c>
      <c r="B295" s="25" t="s">
        <v>3935</v>
      </c>
      <c r="C295" s="25" t="s">
        <v>690</v>
      </c>
      <c r="D295" s="17" t="str">
        <f>vlookup(C295,'1. 신청자리스트'!J:N,2,false)</f>
        <v>정상</v>
      </c>
      <c r="E295" s="25"/>
      <c r="F295" s="25" t="s">
        <v>2212</v>
      </c>
      <c r="G295" s="26">
        <v>70000.0</v>
      </c>
      <c r="H295" s="27" t="s">
        <v>3990</v>
      </c>
      <c r="I295" s="28"/>
      <c r="J295" s="28"/>
      <c r="K295" s="28"/>
      <c r="L295" s="29"/>
      <c r="M295" s="22"/>
      <c r="N295" s="22"/>
      <c r="O295" s="22"/>
      <c r="P295" s="22"/>
      <c r="Q295" s="22"/>
      <c r="R295" s="22"/>
      <c r="S295" s="22"/>
      <c r="T295" s="23"/>
    </row>
    <row r="296">
      <c r="A296" s="16" t="s">
        <v>3955</v>
      </c>
      <c r="B296" s="17" t="s">
        <v>3932</v>
      </c>
      <c r="C296" s="17" t="s">
        <v>691</v>
      </c>
      <c r="D296" s="17" t="str">
        <f>vlookup(C296,'1. 신청자리스트'!J:N,2,false)</f>
        <v>정상</v>
      </c>
      <c r="E296" s="17"/>
      <c r="F296" s="17" t="s">
        <v>691</v>
      </c>
      <c r="G296" s="18">
        <v>70000.0</v>
      </c>
      <c r="H296" s="19" t="s">
        <v>4119</v>
      </c>
      <c r="I296" s="20"/>
      <c r="J296" s="20"/>
      <c r="K296" s="20"/>
      <c r="L296" s="21"/>
      <c r="M296" s="22"/>
      <c r="N296" s="22"/>
      <c r="O296" s="22"/>
      <c r="P296" s="22"/>
      <c r="Q296" s="22"/>
      <c r="R296" s="22"/>
      <c r="S296" s="22"/>
      <c r="T296" s="23"/>
    </row>
    <row r="297">
      <c r="A297" s="24" t="s">
        <v>3931</v>
      </c>
      <c r="B297" s="25" t="s">
        <v>3935</v>
      </c>
      <c r="C297" s="25" t="s">
        <v>692</v>
      </c>
      <c r="D297" s="17" t="str">
        <f>vlookup(C297,'1. 신청자리스트'!J:N,2,false)</f>
        <v>정상</v>
      </c>
      <c r="E297" s="25"/>
      <c r="F297" s="25" t="s">
        <v>2540</v>
      </c>
      <c r="G297" s="26">
        <v>70000.0</v>
      </c>
      <c r="H297" s="27" t="s">
        <v>4041</v>
      </c>
      <c r="I297" s="28"/>
      <c r="J297" s="28"/>
      <c r="K297" s="28"/>
      <c r="L297" s="29"/>
      <c r="M297" s="22"/>
      <c r="N297" s="22"/>
      <c r="O297" s="22"/>
      <c r="P297" s="22"/>
      <c r="Q297" s="22"/>
      <c r="R297" s="22"/>
      <c r="S297" s="22"/>
      <c r="T297" s="23"/>
    </row>
    <row r="298">
      <c r="A298" s="16" t="s">
        <v>3931</v>
      </c>
      <c r="B298" s="17" t="s">
        <v>3935</v>
      </c>
      <c r="C298" s="17" t="s">
        <v>206</v>
      </c>
      <c r="D298" s="17" t="str">
        <f>vlookup(C298,'1. 신청자리스트'!J:N,2,false)</f>
        <v>정상</v>
      </c>
      <c r="E298" s="17"/>
      <c r="F298" s="17" t="s">
        <v>206</v>
      </c>
      <c r="G298" s="18">
        <v>35000.0</v>
      </c>
      <c r="H298" s="19" t="s">
        <v>3948</v>
      </c>
      <c r="I298" s="20"/>
      <c r="J298" s="20"/>
      <c r="K298" s="20"/>
      <c r="L298" s="21"/>
      <c r="M298" s="22"/>
      <c r="N298" s="22"/>
      <c r="O298" s="22"/>
      <c r="P298" s="22"/>
      <c r="Q298" s="22"/>
      <c r="R298" s="22"/>
      <c r="S298" s="22"/>
      <c r="T298" s="23"/>
    </row>
    <row r="299">
      <c r="A299" s="16" t="s">
        <v>4120</v>
      </c>
      <c r="B299" s="17" t="s">
        <v>3935</v>
      </c>
      <c r="C299" s="17" t="s">
        <v>693</v>
      </c>
      <c r="D299" s="17" t="str">
        <f>vlookup(C299,'1. 신청자리스트'!J:N,2,false)</f>
        <v>정상</v>
      </c>
      <c r="E299" s="17"/>
      <c r="F299" s="17" t="s">
        <v>4121</v>
      </c>
      <c r="G299" s="18">
        <v>70000.0</v>
      </c>
      <c r="H299" s="19" t="s">
        <v>3946</v>
      </c>
      <c r="I299" s="20"/>
      <c r="J299" s="20"/>
      <c r="K299" s="20"/>
      <c r="L299" s="21"/>
      <c r="M299" s="22"/>
      <c r="N299" s="22"/>
      <c r="O299" s="22"/>
      <c r="P299" s="22"/>
      <c r="Q299" s="22"/>
      <c r="R299" s="22"/>
      <c r="S299" s="22"/>
      <c r="T299" s="23"/>
    </row>
    <row r="300">
      <c r="A300" s="16" t="s">
        <v>3942</v>
      </c>
      <c r="B300" s="17" t="s">
        <v>3932</v>
      </c>
      <c r="C300" s="17" t="s">
        <v>694</v>
      </c>
      <c r="D300" s="17" t="str">
        <f>vlookup(C300,'1. 신청자리스트'!J:N,2,false)</f>
        <v>정상</v>
      </c>
      <c r="E300" s="17"/>
      <c r="F300" s="17" t="s">
        <v>694</v>
      </c>
      <c r="G300" s="18">
        <v>70000.0</v>
      </c>
      <c r="H300" s="19" t="s">
        <v>4122</v>
      </c>
      <c r="I300" s="20"/>
      <c r="J300" s="20"/>
      <c r="K300" s="20"/>
      <c r="L300" s="21"/>
      <c r="M300" s="22"/>
      <c r="N300" s="22"/>
      <c r="O300" s="22"/>
      <c r="P300" s="22"/>
      <c r="Q300" s="22"/>
      <c r="R300" s="22"/>
      <c r="S300" s="22"/>
      <c r="T300" s="23"/>
    </row>
    <row r="301">
      <c r="A301" s="16" t="s">
        <v>4002</v>
      </c>
      <c r="B301" s="17" t="s">
        <v>3935</v>
      </c>
      <c r="C301" s="17" t="s">
        <v>207</v>
      </c>
      <c r="D301" s="17" t="str">
        <f>vlookup(C301,'1. 신청자리스트'!J:N,2,false)</f>
        <v>정상</v>
      </c>
      <c r="E301" s="17"/>
      <c r="F301" s="17" t="s">
        <v>207</v>
      </c>
      <c r="G301" s="18">
        <v>35000.0</v>
      </c>
      <c r="H301" s="19" t="s">
        <v>3946</v>
      </c>
      <c r="I301" s="20"/>
      <c r="J301" s="20"/>
      <c r="K301" s="20"/>
      <c r="L301" s="21"/>
      <c r="M301" s="22"/>
      <c r="N301" s="22"/>
      <c r="O301" s="22"/>
      <c r="P301" s="22"/>
      <c r="Q301" s="22"/>
      <c r="R301" s="22"/>
      <c r="S301" s="22"/>
      <c r="T301" s="23"/>
    </row>
    <row r="302">
      <c r="A302" s="16" t="s">
        <v>4123</v>
      </c>
      <c r="B302" s="17" t="s">
        <v>3943</v>
      </c>
      <c r="C302" s="17" t="s">
        <v>695</v>
      </c>
      <c r="D302" s="17" t="str">
        <f>vlookup(C302,'1. 신청자리스트'!J:N,2,false)</f>
        <v>정상</v>
      </c>
      <c r="E302" s="17"/>
      <c r="F302" s="17" t="s">
        <v>695</v>
      </c>
      <c r="G302" s="18">
        <v>70000.0</v>
      </c>
      <c r="H302" s="19" t="s">
        <v>3944</v>
      </c>
      <c r="I302" s="20"/>
      <c r="J302" s="20"/>
      <c r="K302" s="20"/>
      <c r="L302" s="21"/>
      <c r="M302" s="22"/>
      <c r="N302" s="22"/>
      <c r="O302" s="22"/>
      <c r="P302" s="22"/>
      <c r="Q302" s="22"/>
      <c r="R302" s="22"/>
      <c r="S302" s="22"/>
      <c r="T302" s="23"/>
    </row>
    <row r="303">
      <c r="A303" s="16" t="s">
        <v>3955</v>
      </c>
      <c r="B303" s="17" t="s">
        <v>3935</v>
      </c>
      <c r="C303" s="17" t="s">
        <v>208</v>
      </c>
      <c r="D303" s="17" t="str">
        <f>vlookup(C303,'1. 신청자리스트'!J:N,2,false)</f>
        <v>정상</v>
      </c>
      <c r="E303" s="17"/>
      <c r="F303" s="17" t="s">
        <v>208</v>
      </c>
      <c r="G303" s="18">
        <v>35000.0</v>
      </c>
      <c r="H303" s="19" t="s">
        <v>3983</v>
      </c>
      <c r="I303" s="20"/>
      <c r="J303" s="20"/>
      <c r="K303" s="20"/>
      <c r="L303" s="21"/>
      <c r="M303" s="22"/>
      <c r="N303" s="22"/>
      <c r="O303" s="22"/>
      <c r="P303" s="22"/>
      <c r="Q303" s="22"/>
      <c r="R303" s="22"/>
      <c r="S303" s="22"/>
      <c r="T303" s="23"/>
    </row>
    <row r="304">
      <c r="A304" s="16" t="s">
        <v>3989</v>
      </c>
      <c r="B304" s="17" t="s">
        <v>3935</v>
      </c>
      <c r="C304" s="17" t="s">
        <v>697</v>
      </c>
      <c r="D304" s="17" t="str">
        <f>vlookup(C304,'1. 신청자리스트'!J:N,2,false)</f>
        <v>정상</v>
      </c>
      <c r="E304" s="17"/>
      <c r="F304" s="17" t="s">
        <v>697</v>
      </c>
      <c r="G304" s="18">
        <v>70000.0</v>
      </c>
      <c r="H304" s="19" t="s">
        <v>3946</v>
      </c>
      <c r="I304" s="20"/>
      <c r="J304" s="20"/>
      <c r="K304" s="20"/>
      <c r="L304" s="21"/>
      <c r="M304" s="22"/>
      <c r="N304" s="22"/>
      <c r="O304" s="22"/>
      <c r="P304" s="22"/>
      <c r="Q304" s="22"/>
      <c r="R304" s="22"/>
      <c r="S304" s="22"/>
      <c r="T304" s="23"/>
    </row>
    <row r="305">
      <c r="A305" s="16" t="s">
        <v>3955</v>
      </c>
      <c r="B305" s="17" t="s">
        <v>3932</v>
      </c>
      <c r="C305" s="17" t="s">
        <v>209</v>
      </c>
      <c r="D305" s="17" t="str">
        <f>vlookup(C305,'1. 신청자리스트'!J:N,2,false)</f>
        <v>정상</v>
      </c>
      <c r="E305" s="17"/>
      <c r="F305" s="17" t="s">
        <v>209</v>
      </c>
      <c r="G305" s="18">
        <v>35000.0</v>
      </c>
      <c r="H305" s="19" t="s">
        <v>4124</v>
      </c>
      <c r="I305" s="20"/>
      <c r="J305" s="20"/>
      <c r="K305" s="20"/>
      <c r="L305" s="21"/>
      <c r="M305" s="22"/>
      <c r="N305" s="22"/>
      <c r="O305" s="22"/>
      <c r="P305" s="22"/>
      <c r="Q305" s="22"/>
      <c r="R305" s="22"/>
      <c r="S305" s="22"/>
      <c r="T305" s="23"/>
    </row>
    <row r="306">
      <c r="A306" s="24" t="s">
        <v>3940</v>
      </c>
      <c r="B306" s="25" t="s">
        <v>3935</v>
      </c>
      <c r="C306" s="25" t="s">
        <v>210</v>
      </c>
      <c r="D306" s="17" t="str">
        <f>vlookup(C306,'1. 신청자리스트'!J:N,2,false)</f>
        <v>정상</v>
      </c>
      <c r="E306" s="25"/>
      <c r="F306" s="25" t="s">
        <v>3268</v>
      </c>
      <c r="G306" s="26">
        <v>35000.0</v>
      </c>
      <c r="H306" s="27" t="s">
        <v>3983</v>
      </c>
      <c r="I306" s="28"/>
      <c r="J306" s="28"/>
      <c r="K306" s="28"/>
      <c r="L306" s="29"/>
      <c r="M306" s="22"/>
      <c r="N306" s="22"/>
      <c r="O306" s="22"/>
      <c r="P306" s="22"/>
      <c r="Q306" s="22"/>
      <c r="R306" s="22"/>
      <c r="S306" s="22"/>
      <c r="T306" s="23"/>
    </row>
    <row r="307">
      <c r="A307" s="16" t="s">
        <v>3940</v>
      </c>
      <c r="B307" s="17" t="s">
        <v>3935</v>
      </c>
      <c r="C307" s="17" t="s">
        <v>698</v>
      </c>
      <c r="D307" s="17" t="str">
        <f>vlookup(C307,'1. 신청자리스트'!J:N,2,false)</f>
        <v>정상</v>
      </c>
      <c r="E307" s="17"/>
      <c r="F307" s="17" t="s">
        <v>698</v>
      </c>
      <c r="G307" s="18">
        <v>70000.0</v>
      </c>
      <c r="H307" s="19" t="s">
        <v>3983</v>
      </c>
      <c r="I307" s="20"/>
      <c r="J307" s="20"/>
      <c r="K307" s="20"/>
      <c r="L307" s="21"/>
      <c r="M307" s="22"/>
      <c r="N307" s="22"/>
      <c r="O307" s="22"/>
      <c r="P307" s="22"/>
      <c r="Q307" s="22"/>
      <c r="R307" s="22"/>
      <c r="S307" s="22"/>
      <c r="T307" s="23"/>
    </row>
    <row r="308">
      <c r="A308" s="16" t="s">
        <v>3949</v>
      </c>
      <c r="B308" s="17" t="s">
        <v>3935</v>
      </c>
      <c r="C308" s="17" t="s">
        <v>211</v>
      </c>
      <c r="D308" s="17" t="str">
        <f>vlookup(C308,'1. 신청자리스트'!J:N,2,false)</f>
        <v>정상</v>
      </c>
      <c r="E308" s="17"/>
      <c r="F308" s="17" t="s">
        <v>211</v>
      </c>
      <c r="G308" s="18">
        <v>35000.0</v>
      </c>
      <c r="H308" s="19" t="s">
        <v>3946</v>
      </c>
      <c r="I308" s="20"/>
      <c r="J308" s="20"/>
      <c r="K308" s="20"/>
      <c r="L308" s="21"/>
      <c r="M308" s="22"/>
      <c r="N308" s="22"/>
      <c r="O308" s="22"/>
      <c r="P308" s="22"/>
      <c r="Q308" s="22"/>
      <c r="R308" s="22"/>
      <c r="S308" s="22"/>
      <c r="T308" s="23"/>
    </row>
    <row r="309">
      <c r="A309" s="16" t="s">
        <v>3940</v>
      </c>
      <c r="B309" s="17" t="s">
        <v>3932</v>
      </c>
      <c r="C309" s="17" t="s">
        <v>212</v>
      </c>
      <c r="D309" s="17" t="str">
        <f>vlookup(C309,'1. 신청자리스트'!J:N,2,false)</f>
        <v>정상</v>
      </c>
      <c r="E309" s="17"/>
      <c r="F309" s="17" t="s">
        <v>212</v>
      </c>
      <c r="G309" s="18">
        <v>35000.0</v>
      </c>
      <c r="H309" s="19" t="s">
        <v>4125</v>
      </c>
      <c r="I309" s="20"/>
      <c r="J309" s="20"/>
      <c r="K309" s="20"/>
      <c r="L309" s="21"/>
      <c r="M309" s="22"/>
      <c r="N309" s="22"/>
      <c r="O309" s="22"/>
      <c r="P309" s="22"/>
      <c r="Q309" s="22"/>
      <c r="R309" s="22"/>
      <c r="S309" s="22"/>
      <c r="T309" s="23"/>
    </row>
    <row r="310">
      <c r="A310" s="16" t="s">
        <v>3945</v>
      </c>
      <c r="B310" s="17" t="s">
        <v>3935</v>
      </c>
      <c r="C310" s="17" t="s">
        <v>213</v>
      </c>
      <c r="D310" s="17" t="str">
        <f>vlookup(C310,'1. 신청자리스트'!J:N,2,false)</f>
        <v>정상</v>
      </c>
      <c r="E310" s="17"/>
      <c r="F310" s="17" t="s">
        <v>213</v>
      </c>
      <c r="G310" s="18">
        <v>35000.0</v>
      </c>
      <c r="H310" s="19" t="s">
        <v>3948</v>
      </c>
      <c r="I310" s="20"/>
      <c r="J310" s="20"/>
      <c r="K310" s="20"/>
      <c r="L310" s="21"/>
      <c r="M310" s="22"/>
      <c r="N310" s="22"/>
      <c r="O310" s="22"/>
      <c r="P310" s="22"/>
      <c r="Q310" s="22"/>
      <c r="R310" s="22"/>
      <c r="S310" s="22"/>
      <c r="T310" s="23"/>
    </row>
    <row r="311">
      <c r="A311" s="16" t="s">
        <v>3940</v>
      </c>
      <c r="B311" s="17" t="s">
        <v>3935</v>
      </c>
      <c r="C311" s="17" t="s">
        <v>699</v>
      </c>
      <c r="D311" s="17" t="str">
        <f>vlookup(C311,'1. 신청자리스트'!J:N,2,false)</f>
        <v>정상</v>
      </c>
      <c r="E311" s="17"/>
      <c r="F311" s="17" t="s">
        <v>699</v>
      </c>
      <c r="G311" s="18">
        <v>70000.0</v>
      </c>
      <c r="H311" s="19" t="s">
        <v>3946</v>
      </c>
      <c r="I311" s="20"/>
      <c r="J311" s="20"/>
      <c r="K311" s="20"/>
      <c r="L311" s="21"/>
      <c r="M311" s="22"/>
      <c r="N311" s="22"/>
      <c r="O311" s="22"/>
      <c r="P311" s="22"/>
      <c r="Q311" s="22"/>
      <c r="R311" s="22"/>
      <c r="S311" s="22"/>
      <c r="T311" s="23"/>
    </row>
    <row r="312">
      <c r="A312" s="24" t="s">
        <v>3980</v>
      </c>
      <c r="B312" s="25" t="s">
        <v>3935</v>
      </c>
      <c r="C312" s="25" t="s">
        <v>700</v>
      </c>
      <c r="D312" s="17" t="str">
        <f>vlookup(C312,'1. 신청자리스트'!J:N,2,false)</f>
        <v>정상</v>
      </c>
      <c r="E312" s="25"/>
      <c r="F312" s="25" t="s">
        <v>2739</v>
      </c>
      <c r="G312" s="26">
        <v>70000.0</v>
      </c>
      <c r="H312" s="27" t="s">
        <v>3968</v>
      </c>
      <c r="I312" s="28"/>
      <c r="J312" s="28"/>
      <c r="K312" s="28"/>
      <c r="L312" s="29"/>
      <c r="M312" s="22"/>
      <c r="N312" s="22"/>
      <c r="O312" s="22"/>
      <c r="P312" s="22"/>
      <c r="Q312" s="22"/>
      <c r="R312" s="22"/>
      <c r="S312" s="22"/>
      <c r="T312" s="23"/>
    </row>
    <row r="313">
      <c r="A313" s="24" t="s">
        <v>3962</v>
      </c>
      <c r="B313" s="25" t="s">
        <v>3935</v>
      </c>
      <c r="C313" s="25" t="s">
        <v>214</v>
      </c>
      <c r="D313" s="17" t="str">
        <f>vlookup(C313,'1. 신청자리스트'!J:N,2,false)</f>
        <v>정상</v>
      </c>
      <c r="E313" s="25"/>
      <c r="F313" s="25" t="s">
        <v>3276</v>
      </c>
      <c r="G313" s="26">
        <v>35000.0</v>
      </c>
      <c r="H313" s="27" t="s">
        <v>3948</v>
      </c>
      <c r="I313" s="28"/>
      <c r="J313" s="28"/>
      <c r="K313" s="28"/>
      <c r="L313" s="29"/>
      <c r="M313" s="22"/>
      <c r="N313" s="22"/>
      <c r="O313" s="22"/>
      <c r="P313" s="22"/>
      <c r="Q313" s="22"/>
      <c r="R313" s="22"/>
      <c r="S313" s="22"/>
      <c r="T313" s="23"/>
    </row>
    <row r="314">
      <c r="A314" s="16" t="s">
        <v>3942</v>
      </c>
      <c r="B314" s="17" t="s">
        <v>3935</v>
      </c>
      <c r="C314" s="17" t="s">
        <v>215</v>
      </c>
      <c r="D314" s="17" t="str">
        <f>vlookup(C314,'1. 신청자리스트'!J:N,2,false)</f>
        <v>정상</v>
      </c>
      <c r="E314" s="17"/>
      <c r="F314" s="17" t="s">
        <v>215</v>
      </c>
      <c r="G314" s="18">
        <v>35000.0</v>
      </c>
      <c r="H314" s="19" t="s">
        <v>3941</v>
      </c>
      <c r="I314" s="20"/>
      <c r="J314" s="20"/>
      <c r="K314" s="20"/>
      <c r="L314" s="21"/>
      <c r="M314" s="22"/>
      <c r="N314" s="22"/>
      <c r="O314" s="22"/>
      <c r="P314" s="22"/>
      <c r="Q314" s="22"/>
      <c r="R314" s="22"/>
      <c r="S314" s="22"/>
      <c r="T314" s="23"/>
    </row>
    <row r="315">
      <c r="A315" s="16" t="s">
        <v>4126</v>
      </c>
      <c r="B315" s="17" t="s">
        <v>3935</v>
      </c>
      <c r="C315" s="17" t="s">
        <v>216</v>
      </c>
      <c r="D315" s="17" t="str">
        <f>vlookup(C315,'1. 신청자리스트'!J:N,2,false)</f>
        <v>정상</v>
      </c>
      <c r="E315" s="17"/>
      <c r="F315" s="17" t="s">
        <v>216</v>
      </c>
      <c r="G315" s="18">
        <v>35000.0</v>
      </c>
      <c r="H315" s="19" t="s">
        <v>3941</v>
      </c>
      <c r="I315" s="20"/>
      <c r="J315" s="20"/>
      <c r="K315" s="20"/>
      <c r="L315" s="21"/>
      <c r="M315" s="22"/>
      <c r="N315" s="22"/>
      <c r="O315" s="22"/>
      <c r="P315" s="22"/>
      <c r="Q315" s="22"/>
      <c r="R315" s="22"/>
      <c r="S315" s="22"/>
      <c r="T315" s="23"/>
    </row>
    <row r="316">
      <c r="A316" s="16" t="s">
        <v>3980</v>
      </c>
      <c r="B316" s="17" t="s">
        <v>3932</v>
      </c>
      <c r="C316" s="17" t="s">
        <v>702</v>
      </c>
      <c r="D316" s="17" t="str">
        <f>vlookup(C316,'1. 신청자리스트'!J:N,2,false)</f>
        <v>정상</v>
      </c>
      <c r="E316" s="17"/>
      <c r="F316" s="17" t="s">
        <v>702</v>
      </c>
      <c r="G316" s="18">
        <v>70000.0</v>
      </c>
      <c r="H316" s="19" t="s">
        <v>4127</v>
      </c>
      <c r="I316" s="20"/>
      <c r="J316" s="20"/>
      <c r="K316" s="20"/>
      <c r="L316" s="21"/>
      <c r="M316" s="22"/>
      <c r="N316" s="22"/>
      <c r="O316" s="22"/>
      <c r="P316" s="22"/>
      <c r="Q316" s="22"/>
      <c r="R316" s="22"/>
      <c r="S316" s="22"/>
      <c r="T316" s="23"/>
    </row>
    <row r="317">
      <c r="A317" s="16" t="s">
        <v>3942</v>
      </c>
      <c r="B317" s="17" t="s">
        <v>3935</v>
      </c>
      <c r="C317" s="17" t="s">
        <v>703</v>
      </c>
      <c r="D317" s="17" t="str">
        <f>vlookup(C317,'1. 신청자리스트'!J:N,2,false)</f>
        <v>정상</v>
      </c>
      <c r="E317" s="17"/>
      <c r="F317" s="17" t="s">
        <v>703</v>
      </c>
      <c r="G317" s="18">
        <v>70000.0</v>
      </c>
      <c r="H317" s="19" t="s">
        <v>3983</v>
      </c>
      <c r="I317" s="20"/>
      <c r="J317" s="20"/>
      <c r="K317" s="20"/>
      <c r="L317" s="21"/>
      <c r="M317" s="22"/>
      <c r="N317" s="22"/>
      <c r="O317" s="22"/>
      <c r="P317" s="22"/>
      <c r="Q317" s="22"/>
      <c r="R317" s="22"/>
      <c r="S317" s="22"/>
      <c r="T317" s="23"/>
    </row>
    <row r="318">
      <c r="A318" s="16" t="s">
        <v>3940</v>
      </c>
      <c r="B318" s="17" t="s">
        <v>3935</v>
      </c>
      <c r="C318" s="17" t="s">
        <v>217</v>
      </c>
      <c r="D318" s="17" t="str">
        <f>vlookup(C318,'1. 신청자리스트'!J:N,2,false)</f>
        <v>정상</v>
      </c>
      <c r="E318" s="17"/>
      <c r="F318" s="17" t="s">
        <v>217</v>
      </c>
      <c r="G318" s="18">
        <v>35000.0</v>
      </c>
      <c r="H318" s="19" t="s">
        <v>4041</v>
      </c>
      <c r="I318" s="20"/>
      <c r="J318" s="20"/>
      <c r="K318" s="20"/>
      <c r="L318" s="21"/>
      <c r="M318" s="22"/>
      <c r="N318" s="22"/>
      <c r="O318" s="22"/>
      <c r="P318" s="22"/>
      <c r="Q318" s="22"/>
      <c r="R318" s="22"/>
      <c r="S318" s="22"/>
      <c r="T318" s="23"/>
    </row>
    <row r="319">
      <c r="A319" s="30" t="s">
        <v>3985</v>
      </c>
      <c r="B319" s="31" t="s">
        <v>3935</v>
      </c>
      <c r="C319" s="31" t="s">
        <v>4128</v>
      </c>
      <c r="D319" s="17" t="str">
        <f>vlookup(C319,'1. 신청자리스트'!J:N,2,false)</f>
        <v>정상</v>
      </c>
      <c r="E319" s="31"/>
      <c r="F319" s="31" t="s">
        <v>4128</v>
      </c>
      <c r="G319" s="32">
        <v>35000.0</v>
      </c>
      <c r="H319" s="33" t="s">
        <v>3946</v>
      </c>
      <c r="I319" s="34" t="str">
        <f>VLOOKUP(C319, '문의'!D:E, 2, FALSE)</f>
        <v>[취소/환불] 안녕하세요. 
 신청하고 입금까지 했는데, 신청내역에서 확인을 할 수 없다고 하네요
 신청된게 아니라면 빨리 환불해주세요
 하나은행 박지영 010-3764- 6373 
 더 이상 이 사이트에 머물고 싶지 않습니다</v>
      </c>
      <c r="J319" s="34">
        <f t="array" ref="J319">INDEX('문의'!C:C, MATCH(C319, '문의'!D:D, 0))</f>
        <v>1037646373</v>
      </c>
      <c r="K319" s="34" t="s">
        <v>3957</v>
      </c>
      <c r="L319" s="37" t="s">
        <v>4129</v>
      </c>
      <c r="M319" s="42"/>
      <c r="N319" s="42"/>
      <c r="O319" s="42"/>
      <c r="P319" s="42"/>
      <c r="Q319" s="42"/>
      <c r="R319" s="44"/>
      <c r="S319" s="42"/>
      <c r="T319" s="23"/>
    </row>
    <row r="320">
      <c r="A320" s="16" t="s">
        <v>3942</v>
      </c>
      <c r="B320" s="17" t="s">
        <v>3935</v>
      </c>
      <c r="C320" s="17" t="s">
        <v>704</v>
      </c>
      <c r="D320" s="17" t="str">
        <f>vlookup(C320,'1. 신청자리스트'!J:N,2,false)</f>
        <v>정상</v>
      </c>
      <c r="E320" s="17"/>
      <c r="F320" s="17" t="s">
        <v>4130</v>
      </c>
      <c r="G320" s="18">
        <v>70000.0</v>
      </c>
      <c r="H320" s="19" t="s">
        <v>3983</v>
      </c>
      <c r="I320" s="20"/>
      <c r="J320" s="20"/>
      <c r="K320" s="20"/>
      <c r="L320" s="21"/>
      <c r="M320" s="22"/>
      <c r="N320" s="22"/>
      <c r="O320" s="22"/>
      <c r="P320" s="22"/>
      <c r="Q320" s="22"/>
      <c r="R320" s="22"/>
      <c r="S320" s="22"/>
      <c r="T320" s="23"/>
    </row>
    <row r="321">
      <c r="A321" s="24" t="s">
        <v>3962</v>
      </c>
      <c r="B321" s="25" t="s">
        <v>3935</v>
      </c>
      <c r="C321" s="25" t="s">
        <v>705</v>
      </c>
      <c r="D321" s="17" t="str">
        <f>vlookup(C321,'1. 신청자리스트'!J:N,2,false)</f>
        <v>정상</v>
      </c>
      <c r="E321" s="25"/>
      <c r="F321" s="25" t="s">
        <v>1873</v>
      </c>
      <c r="G321" s="26">
        <v>70000.0</v>
      </c>
      <c r="H321" s="27" t="s">
        <v>3983</v>
      </c>
      <c r="I321" s="28"/>
      <c r="J321" s="28"/>
      <c r="K321" s="28"/>
      <c r="L321" s="29"/>
      <c r="M321" s="22"/>
      <c r="N321" s="22"/>
      <c r="O321" s="22"/>
      <c r="P321" s="22"/>
      <c r="Q321" s="22"/>
      <c r="R321" s="22"/>
      <c r="S321" s="22"/>
      <c r="T321" s="23"/>
    </row>
    <row r="322">
      <c r="A322" s="24" t="s">
        <v>3942</v>
      </c>
      <c r="B322" s="25" t="s">
        <v>3935</v>
      </c>
      <c r="C322" s="25" t="s">
        <v>706</v>
      </c>
      <c r="D322" s="17" t="str">
        <f>vlookup(C322,'1. 신청자리스트'!J:N,2,false)</f>
        <v>정상</v>
      </c>
      <c r="E322" s="25"/>
      <c r="F322" s="25" t="s">
        <v>2284</v>
      </c>
      <c r="G322" s="26">
        <v>70000.0</v>
      </c>
      <c r="H322" s="27" t="s">
        <v>3946</v>
      </c>
      <c r="I322" s="28"/>
      <c r="J322" s="28"/>
      <c r="K322" s="28"/>
      <c r="L322" s="29"/>
      <c r="M322" s="22"/>
      <c r="N322" s="22"/>
      <c r="O322" s="22"/>
      <c r="P322" s="22"/>
      <c r="Q322" s="22"/>
      <c r="R322" s="22"/>
      <c r="S322" s="22"/>
      <c r="T322" s="23"/>
    </row>
    <row r="323">
      <c r="A323" s="16" t="s">
        <v>3942</v>
      </c>
      <c r="B323" s="17" t="s">
        <v>3935</v>
      </c>
      <c r="C323" s="17" t="s">
        <v>707</v>
      </c>
      <c r="D323" s="17" t="str">
        <f>vlookup(C323,'1. 신청자리스트'!J:N,2,false)</f>
        <v>정상</v>
      </c>
      <c r="E323" s="17"/>
      <c r="F323" s="17" t="s">
        <v>707</v>
      </c>
      <c r="G323" s="18">
        <v>70000.0</v>
      </c>
      <c r="H323" s="19" t="s">
        <v>3941</v>
      </c>
      <c r="I323" s="20"/>
      <c r="J323" s="20"/>
      <c r="K323" s="20"/>
      <c r="L323" s="21"/>
      <c r="M323" s="22"/>
      <c r="N323" s="22"/>
      <c r="O323" s="22"/>
      <c r="P323" s="22"/>
      <c r="Q323" s="22"/>
      <c r="R323" s="22"/>
      <c r="S323" s="22"/>
      <c r="T323" s="41"/>
    </row>
    <row r="324">
      <c r="A324" s="16" t="s">
        <v>4131</v>
      </c>
      <c r="B324" s="17" t="s">
        <v>3935</v>
      </c>
      <c r="C324" s="17" t="s">
        <v>708</v>
      </c>
      <c r="D324" s="17" t="str">
        <f>vlookup(C324,'1. 신청자리스트'!J:N,2,false)</f>
        <v>정상</v>
      </c>
      <c r="E324" s="17"/>
      <c r="F324" s="17" t="s">
        <v>708</v>
      </c>
      <c r="G324" s="18">
        <v>70000.0</v>
      </c>
      <c r="H324" s="19" t="s">
        <v>3946</v>
      </c>
      <c r="I324" s="20"/>
      <c r="J324" s="20"/>
      <c r="K324" s="20"/>
      <c r="L324" s="21"/>
      <c r="M324" s="22"/>
      <c r="N324" s="22"/>
      <c r="O324" s="22"/>
      <c r="P324" s="22"/>
      <c r="Q324" s="22"/>
      <c r="R324" s="22"/>
      <c r="S324" s="22"/>
      <c r="T324" s="23"/>
    </row>
    <row r="325">
      <c r="A325" s="16" t="s">
        <v>3945</v>
      </c>
      <c r="B325" s="17" t="s">
        <v>3935</v>
      </c>
      <c r="C325" s="17" t="s">
        <v>709</v>
      </c>
      <c r="D325" s="17" t="str">
        <f>vlookup(C325,'1. 신청자리스트'!J:N,2,false)</f>
        <v>정상</v>
      </c>
      <c r="E325" s="17"/>
      <c r="F325" s="17" t="s">
        <v>709</v>
      </c>
      <c r="G325" s="18">
        <v>70000.0</v>
      </c>
      <c r="H325" s="19" t="s">
        <v>4132</v>
      </c>
      <c r="I325" s="20"/>
      <c r="J325" s="20"/>
      <c r="K325" s="20"/>
      <c r="L325" s="21"/>
      <c r="M325" s="22"/>
      <c r="N325" s="22"/>
      <c r="O325" s="22"/>
      <c r="P325" s="22"/>
      <c r="Q325" s="22"/>
      <c r="R325" s="22"/>
      <c r="S325" s="22"/>
      <c r="T325" s="23"/>
    </row>
    <row r="326">
      <c r="A326" s="16" t="s">
        <v>3940</v>
      </c>
      <c r="B326" s="17" t="s">
        <v>3935</v>
      </c>
      <c r="C326" s="17" t="s">
        <v>218</v>
      </c>
      <c r="D326" s="17" t="str">
        <f>vlookup(C326,'1. 신청자리스트'!J:N,2,false)</f>
        <v>정상</v>
      </c>
      <c r="E326" s="17"/>
      <c r="F326" s="17" t="s">
        <v>218</v>
      </c>
      <c r="G326" s="18">
        <v>35000.0</v>
      </c>
      <c r="H326" s="19" t="s">
        <v>3983</v>
      </c>
      <c r="I326" s="20"/>
      <c r="J326" s="20"/>
      <c r="K326" s="20"/>
      <c r="L326" s="21"/>
      <c r="M326" s="22"/>
      <c r="N326" s="22"/>
      <c r="O326" s="22"/>
      <c r="P326" s="22"/>
      <c r="Q326" s="22"/>
      <c r="R326" s="22"/>
      <c r="S326" s="22"/>
      <c r="T326" s="23"/>
    </row>
    <row r="327">
      <c r="A327" s="16" t="s">
        <v>3989</v>
      </c>
      <c r="B327" s="17" t="s">
        <v>3932</v>
      </c>
      <c r="C327" s="17" t="s">
        <v>710</v>
      </c>
      <c r="D327" s="17" t="str">
        <f>vlookup(C327,'1. 신청자리스트'!J:N,2,false)</f>
        <v>정상</v>
      </c>
      <c r="E327" s="17"/>
      <c r="F327" s="17" t="s">
        <v>710</v>
      </c>
      <c r="G327" s="18">
        <v>70000.0</v>
      </c>
      <c r="H327" s="19" t="s">
        <v>4133</v>
      </c>
      <c r="I327" s="20"/>
      <c r="J327" s="20"/>
      <c r="K327" s="20"/>
      <c r="L327" s="21"/>
      <c r="M327" s="22"/>
      <c r="N327" s="22"/>
      <c r="O327" s="22"/>
      <c r="P327" s="22"/>
      <c r="Q327" s="22"/>
      <c r="R327" s="22"/>
      <c r="S327" s="22"/>
      <c r="T327" s="23"/>
    </row>
    <row r="328">
      <c r="A328" s="16" t="s">
        <v>4134</v>
      </c>
      <c r="B328" s="17" t="s">
        <v>3935</v>
      </c>
      <c r="C328" s="17" t="s">
        <v>219</v>
      </c>
      <c r="D328" s="17" t="str">
        <f>vlookup(C328,'1. 신청자리스트'!J:N,2,false)</f>
        <v>정상</v>
      </c>
      <c r="E328" s="17"/>
      <c r="F328" s="17" t="s">
        <v>4135</v>
      </c>
      <c r="G328" s="18">
        <v>35000.0</v>
      </c>
      <c r="H328" s="19" t="s">
        <v>3946</v>
      </c>
      <c r="I328" s="20"/>
      <c r="J328" s="20"/>
      <c r="K328" s="20"/>
      <c r="L328" s="21"/>
      <c r="M328" s="22"/>
      <c r="N328" s="22"/>
      <c r="O328" s="22"/>
      <c r="P328" s="22"/>
      <c r="Q328" s="22"/>
      <c r="R328" s="22"/>
      <c r="S328" s="22"/>
      <c r="T328" s="23"/>
    </row>
    <row r="329">
      <c r="A329" s="30" t="s">
        <v>4011</v>
      </c>
      <c r="B329" s="31" t="s">
        <v>3932</v>
      </c>
      <c r="C329" s="31" t="s">
        <v>4136</v>
      </c>
      <c r="D329" s="17" t="str">
        <f>vlookup(C329,'1. 신청자리스트'!J:N,2,false)</f>
        <v>정상</v>
      </c>
      <c r="E329" s="31"/>
      <c r="F329" s="31" t="s">
        <v>4136</v>
      </c>
      <c r="G329" s="32">
        <v>35000.0</v>
      </c>
      <c r="H329" s="33" t="s">
        <v>4137</v>
      </c>
      <c r="I329" s="34" t="str">
        <f>VLOOKUP(C329, '문의'!D:E, 2, FALSE)</f>
        <v>[입금/결제] 신청이 된줄 알고 입금을 했는데 신청내역이 없다고 뜹니다
 신청자 : 박현선
 연락처 : 010-4632-0621
 입금시점 : 오전 9시 25분
 입금자명 : 박현선0621
 입니다.
 분명 정보 입력하고 확인까지 눌러서 신청이 된줄 알고 입금을 했는데 신청이 안된듯 합니다.
 다음은 어떻게 해야할지 답변 주시면 감사하겠습니다.</v>
      </c>
      <c r="J329" s="34">
        <f t="array" ref="J329">INDEX('문의'!C:C, MATCH(C329, '문의'!D:D, 0))</f>
        <v>1046320621</v>
      </c>
      <c r="K329" s="34" t="s">
        <v>3957</v>
      </c>
      <c r="L329" s="37" t="s">
        <v>4138</v>
      </c>
      <c r="M329" s="42"/>
      <c r="N329" s="42"/>
      <c r="O329" s="42"/>
      <c r="P329" s="42"/>
      <c r="Q329" s="42"/>
      <c r="R329" s="44"/>
      <c r="S329" s="42"/>
      <c r="T329" s="23"/>
    </row>
    <row r="330">
      <c r="A330" s="16" t="s">
        <v>3942</v>
      </c>
      <c r="B330" s="17" t="s">
        <v>3935</v>
      </c>
      <c r="C330" s="17" t="s">
        <v>220</v>
      </c>
      <c r="D330" s="17" t="str">
        <f>vlookup(C330,'1. 신청자리스트'!J:N,2,false)</f>
        <v>정상</v>
      </c>
      <c r="E330" s="17"/>
      <c r="F330" s="17" t="s">
        <v>220</v>
      </c>
      <c r="G330" s="18">
        <v>35000.0</v>
      </c>
      <c r="H330" s="19" t="s">
        <v>3983</v>
      </c>
      <c r="I330" s="20"/>
      <c r="J330" s="20"/>
      <c r="K330" s="20"/>
      <c r="L330" s="21"/>
      <c r="M330" s="22"/>
      <c r="N330" s="22"/>
      <c r="O330" s="22"/>
      <c r="P330" s="22"/>
      <c r="Q330" s="22"/>
      <c r="R330" s="22"/>
      <c r="S330" s="22"/>
      <c r="T330" s="23"/>
    </row>
    <row r="331">
      <c r="A331" s="24" t="s">
        <v>3945</v>
      </c>
      <c r="B331" s="25" t="s">
        <v>3935</v>
      </c>
      <c r="C331" s="25" t="s">
        <v>221</v>
      </c>
      <c r="D331" s="17" t="str">
        <f>vlookup(C331,'1. 신청자리스트'!J:N,2,false)</f>
        <v>정상</v>
      </c>
      <c r="E331" s="25"/>
      <c r="F331" s="25" t="s">
        <v>3289</v>
      </c>
      <c r="G331" s="26">
        <v>35000.0</v>
      </c>
      <c r="H331" s="27" t="s">
        <v>3946</v>
      </c>
      <c r="I331" s="28"/>
      <c r="J331" s="28"/>
      <c r="K331" s="28"/>
      <c r="L331" s="29"/>
      <c r="M331" s="22"/>
      <c r="N331" s="22"/>
      <c r="O331" s="22"/>
      <c r="P331" s="22"/>
      <c r="Q331" s="22"/>
      <c r="R331" s="22"/>
      <c r="S331" s="22"/>
      <c r="T331" s="23"/>
    </row>
    <row r="332">
      <c r="A332" s="16" t="s">
        <v>3945</v>
      </c>
      <c r="B332" s="17" t="s">
        <v>3932</v>
      </c>
      <c r="C332" s="17" t="s">
        <v>711</v>
      </c>
      <c r="D332" s="17" t="str">
        <f>vlookup(C332,'1. 신청자리스트'!J:N,2,false)</f>
        <v>정상</v>
      </c>
      <c r="E332" s="17"/>
      <c r="F332" s="17" t="s">
        <v>711</v>
      </c>
      <c r="G332" s="18">
        <v>70000.0</v>
      </c>
      <c r="H332" s="19" t="s">
        <v>4139</v>
      </c>
      <c r="I332" s="20"/>
      <c r="J332" s="20"/>
      <c r="K332" s="20"/>
      <c r="L332" s="21"/>
      <c r="M332" s="22"/>
      <c r="N332" s="22"/>
      <c r="O332" s="22"/>
      <c r="P332" s="22"/>
      <c r="Q332" s="22"/>
      <c r="R332" s="22"/>
      <c r="S332" s="22"/>
      <c r="T332" s="23"/>
    </row>
    <row r="333">
      <c r="A333" s="16" t="s">
        <v>3945</v>
      </c>
      <c r="B333" s="17" t="s">
        <v>3935</v>
      </c>
      <c r="C333" s="17" t="s">
        <v>712</v>
      </c>
      <c r="D333" s="17" t="str">
        <f>vlookup(C333,'1. 신청자리스트'!J:N,2,false)</f>
        <v>정상</v>
      </c>
      <c r="E333" s="17"/>
      <c r="F333" s="17" t="s">
        <v>712</v>
      </c>
      <c r="G333" s="18">
        <v>70000.0</v>
      </c>
      <c r="H333" s="19" t="s">
        <v>3939</v>
      </c>
      <c r="I333" s="20"/>
      <c r="J333" s="20"/>
      <c r="K333" s="20"/>
      <c r="L333" s="21"/>
      <c r="M333" s="22"/>
      <c r="N333" s="22"/>
      <c r="O333" s="22"/>
      <c r="P333" s="22"/>
      <c r="Q333" s="22"/>
      <c r="R333" s="22"/>
      <c r="S333" s="22"/>
      <c r="T333" s="41"/>
    </row>
    <row r="334">
      <c r="A334" s="24" t="s">
        <v>4140</v>
      </c>
      <c r="B334" s="25" t="s">
        <v>3935</v>
      </c>
      <c r="C334" s="25" t="s">
        <v>222</v>
      </c>
      <c r="D334" s="17" t="str">
        <f>vlookup(C334,'1. 신청자리스트'!J:N,2,false)</f>
        <v>정상</v>
      </c>
      <c r="E334" s="25"/>
      <c r="F334" s="25" t="s">
        <v>3291</v>
      </c>
      <c r="G334" s="26">
        <v>35000.0</v>
      </c>
      <c r="H334" s="27" t="s">
        <v>3946</v>
      </c>
      <c r="I334" s="28"/>
      <c r="J334" s="28"/>
      <c r="K334" s="28"/>
      <c r="L334" s="29"/>
      <c r="M334" s="22"/>
      <c r="N334" s="22"/>
      <c r="O334" s="22"/>
      <c r="P334" s="22"/>
      <c r="Q334" s="22"/>
      <c r="R334" s="22"/>
      <c r="S334" s="22"/>
      <c r="T334" s="23"/>
    </row>
    <row r="335">
      <c r="A335" s="16" t="s">
        <v>3962</v>
      </c>
      <c r="B335" s="17" t="s">
        <v>3935</v>
      </c>
      <c r="C335" s="17" t="s">
        <v>223</v>
      </c>
      <c r="D335" s="17" t="str">
        <f>vlookup(C335,'1. 신청자리스트'!J:N,2,false)</f>
        <v>정상</v>
      </c>
      <c r="E335" s="17"/>
      <c r="F335" s="17" t="s">
        <v>223</v>
      </c>
      <c r="G335" s="18">
        <v>35000.0</v>
      </c>
      <c r="H335" s="19" t="s">
        <v>4006</v>
      </c>
      <c r="I335" s="20"/>
      <c r="J335" s="20"/>
      <c r="K335" s="20"/>
      <c r="L335" s="21"/>
      <c r="M335" s="22"/>
      <c r="N335" s="22"/>
      <c r="O335" s="22"/>
      <c r="P335" s="22"/>
      <c r="Q335" s="22"/>
      <c r="R335" s="22"/>
      <c r="S335" s="22"/>
      <c r="T335" s="23"/>
    </row>
    <row r="336">
      <c r="A336" s="16" t="s">
        <v>4002</v>
      </c>
      <c r="B336" s="17" t="s">
        <v>3932</v>
      </c>
      <c r="C336" s="17" t="s">
        <v>224</v>
      </c>
      <c r="D336" s="17" t="str">
        <f>vlookup(C336,'1. 신청자리스트'!J:N,2,false)</f>
        <v>정상</v>
      </c>
      <c r="E336" s="17"/>
      <c r="F336" s="17" t="s">
        <v>224</v>
      </c>
      <c r="G336" s="18">
        <v>35000.0</v>
      </c>
      <c r="H336" s="19" t="s">
        <v>4141</v>
      </c>
      <c r="I336" s="20"/>
      <c r="J336" s="20"/>
      <c r="K336" s="20"/>
      <c r="L336" s="21"/>
      <c r="M336" s="22"/>
      <c r="N336" s="22"/>
      <c r="O336" s="22"/>
      <c r="P336" s="22"/>
      <c r="Q336" s="22"/>
      <c r="R336" s="22"/>
      <c r="S336" s="22"/>
      <c r="T336" s="23"/>
    </row>
    <row r="337">
      <c r="A337" s="16" t="s">
        <v>4002</v>
      </c>
      <c r="B337" s="17" t="s">
        <v>3932</v>
      </c>
      <c r="C337" s="17" t="s">
        <v>225</v>
      </c>
      <c r="D337" s="17" t="str">
        <f>vlookup(C337,'1. 신청자리스트'!J:N,2,false)</f>
        <v>정상</v>
      </c>
      <c r="E337" s="17"/>
      <c r="F337" s="17" t="s">
        <v>225</v>
      </c>
      <c r="G337" s="18">
        <v>35000.0</v>
      </c>
      <c r="H337" s="19" t="s">
        <v>4076</v>
      </c>
      <c r="I337" s="20"/>
      <c r="J337" s="20"/>
      <c r="K337" s="20"/>
      <c r="L337" s="21"/>
      <c r="M337" s="22"/>
      <c r="N337" s="22"/>
      <c r="O337" s="22"/>
      <c r="P337" s="22"/>
      <c r="Q337" s="22"/>
      <c r="R337" s="22"/>
      <c r="S337" s="22"/>
      <c r="T337" s="23"/>
    </row>
    <row r="338">
      <c r="A338" s="16" t="s">
        <v>3940</v>
      </c>
      <c r="B338" s="17" t="s">
        <v>3932</v>
      </c>
      <c r="C338" s="17" t="s">
        <v>226</v>
      </c>
      <c r="D338" s="17" t="str">
        <f>vlookup(C338,'1. 신청자리스트'!J:N,2,false)</f>
        <v>정상</v>
      </c>
      <c r="E338" s="17"/>
      <c r="F338" s="17" t="s">
        <v>226</v>
      </c>
      <c r="G338" s="18">
        <v>35000.0</v>
      </c>
      <c r="H338" s="19" t="s">
        <v>4142</v>
      </c>
      <c r="I338" s="20"/>
      <c r="J338" s="20"/>
      <c r="K338" s="20"/>
      <c r="L338" s="21"/>
      <c r="M338" s="22"/>
      <c r="N338" s="22"/>
      <c r="O338" s="22"/>
      <c r="P338" s="22"/>
      <c r="Q338" s="22"/>
      <c r="R338" s="22"/>
      <c r="S338" s="22"/>
      <c r="T338" s="23"/>
    </row>
    <row r="339">
      <c r="A339" s="16" t="s">
        <v>4011</v>
      </c>
      <c r="B339" s="17" t="s">
        <v>3932</v>
      </c>
      <c r="C339" s="17" t="s">
        <v>227</v>
      </c>
      <c r="D339" s="17" t="str">
        <f>vlookup(C339,'1. 신청자리스트'!J:N,2,false)</f>
        <v>정상</v>
      </c>
      <c r="E339" s="17"/>
      <c r="F339" s="17" t="s">
        <v>227</v>
      </c>
      <c r="G339" s="18">
        <v>35000.0</v>
      </c>
      <c r="H339" s="19" t="s">
        <v>4143</v>
      </c>
      <c r="I339" s="20"/>
      <c r="J339" s="20"/>
      <c r="K339" s="20"/>
      <c r="L339" s="21"/>
      <c r="M339" s="22"/>
      <c r="N339" s="22"/>
      <c r="O339" s="22"/>
      <c r="P339" s="22"/>
      <c r="Q339" s="22"/>
      <c r="R339" s="22"/>
      <c r="S339" s="22"/>
      <c r="T339" s="23"/>
    </row>
    <row r="340">
      <c r="A340" s="16" t="s">
        <v>3940</v>
      </c>
      <c r="B340" s="17" t="s">
        <v>3935</v>
      </c>
      <c r="C340" s="17" t="s">
        <v>228</v>
      </c>
      <c r="D340" s="17" t="str">
        <f>vlookup(C340,'1. 신청자리스트'!J:N,2,false)</f>
        <v>정상</v>
      </c>
      <c r="E340" s="17"/>
      <c r="F340" s="17" t="s">
        <v>228</v>
      </c>
      <c r="G340" s="18">
        <v>35000.0</v>
      </c>
      <c r="H340" s="19" t="s">
        <v>3946</v>
      </c>
      <c r="I340" s="20"/>
      <c r="J340" s="20"/>
      <c r="K340" s="20"/>
      <c r="L340" s="21"/>
      <c r="M340" s="22"/>
      <c r="N340" s="22"/>
      <c r="O340" s="22"/>
      <c r="P340" s="22"/>
      <c r="Q340" s="22"/>
      <c r="R340" s="22"/>
      <c r="S340" s="22"/>
      <c r="T340" s="23"/>
    </row>
    <row r="341">
      <c r="A341" s="24" t="s">
        <v>3945</v>
      </c>
      <c r="B341" s="25" t="s">
        <v>3935</v>
      </c>
      <c r="C341" s="25" t="s">
        <v>713</v>
      </c>
      <c r="D341" s="17" t="str">
        <f>vlookup(C341,'1. 신청자리스트'!J:N,2,false)</f>
        <v>정상</v>
      </c>
      <c r="E341" s="25"/>
      <c r="F341" s="25" t="s">
        <v>1695</v>
      </c>
      <c r="G341" s="26">
        <v>70000.0</v>
      </c>
      <c r="H341" s="27" t="s">
        <v>3990</v>
      </c>
      <c r="I341" s="28"/>
      <c r="J341" s="28"/>
      <c r="K341" s="28"/>
      <c r="L341" s="29"/>
      <c r="M341" s="22"/>
      <c r="N341" s="22"/>
      <c r="O341" s="22"/>
      <c r="P341" s="22"/>
      <c r="Q341" s="22"/>
      <c r="R341" s="22"/>
      <c r="S341" s="22"/>
      <c r="T341" s="23"/>
    </row>
    <row r="342">
      <c r="A342" s="16" t="s">
        <v>3984</v>
      </c>
      <c r="B342" s="17" t="s">
        <v>3935</v>
      </c>
      <c r="C342" s="17" t="s">
        <v>714</v>
      </c>
      <c r="D342" s="17" t="str">
        <f>vlookup(C342,'1. 신청자리스트'!J:N,2,false)</f>
        <v>정상</v>
      </c>
      <c r="E342" s="17"/>
      <c r="F342" s="17" t="s">
        <v>714</v>
      </c>
      <c r="G342" s="18">
        <v>70000.0</v>
      </c>
      <c r="H342" s="19" t="s">
        <v>3939</v>
      </c>
      <c r="I342" s="20"/>
      <c r="J342" s="20"/>
      <c r="K342" s="20"/>
      <c r="L342" s="21"/>
      <c r="M342" s="22"/>
      <c r="N342" s="22"/>
      <c r="O342" s="22"/>
      <c r="P342" s="22"/>
      <c r="Q342" s="22"/>
      <c r="R342" s="22"/>
      <c r="S342" s="22"/>
      <c r="T342" s="23"/>
    </row>
    <row r="343">
      <c r="A343" s="16" t="s">
        <v>3942</v>
      </c>
      <c r="B343" s="17" t="s">
        <v>3935</v>
      </c>
      <c r="C343" s="17" t="s">
        <v>229</v>
      </c>
      <c r="D343" s="17" t="str">
        <f>vlookup(C343,'1. 신청자리스트'!J:N,2,false)</f>
        <v>정상</v>
      </c>
      <c r="E343" s="17"/>
      <c r="F343" s="17" t="s">
        <v>4144</v>
      </c>
      <c r="G343" s="18">
        <v>35000.0</v>
      </c>
      <c r="H343" s="19" t="s">
        <v>3983</v>
      </c>
      <c r="I343" s="20"/>
      <c r="J343" s="20"/>
      <c r="K343" s="20"/>
      <c r="L343" s="21"/>
      <c r="M343" s="22"/>
      <c r="N343" s="22"/>
      <c r="O343" s="22"/>
      <c r="P343" s="22"/>
      <c r="Q343" s="22"/>
      <c r="R343" s="22"/>
      <c r="S343" s="22"/>
      <c r="T343" s="23"/>
    </row>
    <row r="344">
      <c r="A344" s="16" t="s">
        <v>3942</v>
      </c>
      <c r="B344" s="17" t="s">
        <v>3932</v>
      </c>
      <c r="C344" s="17" t="s">
        <v>715</v>
      </c>
      <c r="D344" s="17" t="str">
        <f>vlookup(C344,'1. 신청자리스트'!J:N,2,false)</f>
        <v>정상</v>
      </c>
      <c r="E344" s="17"/>
      <c r="F344" s="17" t="s">
        <v>715</v>
      </c>
      <c r="G344" s="18">
        <v>70000.0</v>
      </c>
      <c r="H344" s="19" t="s">
        <v>4145</v>
      </c>
      <c r="I344" s="20"/>
      <c r="J344" s="20"/>
      <c r="K344" s="20"/>
      <c r="L344" s="21"/>
      <c r="M344" s="22"/>
      <c r="N344" s="22"/>
      <c r="O344" s="22"/>
      <c r="P344" s="22"/>
      <c r="Q344" s="22"/>
      <c r="R344" s="22"/>
      <c r="S344" s="22"/>
      <c r="T344" s="23"/>
    </row>
    <row r="345">
      <c r="A345" s="16" t="s">
        <v>3949</v>
      </c>
      <c r="B345" s="17" t="s">
        <v>3935</v>
      </c>
      <c r="C345" s="17" t="s">
        <v>716</v>
      </c>
      <c r="D345" s="17" t="str">
        <f>vlookup(C345,'1. 신청자리스트'!J:N,2,false)</f>
        <v>정상</v>
      </c>
      <c r="E345" s="17"/>
      <c r="F345" s="17" t="s">
        <v>716</v>
      </c>
      <c r="G345" s="18">
        <v>70000.0</v>
      </c>
      <c r="H345" s="19" t="s">
        <v>3948</v>
      </c>
      <c r="I345" s="20"/>
      <c r="J345" s="20"/>
      <c r="K345" s="20"/>
      <c r="L345" s="21"/>
      <c r="M345" s="22"/>
      <c r="N345" s="22"/>
      <c r="O345" s="22"/>
      <c r="P345" s="22"/>
      <c r="Q345" s="22"/>
      <c r="R345" s="22"/>
      <c r="S345" s="22"/>
      <c r="T345" s="23"/>
    </row>
    <row r="346">
      <c r="A346" s="24" t="s">
        <v>3940</v>
      </c>
      <c r="B346" s="25" t="s">
        <v>3935</v>
      </c>
      <c r="C346" s="25" t="s">
        <v>230</v>
      </c>
      <c r="D346" s="17" t="str">
        <f>vlookup(C346,'1. 신청자리스트'!J:N,2,false)</f>
        <v>정상</v>
      </c>
      <c r="E346" s="25"/>
      <c r="F346" s="25" t="s">
        <v>2597</v>
      </c>
      <c r="G346" s="26">
        <v>35000.0</v>
      </c>
      <c r="H346" s="27" t="s">
        <v>3939</v>
      </c>
      <c r="I346" s="28"/>
      <c r="J346" s="28"/>
      <c r="K346" s="28"/>
      <c r="L346" s="29"/>
      <c r="M346" s="22"/>
      <c r="N346" s="22"/>
      <c r="O346" s="22"/>
      <c r="P346" s="22"/>
      <c r="Q346" s="22"/>
      <c r="R346" s="22"/>
      <c r="S346" s="22"/>
      <c r="T346" s="23"/>
    </row>
    <row r="347">
      <c r="A347" s="16" t="s">
        <v>3949</v>
      </c>
      <c r="B347" s="17" t="s">
        <v>3932</v>
      </c>
      <c r="C347" s="17" t="s">
        <v>231</v>
      </c>
      <c r="D347" s="17" t="str">
        <f>vlookup(C347,'1. 신청자리스트'!J:N,2,false)</f>
        <v>정상</v>
      </c>
      <c r="E347" s="17"/>
      <c r="F347" s="17" t="s">
        <v>231</v>
      </c>
      <c r="G347" s="18">
        <v>35000.0</v>
      </c>
      <c r="H347" s="19" t="s">
        <v>4146</v>
      </c>
      <c r="I347" s="20"/>
      <c r="J347" s="20"/>
      <c r="K347" s="20"/>
      <c r="L347" s="21"/>
      <c r="M347" s="22"/>
      <c r="N347" s="22"/>
      <c r="O347" s="22"/>
      <c r="P347" s="22"/>
      <c r="Q347" s="22"/>
      <c r="R347" s="22"/>
      <c r="S347" s="22"/>
      <c r="T347" s="23"/>
    </row>
    <row r="348">
      <c r="A348" s="24" t="s">
        <v>3940</v>
      </c>
      <c r="B348" s="25" t="s">
        <v>3935</v>
      </c>
      <c r="C348" s="25" t="s">
        <v>717</v>
      </c>
      <c r="D348" s="17" t="str">
        <f>vlookup(C348,'1. 신청자리스트'!J:N,2,false)</f>
        <v>정상</v>
      </c>
      <c r="E348" s="25"/>
      <c r="F348" s="25" t="s">
        <v>2380</v>
      </c>
      <c r="G348" s="26">
        <v>70000.0</v>
      </c>
      <c r="H348" s="27" t="s">
        <v>3948</v>
      </c>
      <c r="I348" s="28"/>
      <c r="J348" s="28"/>
      <c r="K348" s="28"/>
      <c r="L348" s="29"/>
      <c r="M348" s="22"/>
      <c r="N348" s="22"/>
      <c r="O348" s="22"/>
      <c r="P348" s="22"/>
      <c r="Q348" s="22"/>
      <c r="R348" s="22"/>
      <c r="S348" s="22"/>
      <c r="T348" s="23"/>
    </row>
    <row r="349">
      <c r="A349" s="24" t="s">
        <v>3945</v>
      </c>
      <c r="B349" s="25" t="s">
        <v>3932</v>
      </c>
      <c r="C349" s="25" t="s">
        <v>718</v>
      </c>
      <c r="D349" s="17" t="str">
        <f>vlookup(C349,'1. 신청자리스트'!J:N,2,false)</f>
        <v>정상</v>
      </c>
      <c r="E349" s="25"/>
      <c r="F349" s="25" t="s">
        <v>1748</v>
      </c>
      <c r="G349" s="26">
        <v>70000.0</v>
      </c>
      <c r="H349" s="27" t="s">
        <v>4105</v>
      </c>
      <c r="I349" s="28"/>
      <c r="J349" s="28"/>
      <c r="K349" s="28"/>
      <c r="L349" s="29"/>
      <c r="M349" s="22"/>
      <c r="N349" s="22"/>
      <c r="O349" s="22"/>
      <c r="P349" s="22"/>
      <c r="Q349" s="22"/>
      <c r="R349" s="22"/>
      <c r="S349" s="22"/>
      <c r="T349" s="23"/>
    </row>
    <row r="350">
      <c r="A350" s="24" t="s">
        <v>3931</v>
      </c>
      <c r="B350" s="25" t="s">
        <v>3935</v>
      </c>
      <c r="C350" s="25" t="s">
        <v>719</v>
      </c>
      <c r="D350" s="17" t="str">
        <f>vlookup(C350,'1. 신청자리스트'!J:N,2,false)</f>
        <v>정상</v>
      </c>
      <c r="E350" s="25"/>
      <c r="F350" s="25" t="s">
        <v>2327</v>
      </c>
      <c r="G350" s="26">
        <v>70000.0</v>
      </c>
      <c r="H350" s="27" t="s">
        <v>3946</v>
      </c>
      <c r="I350" s="28"/>
      <c r="J350" s="28"/>
      <c r="K350" s="28"/>
      <c r="L350" s="29"/>
      <c r="M350" s="22"/>
      <c r="N350" s="22"/>
      <c r="O350" s="22"/>
      <c r="P350" s="22"/>
      <c r="Q350" s="22"/>
      <c r="R350" s="22"/>
      <c r="S350" s="22"/>
      <c r="T350" s="23"/>
    </row>
    <row r="351">
      <c r="A351" s="24" t="s">
        <v>3955</v>
      </c>
      <c r="B351" s="25" t="s">
        <v>3935</v>
      </c>
      <c r="C351" s="25" t="s">
        <v>720</v>
      </c>
      <c r="D351" s="17" t="str">
        <f>vlookup(C351,'1. 신청자리스트'!J:N,2,false)</f>
        <v>정상</v>
      </c>
      <c r="E351" s="25"/>
      <c r="F351" s="25" t="s">
        <v>2095</v>
      </c>
      <c r="G351" s="26">
        <v>70000.0</v>
      </c>
      <c r="H351" s="27" t="s">
        <v>3983</v>
      </c>
      <c r="I351" s="28"/>
      <c r="J351" s="28"/>
      <c r="K351" s="28"/>
      <c r="L351" s="29"/>
      <c r="M351" s="22"/>
      <c r="N351" s="22"/>
      <c r="O351" s="22"/>
      <c r="P351" s="22"/>
      <c r="Q351" s="22"/>
      <c r="R351" s="22"/>
      <c r="S351" s="22"/>
      <c r="T351" s="23"/>
    </row>
    <row r="352">
      <c r="A352" s="16" t="s">
        <v>3945</v>
      </c>
      <c r="B352" s="17" t="s">
        <v>3935</v>
      </c>
      <c r="C352" s="17" t="s">
        <v>721</v>
      </c>
      <c r="D352" s="17" t="str">
        <f>vlookup(C352,'1. 신청자리스트'!J:N,2,false)</f>
        <v>정상</v>
      </c>
      <c r="E352" s="17"/>
      <c r="F352" s="17" t="s">
        <v>721</v>
      </c>
      <c r="G352" s="18">
        <v>70000.0</v>
      </c>
      <c r="H352" s="19" t="s">
        <v>3983</v>
      </c>
      <c r="I352" s="20"/>
      <c r="J352" s="20"/>
      <c r="K352" s="20"/>
      <c r="L352" s="21"/>
      <c r="M352" s="22"/>
      <c r="N352" s="22"/>
      <c r="O352" s="22"/>
      <c r="P352" s="22"/>
      <c r="Q352" s="22"/>
      <c r="R352" s="22"/>
      <c r="S352" s="22"/>
      <c r="T352" s="23"/>
    </row>
    <row r="353">
      <c r="A353" s="24" t="s">
        <v>3955</v>
      </c>
      <c r="B353" s="25" t="s">
        <v>3932</v>
      </c>
      <c r="C353" s="25" t="s">
        <v>233</v>
      </c>
      <c r="D353" s="17" t="str">
        <f>vlookup(C353,'1. 신청자리스트'!J:N,2,false)</f>
        <v>정상</v>
      </c>
      <c r="E353" s="25"/>
      <c r="F353" s="25" t="s">
        <v>3309</v>
      </c>
      <c r="G353" s="26">
        <v>35000.0</v>
      </c>
      <c r="H353" s="27" t="s">
        <v>4147</v>
      </c>
      <c r="I353" s="28"/>
      <c r="J353" s="28"/>
      <c r="K353" s="28"/>
      <c r="L353" s="29"/>
      <c r="M353" s="22"/>
      <c r="N353" s="22"/>
      <c r="O353" s="22"/>
      <c r="P353" s="22"/>
      <c r="Q353" s="22"/>
      <c r="R353" s="22"/>
      <c r="S353" s="22"/>
      <c r="T353" s="23"/>
    </row>
    <row r="354">
      <c r="A354" s="16" t="s">
        <v>3945</v>
      </c>
      <c r="B354" s="17" t="s">
        <v>3943</v>
      </c>
      <c r="C354" s="17" t="s">
        <v>234</v>
      </c>
      <c r="D354" s="17" t="str">
        <f>vlookup(C354,'1. 신청자리스트'!J:N,2,false)</f>
        <v>정상</v>
      </c>
      <c r="E354" s="17"/>
      <c r="F354" s="17" t="s">
        <v>234</v>
      </c>
      <c r="G354" s="18">
        <v>35000.0</v>
      </c>
      <c r="H354" s="19" t="s">
        <v>3944</v>
      </c>
      <c r="I354" s="20"/>
      <c r="J354" s="20"/>
      <c r="K354" s="20"/>
      <c r="L354" s="21"/>
      <c r="M354" s="22"/>
      <c r="N354" s="22"/>
      <c r="O354" s="22"/>
      <c r="P354" s="22"/>
      <c r="Q354" s="22"/>
      <c r="R354" s="22"/>
      <c r="S354" s="22"/>
      <c r="T354" s="23"/>
    </row>
    <row r="355">
      <c r="A355" s="24" t="s">
        <v>3989</v>
      </c>
      <c r="B355" s="25" t="s">
        <v>3935</v>
      </c>
      <c r="C355" s="25" t="s">
        <v>722</v>
      </c>
      <c r="D355" s="17" t="str">
        <f>vlookup(C355,'1. 신청자리스트'!J:N,2,false)</f>
        <v>정상</v>
      </c>
      <c r="E355" s="25"/>
      <c r="F355" s="25" t="s">
        <v>2124</v>
      </c>
      <c r="G355" s="26">
        <v>70000.0</v>
      </c>
      <c r="H355" s="27" t="s">
        <v>3939</v>
      </c>
      <c r="I355" s="28"/>
      <c r="J355" s="28"/>
      <c r="K355" s="28"/>
      <c r="L355" s="29"/>
      <c r="M355" s="22"/>
      <c r="N355" s="22"/>
      <c r="O355" s="22"/>
      <c r="P355" s="22"/>
      <c r="Q355" s="22"/>
      <c r="R355" s="22"/>
      <c r="S355" s="22"/>
      <c r="T355" s="23"/>
    </row>
    <row r="356">
      <c r="A356" s="24" t="s">
        <v>4148</v>
      </c>
      <c r="B356" s="25" t="s">
        <v>3935</v>
      </c>
      <c r="C356" s="25" t="s">
        <v>723</v>
      </c>
      <c r="D356" s="17" t="str">
        <f>vlookup(C356,'1. 신청자리스트'!J:N,2,false)</f>
        <v>정상</v>
      </c>
      <c r="E356" s="25"/>
      <c r="F356" s="25" t="s">
        <v>2099</v>
      </c>
      <c r="G356" s="26">
        <v>70000.0</v>
      </c>
      <c r="H356" s="27" t="s">
        <v>3983</v>
      </c>
      <c r="I356" s="28"/>
      <c r="J356" s="28"/>
      <c r="K356" s="28"/>
      <c r="L356" s="29"/>
      <c r="M356" s="22"/>
      <c r="N356" s="22"/>
      <c r="O356" s="22"/>
      <c r="P356" s="22"/>
      <c r="Q356" s="22"/>
      <c r="R356" s="22"/>
      <c r="S356" s="22"/>
      <c r="T356" s="23"/>
    </row>
    <row r="357">
      <c r="A357" s="16" t="s">
        <v>3942</v>
      </c>
      <c r="B357" s="17" t="s">
        <v>3935</v>
      </c>
      <c r="C357" s="17" t="s">
        <v>724</v>
      </c>
      <c r="D357" s="17" t="str">
        <f>vlookup(C357,'1. 신청자리스트'!J:N,2,false)</f>
        <v>정상</v>
      </c>
      <c r="E357" s="17"/>
      <c r="F357" s="17" t="s">
        <v>4149</v>
      </c>
      <c r="G357" s="18">
        <v>70000.0</v>
      </c>
      <c r="H357" s="19" t="s">
        <v>3941</v>
      </c>
      <c r="I357" s="20"/>
      <c r="J357" s="20"/>
      <c r="K357" s="20"/>
      <c r="L357" s="21"/>
      <c r="M357" s="22"/>
      <c r="N357" s="22"/>
      <c r="O357" s="22"/>
      <c r="P357" s="22"/>
      <c r="Q357" s="22"/>
      <c r="R357" s="22"/>
      <c r="S357" s="22"/>
      <c r="T357" s="23"/>
    </row>
    <row r="358">
      <c r="A358" s="16" t="s">
        <v>3940</v>
      </c>
      <c r="B358" s="17" t="s">
        <v>3935</v>
      </c>
      <c r="C358" s="17" t="s">
        <v>727</v>
      </c>
      <c r="D358" s="17" t="str">
        <f>vlookup(C358,'1. 신청자리스트'!J:N,2,false)</f>
        <v>정상</v>
      </c>
      <c r="E358" s="17"/>
      <c r="F358" s="17" t="s">
        <v>727</v>
      </c>
      <c r="G358" s="18">
        <v>70000.0</v>
      </c>
      <c r="H358" s="19" t="s">
        <v>4041</v>
      </c>
      <c r="I358" s="20"/>
      <c r="J358" s="20"/>
      <c r="K358" s="20"/>
      <c r="L358" s="21"/>
      <c r="M358" s="22"/>
      <c r="N358" s="22"/>
      <c r="O358" s="22"/>
      <c r="P358" s="22"/>
      <c r="Q358" s="22"/>
      <c r="R358" s="22"/>
      <c r="S358" s="22"/>
      <c r="T358" s="23"/>
    </row>
    <row r="359">
      <c r="A359" s="16" t="s">
        <v>4056</v>
      </c>
      <c r="B359" s="17" t="s">
        <v>3935</v>
      </c>
      <c r="C359" s="17" t="s">
        <v>236</v>
      </c>
      <c r="D359" s="17" t="str">
        <f>vlookup(C359,'1. 신청자리스트'!J:N,2,false)</f>
        <v>정상</v>
      </c>
      <c r="E359" s="17"/>
      <c r="F359" s="17" t="s">
        <v>236</v>
      </c>
      <c r="G359" s="18">
        <v>35000.0</v>
      </c>
      <c r="H359" s="19" t="s">
        <v>3946</v>
      </c>
      <c r="I359" s="20"/>
      <c r="J359" s="20"/>
      <c r="K359" s="20"/>
      <c r="L359" s="21"/>
      <c r="M359" s="22"/>
      <c r="N359" s="22"/>
      <c r="O359" s="22"/>
      <c r="P359" s="22"/>
      <c r="Q359" s="22"/>
      <c r="R359" s="22"/>
      <c r="S359" s="22"/>
      <c r="T359" s="23"/>
    </row>
    <row r="360">
      <c r="A360" s="24" t="s">
        <v>3962</v>
      </c>
      <c r="B360" s="25" t="s">
        <v>3935</v>
      </c>
      <c r="C360" s="25" t="s">
        <v>237</v>
      </c>
      <c r="D360" s="17" t="str">
        <f>vlookup(C360,'1. 신청자리스트'!J:N,2,false)</f>
        <v>정상</v>
      </c>
      <c r="E360" s="25"/>
      <c r="F360" s="25" t="s">
        <v>3315</v>
      </c>
      <c r="G360" s="26">
        <v>35000.0</v>
      </c>
      <c r="H360" s="27" t="s">
        <v>3946</v>
      </c>
      <c r="I360" s="28"/>
      <c r="J360" s="28"/>
      <c r="K360" s="28"/>
      <c r="L360" s="29"/>
      <c r="M360" s="22"/>
      <c r="N360" s="22"/>
      <c r="O360" s="22"/>
      <c r="P360" s="22"/>
      <c r="Q360" s="22"/>
      <c r="R360" s="22"/>
      <c r="S360" s="22"/>
      <c r="T360" s="23"/>
    </row>
    <row r="361">
      <c r="A361" s="16" t="s">
        <v>4028</v>
      </c>
      <c r="B361" s="17" t="s">
        <v>3943</v>
      </c>
      <c r="C361" s="17" t="s">
        <v>729</v>
      </c>
      <c r="D361" s="17" t="str">
        <f>vlookup(C361,'1. 신청자리스트'!J:N,2,false)</f>
        <v>정상</v>
      </c>
      <c r="E361" s="17"/>
      <c r="F361" s="17" t="s">
        <v>729</v>
      </c>
      <c r="G361" s="18">
        <v>70000.0</v>
      </c>
      <c r="H361" s="19" t="s">
        <v>3944</v>
      </c>
      <c r="I361" s="20"/>
      <c r="J361" s="20"/>
      <c r="K361" s="20"/>
      <c r="L361" s="21"/>
      <c r="M361" s="22"/>
      <c r="N361" s="22"/>
      <c r="O361" s="22"/>
      <c r="P361" s="22"/>
      <c r="Q361" s="22"/>
      <c r="R361" s="22"/>
      <c r="S361" s="22"/>
      <c r="T361" s="23"/>
    </row>
    <row r="362">
      <c r="A362" s="24" t="s">
        <v>3953</v>
      </c>
      <c r="B362" s="25" t="s">
        <v>3935</v>
      </c>
      <c r="C362" s="25" t="s">
        <v>238</v>
      </c>
      <c r="D362" s="17" t="str">
        <f>vlookup(C362,'1. 신청자리스트'!J:N,2,false)</f>
        <v>정상</v>
      </c>
      <c r="E362" s="25"/>
      <c r="F362" s="25" t="s">
        <v>3317</v>
      </c>
      <c r="G362" s="26">
        <v>35000.0</v>
      </c>
      <c r="H362" s="27" t="s">
        <v>3948</v>
      </c>
      <c r="I362" s="28"/>
      <c r="J362" s="28"/>
      <c r="K362" s="28"/>
      <c r="L362" s="29"/>
      <c r="M362" s="22"/>
      <c r="N362" s="22"/>
      <c r="O362" s="22"/>
      <c r="P362" s="22"/>
      <c r="Q362" s="22"/>
      <c r="R362" s="22"/>
      <c r="S362" s="22"/>
      <c r="T362" s="23"/>
    </row>
    <row r="363">
      <c r="A363" s="16" t="s">
        <v>3949</v>
      </c>
      <c r="B363" s="17" t="s">
        <v>3935</v>
      </c>
      <c r="C363" s="17" t="s">
        <v>730</v>
      </c>
      <c r="D363" s="17" t="str">
        <f>vlookup(C363,'1. 신청자리스트'!J:N,2,false)</f>
        <v>정상</v>
      </c>
      <c r="E363" s="17"/>
      <c r="F363" s="17" t="s">
        <v>730</v>
      </c>
      <c r="G363" s="18">
        <v>70000.0</v>
      </c>
      <c r="H363" s="19" t="s">
        <v>3946</v>
      </c>
      <c r="I363" s="20"/>
      <c r="J363" s="20"/>
      <c r="K363" s="20"/>
      <c r="L363" s="21"/>
      <c r="M363" s="22"/>
      <c r="N363" s="22"/>
      <c r="O363" s="22"/>
      <c r="P363" s="22"/>
      <c r="Q363" s="22"/>
      <c r="R363" s="22"/>
      <c r="S363" s="22"/>
      <c r="T363" s="23"/>
    </row>
    <row r="364">
      <c r="A364" s="16" t="s">
        <v>3999</v>
      </c>
      <c r="B364" s="17" t="s">
        <v>3935</v>
      </c>
      <c r="C364" s="17" t="s">
        <v>240</v>
      </c>
      <c r="D364" s="17" t="str">
        <f>vlookup(C364,'1. 신청자리스트'!J:N,2,false)</f>
        <v>정상</v>
      </c>
      <c r="E364" s="17"/>
      <c r="F364" s="17" t="s">
        <v>240</v>
      </c>
      <c r="G364" s="18">
        <v>35000.0</v>
      </c>
      <c r="H364" s="19" t="s">
        <v>3941</v>
      </c>
      <c r="I364" s="20"/>
      <c r="J364" s="20"/>
      <c r="K364" s="20"/>
      <c r="L364" s="21"/>
      <c r="M364" s="22"/>
      <c r="N364" s="22"/>
      <c r="O364" s="22"/>
      <c r="P364" s="22"/>
      <c r="Q364" s="22"/>
      <c r="R364" s="22"/>
      <c r="S364" s="22"/>
      <c r="T364" s="23"/>
    </row>
    <row r="365">
      <c r="A365" s="16" t="s">
        <v>4150</v>
      </c>
      <c r="B365" s="17" t="s">
        <v>3935</v>
      </c>
      <c r="C365" s="17" t="s">
        <v>731</v>
      </c>
      <c r="D365" s="17" t="str">
        <f>vlookup(C365,'1. 신청자리스트'!J:N,2,false)</f>
        <v>정상</v>
      </c>
      <c r="E365" s="17"/>
      <c r="F365" s="17" t="s">
        <v>731</v>
      </c>
      <c r="G365" s="18">
        <v>70000.0</v>
      </c>
      <c r="H365" s="19" t="s">
        <v>3990</v>
      </c>
      <c r="I365" s="20"/>
      <c r="J365" s="20"/>
      <c r="K365" s="20"/>
      <c r="L365" s="21"/>
      <c r="M365" s="22"/>
      <c r="N365" s="22"/>
      <c r="O365" s="22"/>
      <c r="P365" s="22"/>
      <c r="Q365" s="22"/>
      <c r="R365" s="22"/>
      <c r="S365" s="22"/>
      <c r="T365" s="23"/>
    </row>
    <row r="366">
      <c r="A366" s="16" t="s">
        <v>3945</v>
      </c>
      <c r="B366" s="17" t="s">
        <v>3935</v>
      </c>
      <c r="C366" s="17" t="s">
        <v>242</v>
      </c>
      <c r="D366" s="17" t="str">
        <f>vlookup(C366,'1. 신청자리스트'!J:N,2,false)</f>
        <v>정상</v>
      </c>
      <c r="E366" s="17"/>
      <c r="F366" s="17" t="s">
        <v>242</v>
      </c>
      <c r="G366" s="18">
        <v>35000.0</v>
      </c>
      <c r="H366" s="19" t="s">
        <v>3937</v>
      </c>
      <c r="I366" s="20"/>
      <c r="J366" s="20"/>
      <c r="K366" s="20"/>
      <c r="L366" s="21"/>
      <c r="M366" s="22"/>
      <c r="N366" s="22"/>
      <c r="O366" s="22"/>
      <c r="P366" s="22"/>
      <c r="Q366" s="22"/>
      <c r="R366" s="22"/>
      <c r="S366" s="22"/>
      <c r="T366" s="23"/>
    </row>
    <row r="367">
      <c r="A367" s="24" t="s">
        <v>3945</v>
      </c>
      <c r="B367" s="25" t="s">
        <v>3935</v>
      </c>
      <c r="C367" s="25" t="s">
        <v>734</v>
      </c>
      <c r="D367" s="17" t="str">
        <f>vlookup(C367,'1. 신청자리스트'!J:N,2,false)</f>
        <v>정상</v>
      </c>
      <c r="E367" s="25"/>
      <c r="F367" s="25" t="s">
        <v>2491</v>
      </c>
      <c r="G367" s="26">
        <v>70000.0</v>
      </c>
      <c r="H367" s="27" t="s">
        <v>3946</v>
      </c>
      <c r="I367" s="28"/>
      <c r="J367" s="28"/>
      <c r="K367" s="28"/>
      <c r="L367" s="29"/>
      <c r="M367" s="22"/>
      <c r="N367" s="22"/>
      <c r="O367" s="22"/>
      <c r="P367" s="22"/>
      <c r="Q367" s="22"/>
      <c r="R367" s="22"/>
      <c r="S367" s="22"/>
      <c r="T367" s="23"/>
    </row>
    <row r="368">
      <c r="A368" s="16" t="s">
        <v>4151</v>
      </c>
      <c r="B368" s="17" t="s">
        <v>3935</v>
      </c>
      <c r="C368" s="17" t="s">
        <v>244</v>
      </c>
      <c r="D368" s="17" t="str">
        <f>vlookup(C368,'1. 신청자리스트'!J:N,2,false)</f>
        <v>정상</v>
      </c>
      <c r="E368" s="17"/>
      <c r="F368" s="17" t="s">
        <v>244</v>
      </c>
      <c r="G368" s="18">
        <v>35000.0</v>
      </c>
      <c r="H368" s="19" t="s">
        <v>3941</v>
      </c>
      <c r="I368" s="20"/>
      <c r="J368" s="20"/>
      <c r="K368" s="20"/>
      <c r="L368" s="21"/>
      <c r="M368" s="22"/>
      <c r="N368" s="22"/>
      <c r="O368" s="22"/>
      <c r="P368" s="22"/>
      <c r="Q368" s="22"/>
      <c r="R368" s="22"/>
      <c r="S368" s="22"/>
      <c r="T368" s="23"/>
    </row>
    <row r="369">
      <c r="A369" s="16" t="s">
        <v>3989</v>
      </c>
      <c r="B369" s="17" t="s">
        <v>3935</v>
      </c>
      <c r="C369" s="17" t="s">
        <v>246</v>
      </c>
      <c r="D369" s="17" t="str">
        <f>vlookup(C369,'1. 신청자리스트'!J:N,2,false)</f>
        <v>정상</v>
      </c>
      <c r="E369" s="17"/>
      <c r="F369" s="17" t="s">
        <v>246</v>
      </c>
      <c r="G369" s="18">
        <v>35000.0</v>
      </c>
      <c r="H369" s="19" t="s">
        <v>3948</v>
      </c>
      <c r="I369" s="20"/>
      <c r="J369" s="20"/>
      <c r="K369" s="20"/>
      <c r="L369" s="21"/>
      <c r="M369" s="22"/>
      <c r="N369" s="22"/>
      <c r="O369" s="22"/>
      <c r="P369" s="22"/>
      <c r="Q369" s="22"/>
      <c r="R369" s="22"/>
      <c r="S369" s="22"/>
      <c r="T369" s="23"/>
    </row>
    <row r="370">
      <c r="A370" s="16" t="s">
        <v>3962</v>
      </c>
      <c r="B370" s="17" t="s">
        <v>3935</v>
      </c>
      <c r="C370" s="17" t="s">
        <v>735</v>
      </c>
      <c r="D370" s="17" t="str">
        <f>vlookup(C370,'1. 신청자리스트'!J:N,2,false)</f>
        <v>정상</v>
      </c>
      <c r="E370" s="17"/>
      <c r="F370" s="17" t="s">
        <v>735</v>
      </c>
      <c r="G370" s="18">
        <v>70000.0</v>
      </c>
      <c r="H370" s="19" t="s">
        <v>3948</v>
      </c>
      <c r="I370" s="20"/>
      <c r="J370" s="20"/>
      <c r="K370" s="20"/>
      <c r="L370" s="21"/>
      <c r="M370" s="22"/>
      <c r="N370" s="22"/>
      <c r="O370" s="22"/>
      <c r="P370" s="22"/>
      <c r="Q370" s="22"/>
      <c r="R370" s="22"/>
      <c r="S370" s="22"/>
      <c r="T370" s="23"/>
    </row>
    <row r="371">
      <c r="A371" s="24" t="s">
        <v>3942</v>
      </c>
      <c r="B371" s="25" t="s">
        <v>3935</v>
      </c>
      <c r="C371" s="25" t="s">
        <v>247</v>
      </c>
      <c r="D371" s="17" t="str">
        <f>vlookup(C371,'1. 신청자리스트'!J:N,2,false)</f>
        <v>정상</v>
      </c>
      <c r="E371" s="25"/>
      <c r="F371" s="25" t="s">
        <v>4152</v>
      </c>
      <c r="G371" s="26">
        <v>35000.0</v>
      </c>
      <c r="H371" s="27" t="s">
        <v>3946</v>
      </c>
      <c r="I371" s="28"/>
      <c r="J371" s="28"/>
      <c r="K371" s="28"/>
      <c r="L371" s="29"/>
      <c r="M371" s="22"/>
      <c r="N371" s="22"/>
      <c r="O371" s="22"/>
      <c r="P371" s="22"/>
      <c r="Q371" s="22"/>
      <c r="R371" s="22"/>
      <c r="S371" s="22"/>
      <c r="T371" s="23"/>
    </row>
    <row r="372">
      <c r="A372" s="16" t="s">
        <v>3945</v>
      </c>
      <c r="B372" s="17" t="s">
        <v>3935</v>
      </c>
      <c r="C372" s="17" t="s">
        <v>737</v>
      </c>
      <c r="D372" s="17" t="str">
        <f>vlookup(C372,'1. 신청자리스트'!J:N,2,false)</f>
        <v>정상</v>
      </c>
      <c r="E372" s="17"/>
      <c r="F372" s="17" t="s">
        <v>737</v>
      </c>
      <c r="G372" s="18">
        <v>70000.0</v>
      </c>
      <c r="H372" s="19" t="s">
        <v>3946</v>
      </c>
      <c r="I372" s="20"/>
      <c r="J372" s="20"/>
      <c r="K372" s="20"/>
      <c r="L372" s="21"/>
      <c r="M372" s="22"/>
      <c r="N372" s="22"/>
      <c r="O372" s="22"/>
      <c r="P372" s="22"/>
      <c r="Q372" s="22"/>
      <c r="R372" s="22"/>
      <c r="S372" s="22"/>
      <c r="T372" s="23"/>
    </row>
    <row r="373">
      <c r="A373" s="16" t="s">
        <v>3989</v>
      </c>
      <c r="B373" s="17" t="s">
        <v>3993</v>
      </c>
      <c r="C373" s="17" t="s">
        <v>738</v>
      </c>
      <c r="D373" s="17" t="str">
        <f>vlookup(C373,'1. 신청자리스트'!J:N,2,false)</f>
        <v>정상</v>
      </c>
      <c r="E373" s="17"/>
      <c r="F373" s="17" t="s">
        <v>738</v>
      </c>
      <c r="G373" s="18">
        <v>70000.0</v>
      </c>
      <c r="H373" s="19" t="s">
        <v>3948</v>
      </c>
      <c r="I373" s="20"/>
      <c r="J373" s="20"/>
      <c r="K373" s="20"/>
      <c r="L373" s="21"/>
      <c r="M373" s="22"/>
      <c r="N373" s="22"/>
      <c r="O373" s="22"/>
      <c r="P373" s="22"/>
      <c r="Q373" s="22"/>
      <c r="R373" s="22"/>
      <c r="S373" s="22"/>
      <c r="T373" s="23"/>
    </row>
    <row r="374">
      <c r="A374" s="16" t="s">
        <v>3940</v>
      </c>
      <c r="B374" s="17" t="s">
        <v>3943</v>
      </c>
      <c r="C374" s="17" t="s">
        <v>248</v>
      </c>
      <c r="D374" s="17" t="str">
        <f>vlookup(C374,'1. 신청자리스트'!J:N,2,false)</f>
        <v>정상</v>
      </c>
      <c r="E374" s="17"/>
      <c r="F374" s="17" t="s">
        <v>248</v>
      </c>
      <c r="G374" s="18">
        <v>35000.0</v>
      </c>
      <c r="H374" s="19" t="s">
        <v>3944</v>
      </c>
      <c r="I374" s="20"/>
      <c r="J374" s="20"/>
      <c r="K374" s="20"/>
      <c r="L374" s="21"/>
      <c r="M374" s="22"/>
      <c r="N374" s="22"/>
      <c r="O374" s="22"/>
      <c r="P374" s="22"/>
      <c r="Q374" s="22"/>
      <c r="R374" s="22"/>
      <c r="S374" s="22"/>
      <c r="T374" s="23"/>
    </row>
    <row r="375">
      <c r="A375" s="16" t="s">
        <v>4030</v>
      </c>
      <c r="B375" s="17" t="s">
        <v>3935</v>
      </c>
      <c r="C375" s="17" t="s">
        <v>739</v>
      </c>
      <c r="D375" s="17" t="str">
        <f>vlookup(C375,'1. 신청자리스트'!J:N,2,false)</f>
        <v>정상</v>
      </c>
      <c r="E375" s="17"/>
      <c r="F375" s="17" t="s">
        <v>739</v>
      </c>
      <c r="G375" s="18">
        <v>70000.0</v>
      </c>
      <c r="H375" s="19" t="s">
        <v>3946</v>
      </c>
      <c r="I375" s="20"/>
      <c r="J375" s="20"/>
      <c r="K375" s="20"/>
      <c r="L375" s="21"/>
      <c r="M375" s="22"/>
      <c r="N375" s="22"/>
      <c r="O375" s="22"/>
      <c r="P375" s="22"/>
      <c r="Q375" s="22"/>
      <c r="R375" s="22"/>
      <c r="S375" s="22"/>
      <c r="T375" s="23"/>
    </row>
    <row r="376">
      <c r="A376" s="16" t="s">
        <v>3945</v>
      </c>
      <c r="B376" s="17" t="s">
        <v>3935</v>
      </c>
      <c r="C376" s="17" t="s">
        <v>249</v>
      </c>
      <c r="D376" s="17" t="str">
        <f>vlookup(C376,'1. 신청자리스트'!J:N,2,false)</f>
        <v>정상</v>
      </c>
      <c r="E376" s="17"/>
      <c r="F376" s="17" t="s">
        <v>249</v>
      </c>
      <c r="G376" s="18">
        <v>35000.0</v>
      </c>
      <c r="H376" s="19" t="s">
        <v>3983</v>
      </c>
      <c r="I376" s="20"/>
      <c r="J376" s="20"/>
      <c r="K376" s="20"/>
      <c r="L376" s="21"/>
      <c r="M376" s="22"/>
      <c r="N376" s="22"/>
      <c r="O376" s="22"/>
      <c r="P376" s="22"/>
      <c r="Q376" s="22"/>
      <c r="R376" s="22"/>
      <c r="S376" s="22"/>
      <c r="T376" s="23"/>
    </row>
    <row r="377">
      <c r="A377" s="16" t="s">
        <v>3940</v>
      </c>
      <c r="B377" s="17" t="s">
        <v>3935</v>
      </c>
      <c r="C377" s="17" t="s">
        <v>740</v>
      </c>
      <c r="D377" s="17" t="str">
        <f>vlookup(C377,'1. 신청자리스트'!J:N,2,false)</f>
        <v>정상</v>
      </c>
      <c r="E377" s="17"/>
      <c r="F377" s="17" t="s">
        <v>740</v>
      </c>
      <c r="G377" s="18">
        <v>70000.0</v>
      </c>
      <c r="H377" s="19" t="s">
        <v>3946</v>
      </c>
      <c r="I377" s="20"/>
      <c r="J377" s="20"/>
      <c r="K377" s="20"/>
      <c r="L377" s="21"/>
      <c r="M377" s="22"/>
      <c r="N377" s="22"/>
      <c r="O377" s="22"/>
      <c r="P377" s="22"/>
      <c r="Q377" s="22"/>
      <c r="R377" s="22"/>
      <c r="S377" s="22"/>
      <c r="T377" s="23"/>
    </row>
    <row r="378">
      <c r="A378" s="30" t="s">
        <v>3962</v>
      </c>
      <c r="B378" s="31" t="s">
        <v>3935</v>
      </c>
      <c r="C378" s="31" t="s">
        <v>4153</v>
      </c>
      <c r="D378" s="17" t="str">
        <f>vlookup(C378,'1. 신청자리스트'!J:N,2,false)</f>
        <v>정상</v>
      </c>
      <c r="E378" s="31"/>
      <c r="F378" s="31" t="s">
        <v>4153</v>
      </c>
      <c r="G378" s="32">
        <v>35000.0</v>
      </c>
      <c r="H378" s="33" t="s">
        <v>3939</v>
      </c>
      <c r="I378" s="34" t="str">
        <f>VLOOKUP(C378, '문의'!D:E, 2, FALSE)</f>
        <v>#N/A</v>
      </c>
      <c r="J378" s="34" t="s">
        <v>3827</v>
      </c>
      <c r="K378" s="36" t="s">
        <v>3957</v>
      </c>
      <c r="L378" s="37" t="s">
        <v>4154</v>
      </c>
      <c r="M378" s="42"/>
      <c r="N378" s="42"/>
      <c r="O378" s="42"/>
      <c r="P378" s="42"/>
      <c r="Q378" s="42"/>
      <c r="R378" s="44"/>
      <c r="S378" s="42"/>
      <c r="T378" s="23"/>
    </row>
    <row r="379">
      <c r="A379" s="16" t="s">
        <v>3940</v>
      </c>
      <c r="B379" s="17" t="s">
        <v>3932</v>
      </c>
      <c r="C379" s="17" t="s">
        <v>741</v>
      </c>
      <c r="D379" s="17" t="str">
        <f>vlookup(C379,'1. 신청자리스트'!J:N,2,false)</f>
        <v>정상</v>
      </c>
      <c r="E379" s="17"/>
      <c r="F379" s="17" t="s">
        <v>741</v>
      </c>
      <c r="G379" s="18">
        <v>70000.0</v>
      </c>
      <c r="H379" s="19" t="s">
        <v>4155</v>
      </c>
      <c r="I379" s="20"/>
      <c r="J379" s="20"/>
      <c r="K379" s="20"/>
      <c r="L379" s="21"/>
      <c r="M379" s="22"/>
      <c r="N379" s="22"/>
      <c r="O379" s="22"/>
      <c r="P379" s="22"/>
      <c r="Q379" s="22"/>
      <c r="R379" s="22"/>
      <c r="S379" s="22"/>
      <c r="T379" s="23"/>
    </row>
    <row r="380">
      <c r="A380" s="30" t="s">
        <v>4156</v>
      </c>
      <c r="B380" s="31" t="s">
        <v>4157</v>
      </c>
      <c r="C380" s="31" t="s">
        <v>4158</v>
      </c>
      <c r="D380" s="17" t="str">
        <f>vlookup(C380,'1. 신청자리스트'!J:N,2,false)</f>
        <v>정상</v>
      </c>
      <c r="E380" s="31"/>
      <c r="F380" s="31" t="s">
        <v>4158</v>
      </c>
      <c r="G380" s="32">
        <v>35000.0</v>
      </c>
      <c r="H380" s="33" t="s">
        <v>4159</v>
      </c>
      <c r="I380" s="34" t="str">
        <f>VLOOKUP(C380, '문의'!D:E, 2, FALSE)</f>
        <v>[기타문의] 취소요청 했는데 죄송합니다만 다시 취소안하면 안되는지요 혹시 환불 아직 안됐으니 그냥 두시면 안될까요</v>
      </c>
      <c r="J380" s="34">
        <f t="array" ref="J380">INDEX('문의'!C:C, MATCH(C380, '문의'!D:D, 0))</f>
        <v>1020145896</v>
      </c>
      <c r="K380" s="34" t="s">
        <v>3957</v>
      </c>
      <c r="L380" s="37" t="s">
        <v>4160</v>
      </c>
      <c r="M380" s="42"/>
      <c r="N380" s="42"/>
      <c r="O380" s="42"/>
      <c r="P380" s="42"/>
      <c r="Q380" s="42"/>
      <c r="R380" s="44"/>
      <c r="S380" s="42"/>
      <c r="T380" s="23"/>
    </row>
    <row r="381">
      <c r="A381" s="16" t="s">
        <v>3955</v>
      </c>
      <c r="B381" s="17" t="s">
        <v>3935</v>
      </c>
      <c r="C381" s="25" t="s">
        <v>742</v>
      </c>
      <c r="D381" s="17" t="str">
        <f>vlookup(C381,'1. 신청자리스트'!J:N,2,false)</f>
        <v>정상</v>
      </c>
      <c r="E381" s="17"/>
      <c r="F381" s="17" t="s">
        <v>4161</v>
      </c>
      <c r="G381" s="18">
        <v>70000.0</v>
      </c>
      <c r="H381" s="19" t="s">
        <v>3948</v>
      </c>
      <c r="I381" s="28"/>
      <c r="J381" s="28"/>
      <c r="K381" s="28"/>
      <c r="L381" s="29"/>
      <c r="M381" s="22"/>
      <c r="N381" s="22"/>
      <c r="O381" s="22"/>
      <c r="P381" s="22"/>
      <c r="Q381" s="22"/>
      <c r="R381" s="22"/>
      <c r="S381" s="22"/>
      <c r="T381" s="23"/>
    </row>
    <row r="382">
      <c r="A382" s="16" t="s">
        <v>3945</v>
      </c>
      <c r="B382" s="17" t="s">
        <v>3932</v>
      </c>
      <c r="C382" s="17" t="s">
        <v>743</v>
      </c>
      <c r="D382" s="17" t="str">
        <f>vlookup(C382,'1. 신청자리스트'!J:N,2,false)</f>
        <v>정상</v>
      </c>
      <c r="E382" s="17"/>
      <c r="F382" s="17" t="s">
        <v>743</v>
      </c>
      <c r="G382" s="18">
        <v>70000.0</v>
      </c>
      <c r="H382" s="19" t="s">
        <v>4162</v>
      </c>
      <c r="I382" s="20"/>
      <c r="J382" s="20"/>
      <c r="K382" s="20"/>
      <c r="L382" s="21"/>
      <c r="M382" s="22"/>
      <c r="N382" s="22"/>
      <c r="O382" s="22"/>
      <c r="P382" s="22"/>
      <c r="Q382" s="22"/>
      <c r="R382" s="22"/>
      <c r="S382" s="22"/>
      <c r="T382" s="23"/>
    </row>
    <row r="383">
      <c r="A383" s="16" t="s">
        <v>4071</v>
      </c>
      <c r="B383" s="17" t="s">
        <v>3932</v>
      </c>
      <c r="C383" s="17" t="s">
        <v>251</v>
      </c>
      <c r="D383" s="17" t="str">
        <f>vlookup(C383,'1. 신청자리스트'!J:N,2,false)</f>
        <v>정상</v>
      </c>
      <c r="E383" s="17"/>
      <c r="F383" s="17" t="s">
        <v>251</v>
      </c>
      <c r="G383" s="18">
        <v>35000.0</v>
      </c>
      <c r="H383" s="19" t="s">
        <v>4163</v>
      </c>
      <c r="I383" s="20"/>
      <c r="J383" s="20"/>
      <c r="K383" s="20"/>
      <c r="L383" s="21"/>
      <c r="M383" s="22"/>
      <c r="N383" s="22"/>
      <c r="O383" s="22"/>
      <c r="P383" s="22"/>
      <c r="Q383" s="22"/>
      <c r="R383" s="22"/>
      <c r="S383" s="22"/>
      <c r="T383" s="41"/>
    </row>
    <row r="384">
      <c r="A384" s="16" t="s">
        <v>3945</v>
      </c>
      <c r="B384" s="17" t="s">
        <v>3935</v>
      </c>
      <c r="C384" s="17" t="s">
        <v>252</v>
      </c>
      <c r="D384" s="17" t="str">
        <f>vlookup(C384,'1. 신청자리스트'!J:N,2,false)</f>
        <v>정상</v>
      </c>
      <c r="E384" s="17"/>
      <c r="F384" s="17" t="s">
        <v>252</v>
      </c>
      <c r="G384" s="18">
        <v>35000.0</v>
      </c>
      <c r="H384" s="19" t="s">
        <v>3948</v>
      </c>
      <c r="I384" s="20"/>
      <c r="J384" s="20"/>
      <c r="K384" s="20"/>
      <c r="L384" s="21"/>
      <c r="M384" s="22"/>
      <c r="N384" s="22"/>
      <c r="O384" s="22"/>
      <c r="P384" s="22"/>
      <c r="Q384" s="22"/>
      <c r="R384" s="22"/>
      <c r="S384" s="22"/>
      <c r="T384" s="23"/>
    </row>
    <row r="385">
      <c r="A385" s="24" t="s">
        <v>3989</v>
      </c>
      <c r="B385" s="25" t="s">
        <v>3935</v>
      </c>
      <c r="C385" s="25" t="s">
        <v>254</v>
      </c>
      <c r="D385" s="17" t="str">
        <f>vlookup(C385,'1. 신청자리스트'!J:N,2,false)</f>
        <v>정상</v>
      </c>
      <c r="E385" s="25"/>
      <c r="F385" s="25" t="s">
        <v>3337</v>
      </c>
      <c r="G385" s="26">
        <v>35000.0</v>
      </c>
      <c r="H385" s="27" t="s">
        <v>3939</v>
      </c>
      <c r="I385" s="28"/>
      <c r="J385" s="28"/>
      <c r="K385" s="28"/>
      <c r="L385" s="29"/>
      <c r="M385" s="22"/>
      <c r="N385" s="22"/>
      <c r="O385" s="22"/>
      <c r="P385" s="22"/>
      <c r="Q385" s="22"/>
      <c r="R385" s="22"/>
      <c r="S385" s="22"/>
      <c r="T385" s="41"/>
    </row>
    <row r="386">
      <c r="A386" s="16" t="s">
        <v>4164</v>
      </c>
      <c r="B386" s="17" t="s">
        <v>3935</v>
      </c>
      <c r="C386" s="17" t="s">
        <v>255</v>
      </c>
      <c r="D386" s="17" t="str">
        <f>vlookup(C386,'1. 신청자리스트'!J:N,2,false)</f>
        <v>정상</v>
      </c>
      <c r="E386" s="17"/>
      <c r="F386" s="17" t="s">
        <v>255</v>
      </c>
      <c r="G386" s="18">
        <v>35000.0</v>
      </c>
      <c r="H386" s="19" t="s">
        <v>3946</v>
      </c>
      <c r="I386" s="20"/>
      <c r="J386" s="20"/>
      <c r="K386" s="20"/>
      <c r="L386" s="21"/>
      <c r="M386" s="22"/>
      <c r="N386" s="22"/>
      <c r="O386" s="22"/>
      <c r="P386" s="22"/>
      <c r="Q386" s="22"/>
      <c r="R386" s="22"/>
      <c r="S386" s="22"/>
      <c r="T386" s="23"/>
    </row>
    <row r="387">
      <c r="A387" s="24" t="s">
        <v>3940</v>
      </c>
      <c r="B387" s="25" t="s">
        <v>3935</v>
      </c>
      <c r="C387" s="25" t="s">
        <v>257</v>
      </c>
      <c r="D387" s="17" t="str">
        <f>vlookup(C387,'1. 신청자리스트'!J:N,2,false)</f>
        <v>정상</v>
      </c>
      <c r="E387" s="25"/>
      <c r="F387" s="25" t="s">
        <v>3341</v>
      </c>
      <c r="G387" s="26">
        <v>35000.0</v>
      </c>
      <c r="H387" s="27" t="s">
        <v>3946</v>
      </c>
      <c r="I387" s="28"/>
      <c r="J387" s="28"/>
      <c r="K387" s="28"/>
      <c r="L387" s="29"/>
      <c r="M387" s="22"/>
      <c r="N387" s="22"/>
      <c r="O387" s="22"/>
      <c r="P387" s="22"/>
      <c r="Q387" s="22"/>
      <c r="R387" s="22"/>
      <c r="S387" s="22"/>
      <c r="T387" s="23"/>
    </row>
    <row r="388">
      <c r="A388" s="16" t="s">
        <v>3931</v>
      </c>
      <c r="B388" s="17" t="s">
        <v>3935</v>
      </c>
      <c r="C388" s="17" t="s">
        <v>744</v>
      </c>
      <c r="D388" s="17" t="str">
        <f>vlookup(C388,'1. 신청자리스트'!J:N,2,false)</f>
        <v>정상</v>
      </c>
      <c r="E388" s="17"/>
      <c r="F388" s="17" t="s">
        <v>744</v>
      </c>
      <c r="G388" s="18">
        <v>70000.0</v>
      </c>
      <c r="H388" s="19" t="s">
        <v>3948</v>
      </c>
      <c r="I388" s="20"/>
      <c r="J388" s="20"/>
      <c r="K388" s="20"/>
      <c r="L388" s="21"/>
      <c r="M388" s="22"/>
      <c r="N388" s="22"/>
      <c r="O388" s="22"/>
      <c r="P388" s="22"/>
      <c r="Q388" s="22"/>
      <c r="R388" s="22"/>
      <c r="S388" s="22"/>
      <c r="T388" s="23"/>
    </row>
    <row r="389">
      <c r="A389" s="24" t="s">
        <v>3985</v>
      </c>
      <c r="B389" s="25" t="s">
        <v>3935</v>
      </c>
      <c r="C389" s="25" t="s">
        <v>148</v>
      </c>
      <c r="D389" s="17" t="str">
        <f>vlookup(C389,'1. 신청자리스트'!J:N,2,false)</f>
        <v>중복</v>
      </c>
      <c r="E389" s="25"/>
      <c r="F389" s="25" t="s">
        <v>148</v>
      </c>
      <c r="G389" s="26">
        <v>70000.0</v>
      </c>
      <c r="H389" s="27" t="s">
        <v>3941</v>
      </c>
      <c r="I389" s="28"/>
      <c r="J389" s="28"/>
      <c r="K389" s="28"/>
      <c r="L389" s="29"/>
      <c r="M389" s="22"/>
      <c r="N389" s="22"/>
      <c r="O389" s="22"/>
      <c r="P389" s="22"/>
      <c r="Q389" s="22"/>
      <c r="R389" s="22"/>
      <c r="S389" s="22"/>
      <c r="T389" s="23"/>
    </row>
    <row r="390">
      <c r="A390" s="24" t="s">
        <v>3962</v>
      </c>
      <c r="B390" s="25" t="s">
        <v>3935</v>
      </c>
      <c r="C390" s="25" t="s">
        <v>155</v>
      </c>
      <c r="D390" s="17" t="str">
        <f>vlookup(C390,'1. 신청자리스트'!J:N,2,false)</f>
        <v>중복</v>
      </c>
      <c r="E390" s="25"/>
      <c r="F390" s="25" t="s">
        <v>155</v>
      </c>
      <c r="G390" s="26">
        <v>70000.0</v>
      </c>
      <c r="H390" s="27" t="s">
        <v>3948</v>
      </c>
      <c r="I390" s="28"/>
      <c r="J390" s="28"/>
      <c r="K390" s="28"/>
      <c r="L390" s="29"/>
      <c r="M390" s="22"/>
      <c r="N390" s="22"/>
      <c r="O390" s="22"/>
      <c r="P390" s="22"/>
      <c r="Q390" s="22"/>
      <c r="R390" s="22"/>
      <c r="S390" s="22"/>
      <c r="T390" s="23"/>
    </row>
    <row r="391">
      <c r="A391" s="16" t="s">
        <v>3989</v>
      </c>
      <c r="B391" s="17" t="s">
        <v>3935</v>
      </c>
      <c r="C391" s="17" t="s">
        <v>675</v>
      </c>
      <c r="D391" s="17" t="str">
        <f>vlookup(C391,'1. 신청자리스트'!J:N,2,false)</f>
        <v>중복</v>
      </c>
      <c r="E391" s="17"/>
      <c r="F391" s="17" t="s">
        <v>675</v>
      </c>
      <c r="G391" s="18">
        <v>70000.0</v>
      </c>
      <c r="H391" s="19" t="s">
        <v>3939</v>
      </c>
      <c r="I391" s="20"/>
      <c r="J391" s="20"/>
      <c r="K391" s="20"/>
      <c r="L391" s="21"/>
      <c r="M391" s="22"/>
      <c r="N391" s="22"/>
      <c r="O391" s="22"/>
      <c r="P391" s="22"/>
      <c r="Q391" s="22"/>
      <c r="R391" s="22"/>
      <c r="S391" s="22"/>
      <c r="T391" s="23"/>
    </row>
    <row r="392">
      <c r="A392" s="24" t="s">
        <v>4019</v>
      </c>
      <c r="B392" s="25" t="s">
        <v>3932</v>
      </c>
      <c r="C392" s="25" t="s">
        <v>689</v>
      </c>
      <c r="D392" s="17" t="str">
        <f>vlookup(C392,'1. 신청자리스트'!J:N,2,false)</f>
        <v>중복</v>
      </c>
      <c r="E392" s="25"/>
      <c r="F392" s="25" t="s">
        <v>2792</v>
      </c>
      <c r="G392" s="26">
        <v>70000.0</v>
      </c>
      <c r="H392" s="27" t="s">
        <v>4165</v>
      </c>
      <c r="I392" s="28"/>
      <c r="J392" s="28"/>
      <c r="K392" s="28"/>
      <c r="L392" s="29"/>
      <c r="M392" s="22"/>
      <c r="N392" s="22"/>
      <c r="O392" s="22"/>
      <c r="P392" s="22"/>
      <c r="Q392" s="22"/>
      <c r="R392" s="22"/>
      <c r="S392" s="22"/>
      <c r="T392" s="23"/>
    </row>
    <row r="393">
      <c r="A393" s="24" t="s">
        <v>3942</v>
      </c>
      <c r="B393" s="25" t="s">
        <v>3935</v>
      </c>
      <c r="C393" s="25" t="s">
        <v>232</v>
      </c>
      <c r="D393" s="17" t="str">
        <f>vlookup(C393,'1. 신청자리스트'!J:N,2,false)</f>
        <v>중복</v>
      </c>
      <c r="E393" s="25"/>
      <c r="F393" s="25" t="s">
        <v>232</v>
      </c>
      <c r="G393" s="26">
        <v>70000.0</v>
      </c>
      <c r="H393" s="27" t="s">
        <v>3941</v>
      </c>
      <c r="I393" s="28"/>
      <c r="J393" s="28"/>
      <c r="K393" s="28"/>
      <c r="L393" s="29"/>
      <c r="M393" s="22"/>
      <c r="N393" s="22"/>
      <c r="O393" s="22"/>
      <c r="P393" s="22"/>
      <c r="Q393" s="22"/>
      <c r="R393" s="22"/>
      <c r="S393" s="22"/>
      <c r="T393" s="23"/>
    </row>
    <row r="394">
      <c r="A394" s="24" t="s">
        <v>3945</v>
      </c>
      <c r="B394" s="25" t="s">
        <v>3935</v>
      </c>
      <c r="C394" s="25" t="s">
        <v>745</v>
      </c>
      <c r="D394" s="17" t="str">
        <f>vlookup(C394,'1. 신청자리스트'!J:N,2,false)</f>
        <v>정상</v>
      </c>
      <c r="E394" s="25"/>
      <c r="F394" s="25" t="s">
        <v>2037</v>
      </c>
      <c r="G394" s="26">
        <v>70000.0</v>
      </c>
      <c r="H394" s="27" t="s">
        <v>3941</v>
      </c>
      <c r="I394" s="28"/>
      <c r="J394" s="28"/>
      <c r="K394" s="28"/>
      <c r="L394" s="29"/>
      <c r="M394" s="22"/>
      <c r="N394" s="22"/>
      <c r="O394" s="22"/>
      <c r="P394" s="22"/>
      <c r="Q394" s="22"/>
      <c r="R394" s="22"/>
      <c r="S394" s="22"/>
      <c r="T394" s="23"/>
    </row>
    <row r="395">
      <c r="A395" s="16" t="s">
        <v>3985</v>
      </c>
      <c r="B395" s="17" t="s">
        <v>3935</v>
      </c>
      <c r="C395" s="17" t="s">
        <v>746</v>
      </c>
      <c r="D395" s="17" t="str">
        <f>vlookup(C395,'1. 신청자리스트'!J:N,2,false)</f>
        <v>정상</v>
      </c>
      <c r="E395" s="17"/>
      <c r="F395" s="17" t="s">
        <v>746</v>
      </c>
      <c r="G395" s="18">
        <v>70000.0</v>
      </c>
      <c r="H395" s="19" t="s">
        <v>3948</v>
      </c>
      <c r="I395" s="20"/>
      <c r="J395" s="20"/>
      <c r="K395" s="20"/>
      <c r="L395" s="21"/>
      <c r="M395" s="22"/>
      <c r="N395" s="22"/>
      <c r="O395" s="22"/>
      <c r="P395" s="22"/>
      <c r="Q395" s="22"/>
      <c r="R395" s="22"/>
      <c r="S395" s="22"/>
      <c r="T395" s="23"/>
    </row>
    <row r="396">
      <c r="A396" s="16" t="s">
        <v>3942</v>
      </c>
      <c r="B396" s="17" t="s">
        <v>3935</v>
      </c>
      <c r="C396" s="17" t="s">
        <v>747</v>
      </c>
      <c r="D396" s="17" t="str">
        <f>vlookup(C396,'1. 신청자리스트'!J:N,2,false)</f>
        <v>정상</v>
      </c>
      <c r="E396" s="17"/>
      <c r="F396" s="17" t="s">
        <v>747</v>
      </c>
      <c r="G396" s="18">
        <v>70000.0</v>
      </c>
      <c r="H396" s="19" t="s">
        <v>3946</v>
      </c>
      <c r="I396" s="20"/>
      <c r="J396" s="20"/>
      <c r="K396" s="20"/>
      <c r="L396" s="21"/>
      <c r="M396" s="22"/>
      <c r="N396" s="22"/>
      <c r="O396" s="22"/>
      <c r="P396" s="22"/>
      <c r="Q396" s="22"/>
      <c r="R396" s="22"/>
      <c r="S396" s="22"/>
      <c r="T396" s="23"/>
    </row>
    <row r="397">
      <c r="A397" s="16" t="s">
        <v>3985</v>
      </c>
      <c r="B397" s="17" t="s">
        <v>3935</v>
      </c>
      <c r="C397" s="17" t="s">
        <v>259</v>
      </c>
      <c r="D397" s="17" t="str">
        <f>vlookup(C397,'1. 신청자리스트'!J:N,2,false)</f>
        <v>정상</v>
      </c>
      <c r="E397" s="17"/>
      <c r="F397" s="17" t="s">
        <v>259</v>
      </c>
      <c r="G397" s="18">
        <v>35000.0</v>
      </c>
      <c r="H397" s="19" t="s">
        <v>3941</v>
      </c>
      <c r="I397" s="20"/>
      <c r="J397" s="20"/>
      <c r="K397" s="20"/>
      <c r="L397" s="21"/>
      <c r="M397" s="22"/>
      <c r="N397" s="22"/>
      <c r="O397" s="22"/>
      <c r="P397" s="22"/>
      <c r="Q397" s="22"/>
      <c r="R397" s="22"/>
      <c r="S397" s="22"/>
      <c r="T397" s="23"/>
    </row>
    <row r="398">
      <c r="A398" s="24" t="s">
        <v>3940</v>
      </c>
      <c r="B398" s="25" t="s">
        <v>3932</v>
      </c>
      <c r="C398" s="25" t="s">
        <v>260</v>
      </c>
      <c r="D398" s="17" t="str">
        <f>vlookup(C398,'1. 신청자리스트'!J:N,2,false)</f>
        <v>정상</v>
      </c>
      <c r="E398" s="25"/>
      <c r="F398" s="25" t="s">
        <v>3345</v>
      </c>
      <c r="G398" s="26">
        <v>35000.0</v>
      </c>
      <c r="H398" s="27" t="s">
        <v>4166</v>
      </c>
      <c r="I398" s="28"/>
      <c r="J398" s="28"/>
      <c r="K398" s="28"/>
      <c r="L398" s="29"/>
      <c r="M398" s="22"/>
      <c r="N398" s="22"/>
      <c r="O398" s="22"/>
      <c r="P398" s="22"/>
      <c r="Q398" s="22"/>
      <c r="R398" s="22"/>
      <c r="S398" s="22"/>
      <c r="T398" s="23"/>
    </row>
    <row r="399">
      <c r="A399" s="24" t="s">
        <v>4066</v>
      </c>
      <c r="B399" s="25" t="s">
        <v>3935</v>
      </c>
      <c r="C399" s="25" t="s">
        <v>261</v>
      </c>
      <c r="D399" s="17" t="str">
        <f>vlookup(C399,'1. 신청자리스트'!J:N,2,false)</f>
        <v>정상</v>
      </c>
      <c r="E399" s="25"/>
      <c r="F399" s="25" t="s">
        <v>4167</v>
      </c>
      <c r="G399" s="26">
        <v>35000.0</v>
      </c>
      <c r="H399" s="27" t="s">
        <v>3946</v>
      </c>
      <c r="I399" s="28"/>
      <c r="J399" s="28"/>
      <c r="K399" s="28"/>
      <c r="L399" s="29"/>
      <c r="M399" s="22"/>
      <c r="N399" s="22"/>
      <c r="O399" s="22"/>
      <c r="P399" s="22"/>
      <c r="Q399" s="22"/>
      <c r="R399" s="22"/>
      <c r="S399" s="22"/>
      <c r="T399" s="23"/>
    </row>
    <row r="400">
      <c r="A400" s="16" t="s">
        <v>3942</v>
      </c>
      <c r="B400" s="17" t="s">
        <v>3935</v>
      </c>
      <c r="C400" s="17" t="s">
        <v>748</v>
      </c>
      <c r="D400" s="17" t="str">
        <f>vlookup(C400,'1. 신청자리스트'!J:N,2,false)</f>
        <v>정상</v>
      </c>
      <c r="E400" s="17"/>
      <c r="F400" s="17" t="s">
        <v>748</v>
      </c>
      <c r="G400" s="18">
        <v>70000.0</v>
      </c>
      <c r="H400" s="19" t="s">
        <v>3946</v>
      </c>
      <c r="I400" s="20"/>
      <c r="J400" s="20"/>
      <c r="K400" s="20"/>
      <c r="L400" s="21"/>
      <c r="M400" s="22"/>
      <c r="N400" s="22"/>
      <c r="O400" s="22"/>
      <c r="P400" s="22"/>
      <c r="Q400" s="22"/>
      <c r="R400" s="22"/>
      <c r="S400" s="22"/>
      <c r="T400" s="23"/>
    </row>
    <row r="401">
      <c r="A401" s="16" t="s">
        <v>3949</v>
      </c>
      <c r="B401" s="17" t="s">
        <v>3935</v>
      </c>
      <c r="C401" s="17" t="s">
        <v>262</v>
      </c>
      <c r="D401" s="17" t="str">
        <f>vlookup(C401,'1. 신청자리스트'!J:N,2,false)</f>
        <v>정상</v>
      </c>
      <c r="E401" s="17"/>
      <c r="F401" s="17" t="s">
        <v>262</v>
      </c>
      <c r="G401" s="18">
        <v>35000.0</v>
      </c>
      <c r="H401" s="19" t="s">
        <v>3952</v>
      </c>
      <c r="I401" s="20"/>
      <c r="J401" s="20"/>
      <c r="K401" s="20"/>
      <c r="L401" s="21"/>
      <c r="M401" s="22"/>
      <c r="N401" s="22"/>
      <c r="O401" s="22"/>
      <c r="P401" s="22"/>
      <c r="Q401" s="22"/>
      <c r="R401" s="22"/>
      <c r="S401" s="22"/>
      <c r="T401" s="23"/>
    </row>
    <row r="402">
      <c r="A402" s="24" t="s">
        <v>4096</v>
      </c>
      <c r="B402" s="25" t="s">
        <v>3932</v>
      </c>
      <c r="C402" s="25" t="s">
        <v>749</v>
      </c>
      <c r="D402" s="17" t="str">
        <f>vlookup(C402,'1. 신청자리스트'!J:N,2,false)</f>
        <v>정상</v>
      </c>
      <c r="E402" s="25"/>
      <c r="F402" s="25" t="s">
        <v>1382</v>
      </c>
      <c r="G402" s="26">
        <v>70000.0</v>
      </c>
      <c r="H402" s="27" t="s">
        <v>4168</v>
      </c>
      <c r="I402" s="28"/>
      <c r="J402" s="28"/>
      <c r="K402" s="28"/>
      <c r="L402" s="29"/>
      <c r="M402" s="22"/>
      <c r="N402" s="22"/>
      <c r="O402" s="22"/>
      <c r="P402" s="22"/>
      <c r="Q402" s="22"/>
      <c r="R402" s="22"/>
      <c r="S402" s="22"/>
      <c r="T402" s="23"/>
    </row>
    <row r="403">
      <c r="A403" s="24" t="s">
        <v>3962</v>
      </c>
      <c r="B403" s="25" t="s">
        <v>3935</v>
      </c>
      <c r="C403" s="25" t="s">
        <v>263</v>
      </c>
      <c r="D403" s="17" t="str">
        <f>vlookup(C403,'1. 신청자리스트'!J:N,2,false)</f>
        <v>정상</v>
      </c>
      <c r="E403" s="25"/>
      <c r="F403" s="25">
        <v>9091.0</v>
      </c>
      <c r="G403" s="26">
        <v>35000.0</v>
      </c>
      <c r="H403" s="27" t="s">
        <v>3946</v>
      </c>
      <c r="I403" s="28"/>
      <c r="J403" s="28"/>
      <c r="K403" s="28"/>
      <c r="L403" s="29"/>
      <c r="M403" s="22"/>
      <c r="N403" s="22"/>
      <c r="O403" s="22"/>
      <c r="P403" s="22"/>
      <c r="Q403" s="22"/>
      <c r="R403" s="22"/>
      <c r="S403" s="22"/>
      <c r="T403" s="23"/>
    </row>
    <row r="404">
      <c r="A404" s="16" t="s">
        <v>4169</v>
      </c>
      <c r="B404" s="17" t="s">
        <v>3935</v>
      </c>
      <c r="C404" s="17" t="s">
        <v>751</v>
      </c>
      <c r="D404" s="17" t="str">
        <f>vlookup(C404,'1. 신청자리스트'!J:N,2,false)</f>
        <v>정상</v>
      </c>
      <c r="E404" s="17"/>
      <c r="F404" s="17" t="s">
        <v>751</v>
      </c>
      <c r="G404" s="18">
        <v>70000.0</v>
      </c>
      <c r="H404" s="19" t="s">
        <v>3941</v>
      </c>
      <c r="I404" s="20"/>
      <c r="J404" s="20"/>
      <c r="K404" s="20"/>
      <c r="L404" s="21"/>
      <c r="M404" s="22"/>
      <c r="N404" s="22"/>
      <c r="O404" s="22"/>
      <c r="P404" s="22"/>
      <c r="Q404" s="22"/>
      <c r="R404" s="22"/>
      <c r="S404" s="22"/>
      <c r="T404" s="23"/>
    </row>
    <row r="405">
      <c r="A405" s="16" t="s">
        <v>3940</v>
      </c>
      <c r="B405" s="17" t="s">
        <v>3935</v>
      </c>
      <c r="C405" s="17" t="s">
        <v>752</v>
      </c>
      <c r="D405" s="17" t="str">
        <f>vlookup(C405,'1. 신청자리스트'!J:N,2,false)</f>
        <v>정상</v>
      </c>
      <c r="E405" s="17"/>
      <c r="F405" s="17" t="s">
        <v>752</v>
      </c>
      <c r="G405" s="18">
        <v>70000.0</v>
      </c>
      <c r="H405" s="19" t="s">
        <v>3983</v>
      </c>
      <c r="I405" s="20"/>
      <c r="J405" s="20"/>
      <c r="K405" s="20"/>
      <c r="L405" s="21"/>
      <c r="M405" s="22"/>
      <c r="N405" s="22"/>
      <c r="O405" s="22"/>
      <c r="P405" s="22"/>
      <c r="Q405" s="22"/>
      <c r="R405" s="22"/>
      <c r="S405" s="22"/>
      <c r="T405" s="23"/>
    </row>
    <row r="406">
      <c r="A406" s="24" t="s">
        <v>3962</v>
      </c>
      <c r="B406" s="25" t="s">
        <v>3935</v>
      </c>
      <c r="C406" s="25" t="s">
        <v>264</v>
      </c>
      <c r="D406" s="17" t="str">
        <f>vlookup(C406,'1. 신청자리스트'!J:N,2,false)</f>
        <v>정상</v>
      </c>
      <c r="E406" s="25"/>
      <c r="F406" s="25" t="s">
        <v>3353</v>
      </c>
      <c r="G406" s="26">
        <v>35000.0</v>
      </c>
      <c r="H406" s="27" t="s">
        <v>3948</v>
      </c>
      <c r="I406" s="28"/>
      <c r="J406" s="28"/>
      <c r="K406" s="28"/>
      <c r="L406" s="29"/>
      <c r="M406" s="22"/>
      <c r="N406" s="22"/>
      <c r="O406" s="22"/>
      <c r="P406" s="22"/>
      <c r="Q406" s="22"/>
      <c r="R406" s="22"/>
      <c r="S406" s="22"/>
      <c r="T406" s="23"/>
    </row>
    <row r="407">
      <c r="A407" s="16" t="s">
        <v>3942</v>
      </c>
      <c r="B407" s="17" t="s">
        <v>3935</v>
      </c>
      <c r="C407" s="17" t="s">
        <v>753</v>
      </c>
      <c r="D407" s="17" t="str">
        <f>vlookup(C407,'1. 신청자리스트'!J:N,2,false)</f>
        <v>정상</v>
      </c>
      <c r="E407" s="17"/>
      <c r="F407" s="17" t="s">
        <v>753</v>
      </c>
      <c r="G407" s="18">
        <v>70000.0</v>
      </c>
      <c r="H407" s="19" t="s">
        <v>3983</v>
      </c>
      <c r="I407" s="20"/>
      <c r="J407" s="20"/>
      <c r="K407" s="20"/>
      <c r="L407" s="21"/>
      <c r="M407" s="22"/>
      <c r="N407" s="22"/>
      <c r="O407" s="22"/>
      <c r="P407" s="22"/>
      <c r="Q407" s="22"/>
      <c r="R407" s="22"/>
      <c r="S407" s="22"/>
      <c r="T407" s="23"/>
    </row>
    <row r="408">
      <c r="A408" s="16" t="s">
        <v>4170</v>
      </c>
      <c r="B408" s="17" t="s">
        <v>3935</v>
      </c>
      <c r="C408" s="17" t="s">
        <v>754</v>
      </c>
      <c r="D408" s="17" t="str">
        <f>vlookup(C408,'1. 신청자리스트'!J:N,2,false)</f>
        <v>정상</v>
      </c>
      <c r="E408" s="17"/>
      <c r="F408" s="17" t="s">
        <v>754</v>
      </c>
      <c r="G408" s="18">
        <v>70000.0</v>
      </c>
      <c r="H408" s="19" t="s">
        <v>3946</v>
      </c>
      <c r="I408" s="20"/>
      <c r="J408" s="20"/>
      <c r="K408" s="20"/>
      <c r="L408" s="21"/>
      <c r="M408" s="22"/>
      <c r="N408" s="22"/>
      <c r="O408" s="22"/>
      <c r="P408" s="22"/>
      <c r="Q408" s="22"/>
      <c r="R408" s="22"/>
      <c r="S408" s="22"/>
      <c r="T408" s="23"/>
    </row>
    <row r="409">
      <c r="A409" s="24" t="s">
        <v>3940</v>
      </c>
      <c r="B409" s="25" t="s">
        <v>3935</v>
      </c>
      <c r="C409" s="25" t="s">
        <v>266</v>
      </c>
      <c r="D409" s="17" t="str">
        <f>vlookup(C409,'1. 신청자리스트'!J:N,2,false)</f>
        <v>중복</v>
      </c>
      <c r="E409" s="25"/>
      <c r="F409" s="25" t="s">
        <v>4171</v>
      </c>
      <c r="G409" s="26">
        <v>70000.0</v>
      </c>
      <c r="H409" s="27" t="s">
        <v>3983</v>
      </c>
      <c r="I409" s="28"/>
      <c r="J409" s="28"/>
      <c r="K409" s="45" t="s">
        <v>4172</v>
      </c>
      <c r="L409" s="29"/>
      <c r="M409" s="22"/>
      <c r="N409" s="22"/>
      <c r="O409" s="22"/>
      <c r="P409" s="22"/>
      <c r="Q409" s="22"/>
      <c r="R409" s="22"/>
      <c r="S409" s="22"/>
      <c r="T409" s="23"/>
    </row>
    <row r="410">
      <c r="A410" s="16" t="s">
        <v>3940</v>
      </c>
      <c r="B410" s="17" t="s">
        <v>3935</v>
      </c>
      <c r="C410" s="17" t="s">
        <v>755</v>
      </c>
      <c r="D410" s="17" t="str">
        <f>vlookup(C410,'1. 신청자리스트'!J:N,2,false)</f>
        <v>정상</v>
      </c>
      <c r="E410" s="17"/>
      <c r="F410" s="17" t="s">
        <v>4173</v>
      </c>
      <c r="G410" s="18">
        <v>70000.0</v>
      </c>
      <c r="H410" s="19" t="s">
        <v>3939</v>
      </c>
      <c r="I410" s="20"/>
      <c r="J410" s="20"/>
      <c r="K410" s="20"/>
      <c r="L410" s="21"/>
      <c r="M410" s="22"/>
      <c r="N410" s="22"/>
      <c r="O410" s="22"/>
      <c r="P410" s="22"/>
      <c r="Q410" s="22"/>
      <c r="R410" s="22"/>
      <c r="S410" s="22"/>
      <c r="T410" s="23"/>
    </row>
    <row r="411">
      <c r="A411" s="24" t="s">
        <v>3942</v>
      </c>
      <c r="B411" s="25" t="s">
        <v>3935</v>
      </c>
      <c r="C411" s="25" t="s">
        <v>268</v>
      </c>
      <c r="D411" s="17" t="str">
        <f>vlookup(C411,'1. 신청자리스트'!J:N,2,false)</f>
        <v>정상</v>
      </c>
      <c r="E411" s="25"/>
      <c r="F411" s="25" t="s">
        <v>2865</v>
      </c>
      <c r="G411" s="26">
        <v>35000.0</v>
      </c>
      <c r="H411" s="27" t="s">
        <v>3983</v>
      </c>
      <c r="I411" s="28"/>
      <c r="J411" s="28"/>
      <c r="K411" s="28"/>
      <c r="L411" s="29"/>
      <c r="M411" s="22"/>
      <c r="N411" s="22"/>
      <c r="O411" s="22"/>
      <c r="P411" s="22"/>
      <c r="Q411" s="22"/>
      <c r="R411" s="22"/>
      <c r="S411" s="22"/>
      <c r="T411" s="23"/>
    </row>
    <row r="412">
      <c r="A412" s="24" t="s">
        <v>3955</v>
      </c>
      <c r="B412" s="25" t="s">
        <v>3935</v>
      </c>
      <c r="C412" s="25" t="s">
        <v>269</v>
      </c>
      <c r="D412" s="17" t="str">
        <f>vlookup(C412,'1. 신청자리스트'!J:N,2,false)</f>
        <v>정상</v>
      </c>
      <c r="E412" s="25"/>
      <c r="F412" s="25" t="s">
        <v>3356</v>
      </c>
      <c r="G412" s="26">
        <v>35000.0</v>
      </c>
      <c r="H412" s="27" t="s">
        <v>3990</v>
      </c>
      <c r="I412" s="28"/>
      <c r="J412" s="28"/>
      <c r="K412" s="28"/>
      <c r="L412" s="29"/>
      <c r="M412" s="22"/>
      <c r="N412" s="22"/>
      <c r="O412" s="22"/>
      <c r="P412" s="22"/>
      <c r="Q412" s="22"/>
      <c r="R412" s="22"/>
      <c r="S412" s="22"/>
      <c r="T412" s="23"/>
    </row>
    <row r="413">
      <c r="A413" s="16" t="s">
        <v>3945</v>
      </c>
      <c r="B413" s="17" t="s">
        <v>3935</v>
      </c>
      <c r="C413" s="17" t="s">
        <v>757</v>
      </c>
      <c r="D413" s="17" t="str">
        <f>vlookup(C413,'1. 신청자리스트'!J:N,2,false)</f>
        <v>정상</v>
      </c>
      <c r="E413" s="17"/>
      <c r="F413" s="17" t="s">
        <v>757</v>
      </c>
      <c r="G413" s="18">
        <v>70000.0</v>
      </c>
      <c r="H413" s="19" t="s">
        <v>3983</v>
      </c>
      <c r="I413" s="20"/>
      <c r="J413" s="20"/>
      <c r="K413" s="20"/>
      <c r="L413" s="21"/>
      <c r="M413" s="22"/>
      <c r="N413" s="22"/>
      <c r="O413" s="22"/>
      <c r="P413" s="22"/>
      <c r="Q413" s="22"/>
      <c r="R413" s="22"/>
      <c r="S413" s="22"/>
      <c r="T413" s="23"/>
    </row>
    <row r="414">
      <c r="A414" s="24" t="s">
        <v>3945</v>
      </c>
      <c r="B414" s="25" t="s">
        <v>3932</v>
      </c>
      <c r="C414" s="25" t="s">
        <v>270</v>
      </c>
      <c r="D414" s="17" t="str">
        <f>vlookup(C414,'1. 신청자리스트'!J:N,2,false)</f>
        <v>정상</v>
      </c>
      <c r="E414" s="25"/>
      <c r="F414" s="25" t="s">
        <v>4174</v>
      </c>
      <c r="G414" s="26">
        <v>35000.0</v>
      </c>
      <c r="H414" s="27" t="s">
        <v>4175</v>
      </c>
      <c r="I414" s="28"/>
      <c r="J414" s="28"/>
      <c r="K414" s="28"/>
      <c r="L414" s="29"/>
      <c r="M414" s="22"/>
      <c r="N414" s="22"/>
      <c r="O414" s="22"/>
      <c r="P414" s="22"/>
      <c r="Q414" s="22"/>
      <c r="R414" s="22"/>
      <c r="S414" s="22"/>
      <c r="T414" s="23"/>
    </row>
    <row r="415">
      <c r="A415" s="30" t="s">
        <v>4150</v>
      </c>
      <c r="B415" s="31" t="s">
        <v>3935</v>
      </c>
      <c r="C415" s="31" t="s">
        <v>4176</v>
      </c>
      <c r="D415" s="17" t="str">
        <f>vlookup(C415,'1. 신청자리스트'!J:N,2,false)</f>
        <v>정상</v>
      </c>
      <c r="E415" s="31"/>
      <c r="F415" s="31" t="s">
        <v>4177</v>
      </c>
      <c r="G415" s="32">
        <v>35000.0</v>
      </c>
      <c r="H415" s="33" t="s">
        <v>3946</v>
      </c>
      <c r="I415" s="36" t="str">
        <f>VLOOKUP(C415, '문의'!D:E, 2, FALSE)</f>
        <v>[입금/결제] 12월7일 9시27분 입금(신지우)
 01044082577</v>
      </c>
      <c r="J415" s="36">
        <f t="array" ref="J415">INDEX('문의'!C:C, MATCH(C415, '문의'!D:D, 0))</f>
        <v>1044082577</v>
      </c>
      <c r="K415" s="36" t="s">
        <v>3957</v>
      </c>
      <c r="L415" s="37" t="s">
        <v>4178</v>
      </c>
      <c r="M415" s="42"/>
      <c r="N415" s="42"/>
      <c r="O415" s="42"/>
      <c r="P415" s="42"/>
      <c r="Q415" s="42"/>
      <c r="R415" s="44"/>
      <c r="S415" s="42"/>
      <c r="T415" s="41"/>
    </row>
    <row r="416">
      <c r="A416" s="16" t="s">
        <v>3940</v>
      </c>
      <c r="B416" s="17" t="s">
        <v>3935</v>
      </c>
      <c r="C416" s="17" t="s">
        <v>758</v>
      </c>
      <c r="D416" s="17" t="str">
        <f>vlookup(C416,'1. 신청자리스트'!J:N,2,false)</f>
        <v>정상</v>
      </c>
      <c r="E416" s="17"/>
      <c r="F416" s="17" t="s">
        <v>758</v>
      </c>
      <c r="G416" s="18">
        <v>70000.0</v>
      </c>
      <c r="H416" s="19" t="s">
        <v>3948</v>
      </c>
      <c r="I416" s="20"/>
      <c r="J416" s="20"/>
      <c r="K416" s="20"/>
      <c r="L416" s="21"/>
      <c r="M416" s="22"/>
      <c r="N416" s="22"/>
      <c r="O416" s="22"/>
      <c r="P416" s="22"/>
      <c r="Q416" s="22"/>
      <c r="R416" s="22"/>
      <c r="S416" s="22"/>
      <c r="T416" s="23"/>
    </row>
    <row r="417">
      <c r="A417" s="16" t="s">
        <v>3942</v>
      </c>
      <c r="B417" s="17" t="s">
        <v>3935</v>
      </c>
      <c r="C417" s="17" t="s">
        <v>271</v>
      </c>
      <c r="D417" s="17" t="str">
        <f>vlookup(C417,'1. 신청자리스트'!J:N,2,false)</f>
        <v>정상</v>
      </c>
      <c r="E417" s="17"/>
      <c r="F417" s="17" t="s">
        <v>4179</v>
      </c>
      <c r="G417" s="18">
        <v>35000.0</v>
      </c>
      <c r="H417" s="19" t="s">
        <v>3939</v>
      </c>
      <c r="I417" s="20"/>
      <c r="J417" s="20"/>
      <c r="K417" s="20"/>
      <c r="L417" s="21"/>
      <c r="M417" s="22"/>
      <c r="N417" s="22"/>
      <c r="O417" s="22"/>
      <c r="P417" s="22"/>
      <c r="Q417" s="22"/>
      <c r="R417" s="22"/>
      <c r="S417" s="22"/>
      <c r="T417" s="23"/>
    </row>
    <row r="418">
      <c r="A418" s="16" t="s">
        <v>3942</v>
      </c>
      <c r="B418" s="17" t="s">
        <v>3935</v>
      </c>
      <c r="C418" s="17" t="s">
        <v>760</v>
      </c>
      <c r="D418" s="17" t="str">
        <f>vlookup(C418,'1. 신청자리스트'!J:N,2,false)</f>
        <v>정상</v>
      </c>
      <c r="E418" s="17"/>
      <c r="F418" s="17" t="s">
        <v>760</v>
      </c>
      <c r="G418" s="18">
        <v>70000.0</v>
      </c>
      <c r="H418" s="19" t="s">
        <v>3990</v>
      </c>
      <c r="I418" s="20"/>
      <c r="J418" s="20"/>
      <c r="K418" s="20"/>
      <c r="L418" s="21"/>
      <c r="M418" s="22"/>
      <c r="N418" s="22"/>
      <c r="O418" s="22"/>
      <c r="P418" s="22"/>
      <c r="Q418" s="22"/>
      <c r="R418" s="22"/>
      <c r="S418" s="22"/>
      <c r="T418" s="23"/>
    </row>
    <row r="419">
      <c r="A419" s="16" t="s">
        <v>3940</v>
      </c>
      <c r="B419" s="17" t="s">
        <v>3932</v>
      </c>
      <c r="C419" s="17" t="s">
        <v>761</v>
      </c>
      <c r="D419" s="17" t="str">
        <f>vlookup(C419,'1. 신청자리스트'!J:N,2,false)</f>
        <v>정상</v>
      </c>
      <c r="E419" s="17"/>
      <c r="F419" s="17" t="s">
        <v>761</v>
      </c>
      <c r="G419" s="18">
        <v>70000.0</v>
      </c>
      <c r="H419" s="19" t="s">
        <v>4040</v>
      </c>
      <c r="I419" s="20"/>
      <c r="J419" s="20"/>
      <c r="K419" s="20"/>
      <c r="L419" s="21"/>
      <c r="M419" s="22"/>
      <c r="N419" s="22"/>
      <c r="O419" s="22"/>
      <c r="P419" s="22"/>
      <c r="Q419" s="22"/>
      <c r="R419" s="22"/>
      <c r="S419" s="22"/>
      <c r="T419" s="23"/>
    </row>
    <row r="420">
      <c r="A420" s="16" t="s">
        <v>3945</v>
      </c>
      <c r="B420" s="17" t="s">
        <v>3935</v>
      </c>
      <c r="C420" s="17" t="s">
        <v>273</v>
      </c>
      <c r="D420" s="17" t="str">
        <f>vlookup(C420,'1. 신청자리스트'!J:N,2,false)</f>
        <v>정상</v>
      </c>
      <c r="E420" s="17"/>
      <c r="F420" s="17" t="s">
        <v>4180</v>
      </c>
      <c r="G420" s="18">
        <v>35000.0</v>
      </c>
      <c r="H420" s="19" t="s">
        <v>3983</v>
      </c>
      <c r="I420" s="20"/>
      <c r="J420" s="20"/>
      <c r="K420" s="20"/>
      <c r="L420" s="21"/>
      <c r="M420" s="22"/>
      <c r="N420" s="22"/>
      <c r="O420" s="22"/>
      <c r="P420" s="22"/>
      <c r="Q420" s="22"/>
      <c r="R420" s="22"/>
      <c r="S420" s="22"/>
      <c r="T420" s="23"/>
    </row>
    <row r="421">
      <c r="A421" s="16" t="s">
        <v>4181</v>
      </c>
      <c r="B421" s="17" t="s">
        <v>3935</v>
      </c>
      <c r="C421" s="17" t="s">
        <v>762</v>
      </c>
      <c r="D421" s="17" t="str">
        <f>vlookup(C421,'1. 신청자리스트'!J:N,2,false)</f>
        <v>정상</v>
      </c>
      <c r="E421" s="17"/>
      <c r="F421" s="17" t="s">
        <v>762</v>
      </c>
      <c r="G421" s="18">
        <v>70000.0</v>
      </c>
      <c r="H421" s="19" t="s">
        <v>3952</v>
      </c>
      <c r="I421" s="20"/>
      <c r="J421" s="20"/>
      <c r="K421" s="20"/>
      <c r="L421" s="21"/>
      <c r="M421" s="22"/>
      <c r="N421" s="22"/>
      <c r="O421" s="22"/>
      <c r="P421" s="22"/>
      <c r="Q421" s="22"/>
      <c r="R421" s="22"/>
      <c r="S421" s="22"/>
      <c r="T421" s="23"/>
    </row>
    <row r="422">
      <c r="A422" s="16" t="s">
        <v>3931</v>
      </c>
      <c r="B422" s="17" t="s">
        <v>3935</v>
      </c>
      <c r="C422" s="17" t="s">
        <v>274</v>
      </c>
      <c r="D422" s="17" t="str">
        <f>vlookup(C422,'1. 신청자리스트'!J:N,2,false)</f>
        <v>정상</v>
      </c>
      <c r="E422" s="17"/>
      <c r="F422" s="17" t="s">
        <v>274</v>
      </c>
      <c r="G422" s="18">
        <v>35000.0</v>
      </c>
      <c r="H422" s="19" t="s">
        <v>3948</v>
      </c>
      <c r="I422" s="20"/>
      <c r="J422" s="20"/>
      <c r="K422" s="20"/>
      <c r="L422" s="21"/>
      <c r="M422" s="22"/>
      <c r="N422" s="22"/>
      <c r="O422" s="22"/>
      <c r="P422" s="22"/>
      <c r="Q422" s="22"/>
      <c r="R422" s="22"/>
      <c r="S422" s="22"/>
      <c r="T422" s="23"/>
    </row>
    <row r="423">
      <c r="A423" s="16" t="s">
        <v>3962</v>
      </c>
      <c r="B423" s="17" t="s">
        <v>3932</v>
      </c>
      <c r="C423" s="17" t="s">
        <v>275</v>
      </c>
      <c r="D423" s="17" t="str">
        <f>vlookup(C423,'1. 신청자리스트'!J:N,2,false)</f>
        <v>정상</v>
      </c>
      <c r="E423" s="17"/>
      <c r="F423" s="17" t="s">
        <v>275</v>
      </c>
      <c r="G423" s="18">
        <v>35000.0</v>
      </c>
      <c r="H423" s="19" t="s">
        <v>4029</v>
      </c>
      <c r="I423" s="20"/>
      <c r="J423" s="20"/>
      <c r="K423" s="20"/>
      <c r="L423" s="21"/>
      <c r="M423" s="22"/>
      <c r="N423" s="22"/>
      <c r="O423" s="22"/>
      <c r="P423" s="22"/>
      <c r="Q423" s="22"/>
      <c r="R423" s="22"/>
      <c r="S423" s="22"/>
      <c r="T423" s="23"/>
    </row>
    <row r="424">
      <c r="A424" s="16" t="s">
        <v>3942</v>
      </c>
      <c r="B424" s="17" t="s">
        <v>3932</v>
      </c>
      <c r="C424" s="17" t="s">
        <v>763</v>
      </c>
      <c r="D424" s="17" t="str">
        <f>vlookup(C424,'1. 신청자리스트'!J:N,2,false)</f>
        <v>정상</v>
      </c>
      <c r="E424" s="17"/>
      <c r="F424" s="17" t="s">
        <v>763</v>
      </c>
      <c r="G424" s="18">
        <v>70000.0</v>
      </c>
      <c r="H424" s="19" t="s">
        <v>4004</v>
      </c>
      <c r="I424" s="20"/>
      <c r="J424" s="20"/>
      <c r="K424" s="20"/>
      <c r="L424" s="21"/>
      <c r="M424" s="22"/>
      <c r="N424" s="22"/>
      <c r="O424" s="22"/>
      <c r="P424" s="22"/>
      <c r="Q424" s="22"/>
      <c r="R424" s="22"/>
      <c r="S424" s="22"/>
      <c r="T424" s="23"/>
    </row>
    <row r="425">
      <c r="A425" s="16" t="s">
        <v>3962</v>
      </c>
      <c r="B425" s="17" t="s">
        <v>3935</v>
      </c>
      <c r="C425" s="17" t="s">
        <v>276</v>
      </c>
      <c r="D425" s="17" t="str">
        <f>vlookup(C425,'1. 신청자리스트'!J:N,2,false)</f>
        <v>정상</v>
      </c>
      <c r="E425" s="17"/>
      <c r="F425" s="17" t="s">
        <v>276</v>
      </c>
      <c r="G425" s="18">
        <v>35000.0</v>
      </c>
      <c r="H425" s="19" t="s">
        <v>3937</v>
      </c>
      <c r="I425" s="20"/>
      <c r="J425" s="20"/>
      <c r="K425" s="20"/>
      <c r="L425" s="21"/>
      <c r="M425" s="22"/>
      <c r="N425" s="22"/>
      <c r="O425" s="22"/>
      <c r="P425" s="22"/>
      <c r="Q425" s="22"/>
      <c r="R425" s="22"/>
      <c r="S425" s="22"/>
      <c r="T425" s="23"/>
    </row>
    <row r="426">
      <c r="A426" s="24" t="s">
        <v>3940</v>
      </c>
      <c r="B426" s="25" t="s">
        <v>3935</v>
      </c>
      <c r="C426" s="25" t="s">
        <v>764</v>
      </c>
      <c r="D426" s="17" t="str">
        <f>vlookup(C426,'1. 신청자리스트'!J:N,2,false)</f>
        <v>정상</v>
      </c>
      <c r="E426" s="25"/>
      <c r="F426" s="25" t="s">
        <v>2563</v>
      </c>
      <c r="G426" s="26">
        <v>70000.0</v>
      </c>
      <c r="H426" s="27" t="s">
        <v>3983</v>
      </c>
      <c r="I426" s="28"/>
      <c r="J426" s="28"/>
      <c r="K426" s="28"/>
      <c r="L426" s="29"/>
      <c r="M426" s="22"/>
      <c r="N426" s="22"/>
      <c r="O426" s="22"/>
      <c r="P426" s="22"/>
      <c r="Q426" s="22"/>
      <c r="R426" s="22"/>
      <c r="S426" s="22"/>
      <c r="T426" s="23"/>
    </row>
    <row r="427">
      <c r="A427" s="16" t="s">
        <v>3949</v>
      </c>
      <c r="B427" s="17" t="s">
        <v>3932</v>
      </c>
      <c r="C427" s="17" t="s">
        <v>278</v>
      </c>
      <c r="D427" s="17" t="str">
        <f>vlookup(C427,'1. 신청자리스트'!J:N,2,false)</f>
        <v>정상</v>
      </c>
      <c r="E427" s="17"/>
      <c r="F427" s="17" t="s">
        <v>278</v>
      </c>
      <c r="G427" s="18">
        <v>35000.0</v>
      </c>
      <c r="H427" s="19" t="s">
        <v>4182</v>
      </c>
      <c r="I427" s="20"/>
      <c r="J427" s="20"/>
      <c r="K427" s="20"/>
      <c r="L427" s="21"/>
      <c r="M427" s="22"/>
      <c r="N427" s="22"/>
      <c r="O427" s="22"/>
      <c r="P427" s="22"/>
      <c r="Q427" s="22"/>
      <c r="R427" s="22"/>
      <c r="S427" s="22"/>
      <c r="T427" s="23"/>
    </row>
    <row r="428">
      <c r="A428" s="16" t="s">
        <v>3940</v>
      </c>
      <c r="B428" s="17" t="s">
        <v>3935</v>
      </c>
      <c r="C428" s="17" t="s">
        <v>279</v>
      </c>
      <c r="D428" s="17" t="str">
        <f>vlookup(C428,'1. 신청자리스트'!J:N,2,false)</f>
        <v>정상</v>
      </c>
      <c r="E428" s="17"/>
      <c r="F428" s="17" t="s">
        <v>279</v>
      </c>
      <c r="G428" s="18">
        <v>35000.0</v>
      </c>
      <c r="H428" s="19" t="s">
        <v>3961</v>
      </c>
      <c r="I428" s="20"/>
      <c r="J428" s="20"/>
      <c r="K428" s="20"/>
      <c r="L428" s="21"/>
      <c r="M428" s="22"/>
      <c r="N428" s="22"/>
      <c r="O428" s="22"/>
      <c r="P428" s="22"/>
      <c r="Q428" s="22"/>
      <c r="R428" s="22"/>
      <c r="S428" s="22"/>
      <c r="T428" s="23"/>
    </row>
    <row r="429">
      <c r="A429" s="16" t="s">
        <v>3931</v>
      </c>
      <c r="B429" s="17" t="s">
        <v>3935</v>
      </c>
      <c r="C429" s="17" t="s">
        <v>280</v>
      </c>
      <c r="D429" s="17" t="str">
        <f>vlookup(C429,'1. 신청자리스트'!J:N,2,false)</f>
        <v>정상</v>
      </c>
      <c r="E429" s="17"/>
      <c r="F429" s="17" t="s">
        <v>280</v>
      </c>
      <c r="G429" s="18">
        <v>35000.0</v>
      </c>
      <c r="H429" s="19" t="s">
        <v>3946</v>
      </c>
      <c r="I429" s="20"/>
      <c r="J429" s="20"/>
      <c r="K429" s="20"/>
      <c r="L429" s="21"/>
      <c r="M429" s="22"/>
      <c r="N429" s="22"/>
      <c r="O429" s="22"/>
      <c r="P429" s="22"/>
      <c r="Q429" s="22"/>
      <c r="R429" s="22"/>
      <c r="S429" s="22"/>
      <c r="T429" s="23"/>
    </row>
    <row r="430">
      <c r="A430" s="16" t="s">
        <v>4026</v>
      </c>
      <c r="B430" s="17" t="s">
        <v>3935</v>
      </c>
      <c r="C430" s="17" t="s">
        <v>281</v>
      </c>
      <c r="D430" s="17" t="str">
        <f>vlookup(C430,'1. 신청자리스트'!J:N,2,false)</f>
        <v>정상</v>
      </c>
      <c r="E430" s="17"/>
      <c r="F430" s="17" t="s">
        <v>281</v>
      </c>
      <c r="G430" s="18">
        <v>35000.0</v>
      </c>
      <c r="H430" s="19" t="s">
        <v>3948</v>
      </c>
      <c r="I430" s="20"/>
      <c r="J430" s="20"/>
      <c r="K430" s="20"/>
      <c r="L430" s="21"/>
      <c r="M430" s="22"/>
      <c r="N430" s="22"/>
      <c r="O430" s="22"/>
      <c r="P430" s="22"/>
      <c r="Q430" s="22"/>
      <c r="R430" s="22"/>
      <c r="S430" s="22"/>
      <c r="T430" s="23"/>
    </row>
    <row r="431">
      <c r="A431" s="16" t="s">
        <v>3945</v>
      </c>
      <c r="B431" s="17" t="s">
        <v>3935</v>
      </c>
      <c r="C431" s="17" t="s">
        <v>282</v>
      </c>
      <c r="D431" s="17" t="str">
        <f>vlookup(C431,'1. 신청자리스트'!J:N,2,false)</f>
        <v>정상</v>
      </c>
      <c r="E431" s="17"/>
      <c r="F431" s="17" t="s">
        <v>282</v>
      </c>
      <c r="G431" s="18">
        <v>35000.0</v>
      </c>
      <c r="H431" s="19" t="s">
        <v>3990</v>
      </c>
      <c r="I431" s="20"/>
      <c r="J431" s="20"/>
      <c r="K431" s="20"/>
      <c r="L431" s="21"/>
      <c r="M431" s="22"/>
      <c r="N431" s="22"/>
      <c r="O431" s="22"/>
      <c r="P431" s="22"/>
      <c r="Q431" s="22"/>
      <c r="R431" s="22"/>
      <c r="S431" s="22"/>
      <c r="T431" s="23"/>
    </row>
    <row r="432">
      <c r="A432" s="24" t="s">
        <v>3931</v>
      </c>
      <c r="B432" s="25" t="s">
        <v>3935</v>
      </c>
      <c r="C432" s="25" t="s">
        <v>283</v>
      </c>
      <c r="D432" s="17" t="str">
        <f>vlookup(C432,'1. 신청자리스트'!J:N,2,false)</f>
        <v>중복</v>
      </c>
      <c r="E432" s="25"/>
      <c r="F432" s="25" t="s">
        <v>2871</v>
      </c>
      <c r="G432" s="26">
        <v>70000.0</v>
      </c>
      <c r="H432" s="27" t="s">
        <v>3946</v>
      </c>
      <c r="I432" s="28"/>
      <c r="J432" s="28"/>
      <c r="K432" s="28"/>
      <c r="L432" s="29"/>
      <c r="M432" s="22"/>
      <c r="N432" s="22"/>
      <c r="O432" s="22"/>
      <c r="P432" s="22"/>
      <c r="Q432" s="22"/>
      <c r="R432" s="22"/>
      <c r="S432" s="22"/>
      <c r="T432" s="23"/>
    </row>
    <row r="433">
      <c r="A433" s="16" t="s">
        <v>4002</v>
      </c>
      <c r="B433" s="17" t="s">
        <v>3935</v>
      </c>
      <c r="C433" s="17" t="s">
        <v>284</v>
      </c>
      <c r="D433" s="17" t="str">
        <f>vlookup(C433,'1. 신청자리스트'!J:N,2,false)</f>
        <v>정상</v>
      </c>
      <c r="E433" s="17"/>
      <c r="F433" s="17" t="s">
        <v>4183</v>
      </c>
      <c r="G433" s="18">
        <v>35000.0</v>
      </c>
      <c r="H433" s="19" t="s">
        <v>3946</v>
      </c>
      <c r="I433" s="20"/>
      <c r="J433" s="20"/>
      <c r="K433" s="20"/>
      <c r="L433" s="21"/>
      <c r="M433" s="22"/>
      <c r="N433" s="22"/>
      <c r="O433" s="22"/>
      <c r="P433" s="22"/>
      <c r="Q433" s="22"/>
      <c r="R433" s="22"/>
      <c r="S433" s="22"/>
      <c r="T433" s="23"/>
    </row>
    <row r="434">
      <c r="A434" s="16" t="s">
        <v>3985</v>
      </c>
      <c r="B434" s="17" t="s">
        <v>3932</v>
      </c>
      <c r="C434" s="17" t="s">
        <v>767</v>
      </c>
      <c r="D434" s="17" t="str">
        <f>vlookup(C434,'1. 신청자리스트'!J:N,2,false)</f>
        <v>정상</v>
      </c>
      <c r="E434" s="17"/>
      <c r="F434" s="17" t="s">
        <v>767</v>
      </c>
      <c r="G434" s="18">
        <v>70000.0</v>
      </c>
      <c r="H434" s="19" t="s">
        <v>4184</v>
      </c>
      <c r="I434" s="20"/>
      <c r="J434" s="20"/>
      <c r="K434" s="20"/>
      <c r="L434" s="21"/>
      <c r="M434" s="22"/>
      <c r="N434" s="22"/>
      <c r="O434" s="22"/>
      <c r="P434" s="22"/>
      <c r="Q434" s="22"/>
      <c r="R434" s="22"/>
      <c r="S434" s="22"/>
      <c r="T434" s="23"/>
    </row>
    <row r="435">
      <c r="A435" s="16" t="s">
        <v>3931</v>
      </c>
      <c r="B435" s="17" t="s">
        <v>3935</v>
      </c>
      <c r="C435" s="17" t="s">
        <v>285</v>
      </c>
      <c r="D435" s="17" t="str">
        <f>vlookup(C435,'1. 신청자리스트'!J:N,2,false)</f>
        <v>정상</v>
      </c>
      <c r="E435" s="17"/>
      <c r="F435" s="17" t="s">
        <v>285</v>
      </c>
      <c r="G435" s="18">
        <v>35000.0</v>
      </c>
      <c r="H435" s="19" t="s">
        <v>3983</v>
      </c>
      <c r="I435" s="20"/>
      <c r="J435" s="20"/>
      <c r="K435" s="20"/>
      <c r="L435" s="21"/>
      <c r="M435" s="22"/>
      <c r="N435" s="22"/>
      <c r="O435" s="22"/>
      <c r="P435" s="22"/>
      <c r="Q435" s="22"/>
      <c r="R435" s="22"/>
      <c r="S435" s="22"/>
      <c r="T435" s="23"/>
    </row>
    <row r="436">
      <c r="A436" s="16" t="s">
        <v>3940</v>
      </c>
      <c r="B436" s="17" t="s">
        <v>3932</v>
      </c>
      <c r="C436" s="17" t="s">
        <v>286</v>
      </c>
      <c r="D436" s="17" t="str">
        <f>vlookup(C436,'1. 신청자리스트'!J:N,2,false)</f>
        <v>정상</v>
      </c>
      <c r="E436" s="17"/>
      <c r="F436" s="17" t="s">
        <v>286</v>
      </c>
      <c r="G436" s="18">
        <v>35000.0</v>
      </c>
      <c r="H436" s="19" t="s">
        <v>4185</v>
      </c>
      <c r="I436" s="20"/>
      <c r="J436" s="20"/>
      <c r="K436" s="20"/>
      <c r="L436" s="21"/>
      <c r="M436" s="22"/>
      <c r="N436" s="22"/>
      <c r="O436" s="22"/>
      <c r="P436" s="22"/>
      <c r="Q436" s="22"/>
      <c r="R436" s="22"/>
      <c r="S436" s="22"/>
      <c r="T436" s="23"/>
    </row>
    <row r="437">
      <c r="A437" s="16" t="s">
        <v>3989</v>
      </c>
      <c r="B437" s="17" t="s">
        <v>3932</v>
      </c>
      <c r="C437" s="17" t="s">
        <v>287</v>
      </c>
      <c r="D437" s="17" t="str">
        <f>vlookup(C437,'1. 신청자리스트'!J:N,2,false)</f>
        <v>정상</v>
      </c>
      <c r="E437" s="17"/>
      <c r="F437" s="17" t="s">
        <v>287</v>
      </c>
      <c r="G437" s="18">
        <v>35000.0</v>
      </c>
      <c r="H437" s="19" t="s">
        <v>4067</v>
      </c>
      <c r="I437" s="20"/>
      <c r="J437" s="20"/>
      <c r="K437" s="20"/>
      <c r="L437" s="21"/>
      <c r="M437" s="22"/>
      <c r="N437" s="22"/>
      <c r="O437" s="22"/>
      <c r="P437" s="22"/>
      <c r="Q437" s="22"/>
      <c r="R437" s="22"/>
      <c r="S437" s="22"/>
      <c r="T437" s="23"/>
    </row>
    <row r="438">
      <c r="A438" s="16" t="s">
        <v>3942</v>
      </c>
      <c r="B438" s="17" t="s">
        <v>3932</v>
      </c>
      <c r="C438" s="17" t="s">
        <v>289</v>
      </c>
      <c r="D438" s="17" t="str">
        <f>vlookup(C438,'1. 신청자리스트'!J:N,2,false)</f>
        <v>정상</v>
      </c>
      <c r="E438" s="17"/>
      <c r="F438" s="17" t="s">
        <v>289</v>
      </c>
      <c r="G438" s="18">
        <v>35000.0</v>
      </c>
      <c r="H438" s="19" t="s">
        <v>4186</v>
      </c>
      <c r="I438" s="20"/>
      <c r="J438" s="20"/>
      <c r="K438" s="20"/>
      <c r="L438" s="21"/>
      <c r="M438" s="22"/>
      <c r="N438" s="22"/>
      <c r="O438" s="22"/>
      <c r="P438" s="22"/>
      <c r="Q438" s="22"/>
      <c r="R438" s="22"/>
      <c r="S438" s="22"/>
      <c r="T438" s="23"/>
    </row>
    <row r="439">
      <c r="A439" s="16" t="s">
        <v>3940</v>
      </c>
      <c r="B439" s="17" t="s">
        <v>3935</v>
      </c>
      <c r="C439" s="17" t="s">
        <v>290</v>
      </c>
      <c r="D439" s="17" t="str">
        <f>vlookup(C439,'1. 신청자리스트'!J:N,2,false)</f>
        <v>정상</v>
      </c>
      <c r="E439" s="17"/>
      <c r="F439" s="17" t="s">
        <v>4187</v>
      </c>
      <c r="G439" s="18">
        <v>35000.0</v>
      </c>
      <c r="H439" s="19" t="s">
        <v>3946</v>
      </c>
      <c r="I439" s="20"/>
      <c r="J439" s="20"/>
      <c r="K439" s="20"/>
      <c r="L439" s="21"/>
      <c r="M439" s="22"/>
      <c r="N439" s="22"/>
      <c r="O439" s="22"/>
      <c r="P439" s="22"/>
      <c r="Q439" s="22"/>
      <c r="R439" s="22"/>
      <c r="S439" s="22"/>
      <c r="T439" s="23"/>
    </row>
    <row r="440">
      <c r="A440" s="16" t="s">
        <v>3962</v>
      </c>
      <c r="B440" s="17" t="s">
        <v>3935</v>
      </c>
      <c r="C440" s="17" t="s">
        <v>291</v>
      </c>
      <c r="D440" s="17" t="str">
        <f>vlookup(C440,'1. 신청자리스트'!J:N,2,false)</f>
        <v>정상</v>
      </c>
      <c r="E440" s="17"/>
      <c r="F440" s="17" t="s">
        <v>291</v>
      </c>
      <c r="G440" s="18">
        <v>35000.0</v>
      </c>
      <c r="H440" s="19" t="s">
        <v>3983</v>
      </c>
      <c r="I440" s="20"/>
      <c r="J440" s="20"/>
      <c r="K440" s="20"/>
      <c r="L440" s="21"/>
      <c r="M440" s="22"/>
      <c r="N440" s="22"/>
      <c r="O440" s="22"/>
      <c r="P440" s="22"/>
      <c r="Q440" s="22"/>
      <c r="R440" s="22"/>
      <c r="S440" s="22"/>
      <c r="T440" s="23"/>
    </row>
    <row r="441">
      <c r="A441" s="16" t="s">
        <v>3945</v>
      </c>
      <c r="B441" s="17" t="s">
        <v>3935</v>
      </c>
      <c r="C441" s="17" t="s">
        <v>292</v>
      </c>
      <c r="D441" s="17" t="str">
        <f>vlookup(C441,'1. 신청자리스트'!J:N,2,false)</f>
        <v>정상</v>
      </c>
      <c r="E441" s="17"/>
      <c r="F441" s="17" t="s">
        <v>292</v>
      </c>
      <c r="G441" s="18">
        <v>35000.0</v>
      </c>
      <c r="H441" s="19" t="s">
        <v>3946</v>
      </c>
      <c r="I441" s="20"/>
      <c r="J441" s="20"/>
      <c r="K441" s="20"/>
      <c r="L441" s="21"/>
      <c r="M441" s="22"/>
      <c r="N441" s="22"/>
      <c r="O441" s="22"/>
      <c r="P441" s="22"/>
      <c r="Q441" s="22"/>
      <c r="R441" s="22"/>
      <c r="S441" s="22"/>
      <c r="T441" s="23"/>
    </row>
    <row r="442">
      <c r="A442" s="30" t="s">
        <v>4071</v>
      </c>
      <c r="B442" s="31" t="s">
        <v>3935</v>
      </c>
      <c r="C442" s="31" t="s">
        <v>4188</v>
      </c>
      <c r="D442" s="17" t="str">
        <f>vlookup(C442,'1. 신청자리스트'!J:N,2,false)</f>
        <v>정상</v>
      </c>
      <c r="E442" s="38"/>
      <c r="F442" s="31" t="s">
        <v>3839</v>
      </c>
      <c r="G442" s="32">
        <v>35000.0</v>
      </c>
      <c r="H442" s="33" t="s">
        <v>3941</v>
      </c>
      <c r="I442" s="36" t="str">
        <f>VLOOKUP(C442, '문의'!D:E, 2, FALSE)</f>
        <v>[기타문의] 양영주 우리은행 1002455337917 연락처 01029786549 입금시점 12.7일 오전 9시18분 43초/23분 13초 나중에 해주셔도 됩니다 감사합니다</v>
      </c>
      <c r="J442" s="36">
        <f t="array" ref="J442">INDEX('문의'!C:C, MATCH(C442, '문의'!D:D, 0))</f>
        <v>1029786549</v>
      </c>
      <c r="K442" s="34" t="s">
        <v>3957</v>
      </c>
      <c r="L442" s="37" t="s">
        <v>4189</v>
      </c>
      <c r="M442" s="42"/>
      <c r="N442" s="42"/>
      <c r="O442" s="42"/>
      <c r="P442" s="42"/>
      <c r="Q442" s="42"/>
      <c r="R442" s="42"/>
      <c r="S442" s="42"/>
      <c r="T442" s="41"/>
    </row>
    <row r="443">
      <c r="A443" s="16" t="s">
        <v>4071</v>
      </c>
      <c r="B443" s="17" t="s">
        <v>3932</v>
      </c>
      <c r="C443" s="17" t="s">
        <v>768</v>
      </c>
      <c r="D443" s="17" t="str">
        <f>vlookup(C443,'1. 신청자리스트'!J:N,2,false)</f>
        <v>정상</v>
      </c>
      <c r="E443" s="17"/>
      <c r="F443" s="17" t="s">
        <v>768</v>
      </c>
      <c r="G443" s="18">
        <v>70000.0</v>
      </c>
      <c r="H443" s="19" t="s">
        <v>4184</v>
      </c>
      <c r="I443" s="20"/>
      <c r="J443" s="20"/>
      <c r="K443" s="20"/>
      <c r="L443" s="21"/>
      <c r="M443" s="22"/>
      <c r="N443" s="22"/>
      <c r="O443" s="22"/>
      <c r="P443" s="22"/>
      <c r="Q443" s="22"/>
      <c r="R443" s="22"/>
      <c r="S443" s="22"/>
      <c r="T443" s="23"/>
    </row>
    <row r="444">
      <c r="A444" s="16" t="s">
        <v>4190</v>
      </c>
      <c r="B444" s="17" t="s">
        <v>3935</v>
      </c>
      <c r="C444" s="17" t="s">
        <v>293</v>
      </c>
      <c r="D444" s="17" t="str">
        <f>vlookup(C444,'1. 신청자리스트'!J:N,2,false)</f>
        <v>정상</v>
      </c>
      <c r="E444" s="17"/>
      <c r="F444" s="17" t="s">
        <v>293</v>
      </c>
      <c r="G444" s="18">
        <v>35000.0</v>
      </c>
      <c r="H444" s="19" t="s">
        <v>3946</v>
      </c>
      <c r="I444" s="20"/>
      <c r="J444" s="20"/>
      <c r="K444" s="20"/>
      <c r="L444" s="21"/>
      <c r="M444" s="22"/>
      <c r="N444" s="22"/>
      <c r="O444" s="22"/>
      <c r="P444" s="22"/>
      <c r="Q444" s="22"/>
      <c r="R444" s="22"/>
      <c r="S444" s="22"/>
      <c r="T444" s="23"/>
    </row>
    <row r="445">
      <c r="A445" s="16" t="s">
        <v>3955</v>
      </c>
      <c r="B445" s="17" t="s">
        <v>3935</v>
      </c>
      <c r="C445" s="17" t="s">
        <v>769</v>
      </c>
      <c r="D445" s="17" t="str">
        <f>vlookup(C445,'1. 신청자리스트'!J:N,2,false)</f>
        <v>정상</v>
      </c>
      <c r="E445" s="17"/>
      <c r="F445" s="17" t="s">
        <v>769</v>
      </c>
      <c r="G445" s="18">
        <v>70000.0</v>
      </c>
      <c r="H445" s="19" t="s">
        <v>3946</v>
      </c>
      <c r="I445" s="20"/>
      <c r="J445" s="20"/>
      <c r="K445" s="20"/>
      <c r="L445" s="21"/>
      <c r="M445" s="22"/>
      <c r="N445" s="22"/>
      <c r="O445" s="22"/>
      <c r="P445" s="22"/>
      <c r="Q445" s="22"/>
      <c r="R445" s="22"/>
      <c r="S445" s="22"/>
      <c r="T445" s="23"/>
    </row>
    <row r="446">
      <c r="A446" s="16" t="s">
        <v>3945</v>
      </c>
      <c r="B446" s="17" t="s">
        <v>3935</v>
      </c>
      <c r="C446" s="17" t="s">
        <v>770</v>
      </c>
      <c r="D446" s="17" t="str">
        <f>vlookup(C446,'1. 신청자리스트'!J:N,2,false)</f>
        <v>정상</v>
      </c>
      <c r="E446" s="17"/>
      <c r="F446" s="17" t="s">
        <v>770</v>
      </c>
      <c r="G446" s="18">
        <v>70000.0</v>
      </c>
      <c r="H446" s="19" t="s">
        <v>3952</v>
      </c>
      <c r="I446" s="20"/>
      <c r="J446" s="20"/>
      <c r="K446" s="20"/>
      <c r="L446" s="21"/>
      <c r="M446" s="22"/>
      <c r="N446" s="22"/>
      <c r="O446" s="22"/>
      <c r="P446" s="22"/>
      <c r="Q446" s="22"/>
      <c r="R446" s="22"/>
      <c r="S446" s="22"/>
      <c r="T446" s="23"/>
    </row>
    <row r="447">
      <c r="A447" s="24" t="s">
        <v>3934</v>
      </c>
      <c r="B447" s="25" t="s">
        <v>3935</v>
      </c>
      <c r="C447" s="25" t="s">
        <v>294</v>
      </c>
      <c r="D447" s="17" t="str">
        <f>vlookup(C447,'1. 신청자리스트'!J:N,2,false)</f>
        <v>정상</v>
      </c>
      <c r="E447" s="25"/>
      <c r="F447" s="25" t="s">
        <v>3397</v>
      </c>
      <c r="G447" s="26">
        <v>35000.0</v>
      </c>
      <c r="H447" s="27" t="s">
        <v>3946</v>
      </c>
      <c r="I447" s="28"/>
      <c r="J447" s="28"/>
      <c r="K447" s="28"/>
      <c r="L447" s="29"/>
      <c r="M447" s="22"/>
      <c r="N447" s="22"/>
      <c r="O447" s="22"/>
      <c r="P447" s="22"/>
      <c r="Q447" s="22"/>
      <c r="R447" s="22"/>
      <c r="S447" s="22"/>
      <c r="T447" s="23"/>
    </row>
    <row r="448">
      <c r="A448" s="16" t="s">
        <v>3940</v>
      </c>
      <c r="B448" s="17" t="s">
        <v>3935</v>
      </c>
      <c r="C448" s="17" t="s">
        <v>771</v>
      </c>
      <c r="D448" s="17" t="str">
        <f>vlookup(C448,'1. 신청자리스트'!J:N,2,false)</f>
        <v>정상</v>
      </c>
      <c r="E448" s="17"/>
      <c r="F448" s="17" t="s">
        <v>4191</v>
      </c>
      <c r="G448" s="18">
        <v>70000.0</v>
      </c>
      <c r="H448" s="19" t="s">
        <v>3939</v>
      </c>
      <c r="I448" s="20"/>
      <c r="J448" s="20"/>
      <c r="K448" s="20"/>
      <c r="L448" s="21"/>
      <c r="M448" s="22"/>
      <c r="N448" s="22"/>
      <c r="O448" s="22"/>
      <c r="P448" s="22"/>
      <c r="Q448" s="22"/>
      <c r="R448" s="22"/>
      <c r="S448" s="22"/>
      <c r="T448" s="23"/>
    </row>
    <row r="449">
      <c r="A449" s="16" t="s">
        <v>4002</v>
      </c>
      <c r="B449" s="17" t="s">
        <v>3932</v>
      </c>
      <c r="C449" s="17" t="s">
        <v>295</v>
      </c>
      <c r="D449" s="17" t="str">
        <f>vlookup(C449,'1. 신청자리스트'!J:N,2,false)</f>
        <v>정상</v>
      </c>
      <c r="E449" s="17"/>
      <c r="F449" s="17" t="s">
        <v>295</v>
      </c>
      <c r="G449" s="18">
        <v>35000.0</v>
      </c>
      <c r="H449" s="19" t="s">
        <v>4192</v>
      </c>
      <c r="I449" s="20"/>
      <c r="J449" s="20"/>
      <c r="K449" s="20"/>
      <c r="L449" s="21"/>
      <c r="M449" s="22"/>
      <c r="N449" s="22"/>
      <c r="O449" s="22"/>
      <c r="P449" s="22"/>
      <c r="Q449" s="22"/>
      <c r="R449" s="22"/>
      <c r="S449" s="22"/>
      <c r="T449" s="23"/>
    </row>
    <row r="450">
      <c r="A450" s="16" t="s">
        <v>3953</v>
      </c>
      <c r="B450" s="17" t="s">
        <v>3935</v>
      </c>
      <c r="C450" s="17" t="s">
        <v>296</v>
      </c>
      <c r="D450" s="17" t="str">
        <f>vlookup(C450,'1. 신청자리스트'!J:N,2,false)</f>
        <v>정상</v>
      </c>
      <c r="E450" s="17"/>
      <c r="F450" s="17" t="s">
        <v>296</v>
      </c>
      <c r="G450" s="18">
        <v>35000.0</v>
      </c>
      <c r="H450" s="19" t="s">
        <v>3946</v>
      </c>
      <c r="I450" s="20"/>
      <c r="J450" s="20"/>
      <c r="K450" s="20"/>
      <c r="L450" s="21"/>
      <c r="M450" s="22"/>
      <c r="N450" s="22"/>
      <c r="O450" s="22"/>
      <c r="P450" s="22"/>
      <c r="Q450" s="22"/>
      <c r="R450" s="22"/>
      <c r="S450" s="22"/>
      <c r="T450" s="23"/>
    </row>
    <row r="451">
      <c r="A451" s="24" t="s">
        <v>3962</v>
      </c>
      <c r="B451" s="25" t="s">
        <v>3935</v>
      </c>
      <c r="C451" s="25" t="s">
        <v>297</v>
      </c>
      <c r="D451" s="17" t="str">
        <f>vlookup(C451,'1. 신청자리스트'!J:N,2,false)</f>
        <v>정상</v>
      </c>
      <c r="E451" s="25"/>
      <c r="F451" s="25" t="s">
        <v>3403</v>
      </c>
      <c r="G451" s="26">
        <v>35000.0</v>
      </c>
      <c r="H451" s="27" t="s">
        <v>3983</v>
      </c>
      <c r="I451" s="28"/>
      <c r="J451" s="28"/>
      <c r="K451" s="28"/>
      <c r="L451" s="29"/>
      <c r="M451" s="22"/>
      <c r="N451" s="22"/>
      <c r="O451" s="22"/>
      <c r="P451" s="22"/>
      <c r="Q451" s="22"/>
      <c r="R451" s="22"/>
      <c r="S451" s="22"/>
      <c r="T451" s="23"/>
    </row>
    <row r="452">
      <c r="A452" s="16" t="s">
        <v>3940</v>
      </c>
      <c r="B452" s="17" t="s">
        <v>3935</v>
      </c>
      <c r="C452" s="17" t="s">
        <v>298</v>
      </c>
      <c r="D452" s="17" t="str">
        <f>vlookup(C452,'1. 신청자리스트'!J:N,2,false)</f>
        <v>정상</v>
      </c>
      <c r="E452" s="17"/>
      <c r="F452" s="17" t="s">
        <v>298</v>
      </c>
      <c r="G452" s="18">
        <v>35000.0</v>
      </c>
      <c r="H452" s="19" t="s">
        <v>3948</v>
      </c>
      <c r="I452" s="20"/>
      <c r="J452" s="20"/>
      <c r="K452" s="20"/>
      <c r="L452" s="21"/>
      <c r="M452" s="22"/>
      <c r="N452" s="22"/>
      <c r="O452" s="22"/>
      <c r="P452" s="22"/>
      <c r="Q452" s="22"/>
      <c r="R452" s="22"/>
      <c r="S452" s="22"/>
      <c r="T452" s="23"/>
    </row>
    <row r="453">
      <c r="A453" s="30" t="s">
        <v>4193</v>
      </c>
      <c r="B453" s="31" t="s">
        <v>3935</v>
      </c>
      <c r="C453" s="31" t="s">
        <v>4194</v>
      </c>
      <c r="D453" s="17" t="str">
        <f>vlookup(C453,'1. 신청자리스트'!J:N,2,false)</f>
        <v>정상</v>
      </c>
      <c r="E453" s="31"/>
      <c r="F453" s="31" t="s">
        <v>3845</v>
      </c>
      <c r="G453" s="32">
        <v>35000.0</v>
      </c>
      <c r="H453" s="33" t="s">
        <v>3941</v>
      </c>
      <c r="I453" s="34" t="str">
        <f>VLOOKUP(C453, '문의'!D:E, 2, FALSE)</f>
        <v>[취소/환불] 환불은 어떡해 받나요 계좌번호 1002615071630 우리은행 오금순</v>
      </c>
      <c r="J453" s="34">
        <f t="array" ref="J453">INDEX('문의'!C:C, MATCH(C453, '문의'!D:D, 0))</f>
        <v>1047699367</v>
      </c>
      <c r="K453" s="34" t="s">
        <v>3957</v>
      </c>
      <c r="L453" s="37" t="s">
        <v>4195</v>
      </c>
      <c r="M453" s="42"/>
      <c r="N453" s="42"/>
      <c r="O453" s="42"/>
      <c r="P453" s="43"/>
      <c r="Q453" s="42"/>
      <c r="R453" s="44"/>
      <c r="S453" s="42"/>
      <c r="T453" s="41"/>
    </row>
    <row r="454">
      <c r="A454" s="24" t="s">
        <v>3942</v>
      </c>
      <c r="B454" s="25" t="s">
        <v>3935</v>
      </c>
      <c r="C454" s="25" t="s">
        <v>299</v>
      </c>
      <c r="D454" s="17" t="str">
        <f>vlookup(C454,'1. 신청자리스트'!J:N,2,false)</f>
        <v>정상</v>
      </c>
      <c r="E454" s="25"/>
      <c r="F454" s="25" t="s">
        <v>3407</v>
      </c>
      <c r="G454" s="26">
        <v>35000.0</v>
      </c>
      <c r="H454" s="27" t="s">
        <v>3939</v>
      </c>
      <c r="I454" s="28"/>
      <c r="J454" s="28"/>
      <c r="K454" s="28"/>
      <c r="L454" s="29"/>
      <c r="M454" s="22"/>
      <c r="N454" s="22"/>
      <c r="O454" s="22"/>
      <c r="P454" s="22"/>
      <c r="Q454" s="22"/>
      <c r="R454" s="22"/>
      <c r="S454" s="22"/>
      <c r="T454" s="23"/>
    </row>
    <row r="455">
      <c r="A455" s="16" t="s">
        <v>3942</v>
      </c>
      <c r="B455" s="17" t="s">
        <v>3935</v>
      </c>
      <c r="C455" s="17" t="s">
        <v>300</v>
      </c>
      <c r="D455" s="17" t="str">
        <f>vlookup(C455,'1. 신청자리스트'!J:N,2,false)</f>
        <v>정상</v>
      </c>
      <c r="E455" s="17"/>
      <c r="F455" s="17" t="s">
        <v>300</v>
      </c>
      <c r="G455" s="18">
        <v>35000.0</v>
      </c>
      <c r="H455" s="19" t="s">
        <v>3941</v>
      </c>
      <c r="I455" s="20"/>
      <c r="J455" s="20"/>
      <c r="K455" s="20"/>
      <c r="L455" s="21"/>
      <c r="M455" s="22"/>
      <c r="N455" s="22"/>
      <c r="O455" s="22"/>
      <c r="P455" s="22"/>
      <c r="Q455" s="22"/>
      <c r="R455" s="22"/>
      <c r="S455" s="22"/>
      <c r="T455" s="23"/>
    </row>
    <row r="456">
      <c r="A456" s="24" t="s">
        <v>3940</v>
      </c>
      <c r="B456" s="25" t="s">
        <v>3935</v>
      </c>
      <c r="C456" s="25" t="s">
        <v>301</v>
      </c>
      <c r="D456" s="17" t="str">
        <f>vlookup(C456,'1. 신청자리스트'!J:N,2,false)</f>
        <v>정상</v>
      </c>
      <c r="E456" s="25"/>
      <c r="F456" s="25" t="s">
        <v>4196</v>
      </c>
      <c r="G456" s="26">
        <v>35000.0</v>
      </c>
      <c r="H456" s="27" t="s">
        <v>3948</v>
      </c>
      <c r="I456" s="28"/>
      <c r="J456" s="28"/>
      <c r="K456" s="28"/>
      <c r="L456" s="29"/>
      <c r="M456" s="22"/>
      <c r="N456" s="22"/>
      <c r="O456" s="22"/>
      <c r="P456" s="22"/>
      <c r="Q456" s="22"/>
      <c r="R456" s="22"/>
      <c r="S456" s="22"/>
      <c r="T456" s="23"/>
    </row>
    <row r="457">
      <c r="A457" s="16" t="s">
        <v>3940</v>
      </c>
      <c r="B457" s="17" t="s">
        <v>3935</v>
      </c>
      <c r="C457" s="17" t="s">
        <v>302</v>
      </c>
      <c r="D457" s="17" t="str">
        <f>vlookup(C457,'1. 신청자리스트'!J:N,2,false)</f>
        <v>정상</v>
      </c>
      <c r="E457" s="17"/>
      <c r="F457" s="17" t="s">
        <v>4197</v>
      </c>
      <c r="G457" s="18">
        <v>35000.0</v>
      </c>
      <c r="H457" s="19" t="s">
        <v>3941</v>
      </c>
      <c r="I457" s="20"/>
      <c r="J457" s="20"/>
      <c r="K457" s="20"/>
      <c r="L457" s="21"/>
      <c r="M457" s="22"/>
      <c r="N457" s="22"/>
      <c r="O457" s="22"/>
      <c r="P457" s="22"/>
      <c r="Q457" s="22"/>
      <c r="R457" s="22"/>
      <c r="S457" s="22"/>
      <c r="T457" s="23"/>
    </row>
    <row r="458">
      <c r="A458" s="24" t="s">
        <v>4198</v>
      </c>
      <c r="B458" s="25" t="s">
        <v>3935</v>
      </c>
      <c r="C458" s="25" t="s">
        <v>772</v>
      </c>
      <c r="D458" s="17" t="str">
        <f>vlookup(C458,'1. 신청자리스트'!J:N,2,false)</f>
        <v>정상</v>
      </c>
      <c r="E458" s="25"/>
      <c r="F458" s="25" t="s">
        <v>4199</v>
      </c>
      <c r="G458" s="26">
        <v>70000.0</v>
      </c>
      <c r="H458" s="27" t="s">
        <v>3941</v>
      </c>
      <c r="I458" s="28"/>
      <c r="J458" s="28"/>
      <c r="K458" s="28"/>
      <c r="L458" s="29"/>
      <c r="M458" s="22"/>
      <c r="N458" s="22"/>
      <c r="O458" s="22"/>
      <c r="P458" s="22"/>
      <c r="Q458" s="22"/>
      <c r="R458" s="22"/>
      <c r="S458" s="22"/>
      <c r="T458" s="23"/>
    </row>
    <row r="459">
      <c r="A459" s="16" t="s">
        <v>4200</v>
      </c>
      <c r="B459" s="17" t="s">
        <v>3943</v>
      </c>
      <c r="C459" s="17" t="s">
        <v>303</v>
      </c>
      <c r="D459" s="17" t="str">
        <f>vlookup(C459,'1. 신청자리스트'!J:N,2,false)</f>
        <v>정상</v>
      </c>
      <c r="E459" s="17"/>
      <c r="F459" s="17" t="s">
        <v>303</v>
      </c>
      <c r="G459" s="18">
        <v>35000.0</v>
      </c>
      <c r="H459" s="19" t="s">
        <v>3944</v>
      </c>
      <c r="I459" s="20"/>
      <c r="J459" s="20"/>
      <c r="K459" s="20"/>
      <c r="L459" s="21"/>
      <c r="M459" s="22"/>
      <c r="N459" s="22"/>
      <c r="O459" s="22"/>
      <c r="P459" s="22"/>
      <c r="Q459" s="22"/>
      <c r="R459" s="22"/>
      <c r="S459" s="22"/>
      <c r="T459" s="23"/>
    </row>
    <row r="460">
      <c r="A460" s="24" t="s">
        <v>3942</v>
      </c>
      <c r="B460" s="25" t="s">
        <v>3932</v>
      </c>
      <c r="C460" s="25" t="s">
        <v>773</v>
      </c>
      <c r="D460" s="17" t="str">
        <f>vlookup(C460,'1. 신청자리스트'!J:N,2,false)</f>
        <v>정상</v>
      </c>
      <c r="E460" s="25"/>
      <c r="F460" s="25" t="s">
        <v>2654</v>
      </c>
      <c r="G460" s="26">
        <v>70000.0</v>
      </c>
      <c r="H460" s="27" t="s">
        <v>4040</v>
      </c>
      <c r="I460" s="28"/>
      <c r="J460" s="28"/>
      <c r="K460" s="28"/>
      <c r="L460" s="29"/>
      <c r="M460" s="22"/>
      <c r="N460" s="22"/>
      <c r="O460" s="22"/>
      <c r="P460" s="22"/>
      <c r="Q460" s="22"/>
      <c r="R460" s="22"/>
      <c r="S460" s="22"/>
      <c r="T460" s="23"/>
    </row>
    <row r="461">
      <c r="A461" s="16" t="s">
        <v>3962</v>
      </c>
      <c r="B461" s="17" t="s">
        <v>3932</v>
      </c>
      <c r="C461" s="17" t="s">
        <v>304</v>
      </c>
      <c r="D461" s="17" t="str">
        <f>vlookup(C461,'1. 신청자리스트'!J:N,2,false)</f>
        <v>정상</v>
      </c>
      <c r="E461" s="17"/>
      <c r="F461" s="17" t="s">
        <v>304</v>
      </c>
      <c r="G461" s="18">
        <v>35000.0</v>
      </c>
      <c r="H461" s="19" t="s">
        <v>4201</v>
      </c>
      <c r="I461" s="20"/>
      <c r="J461" s="20"/>
      <c r="K461" s="20"/>
      <c r="L461" s="21"/>
      <c r="M461" s="22"/>
      <c r="N461" s="22"/>
      <c r="O461" s="22"/>
      <c r="P461" s="22"/>
      <c r="Q461" s="22"/>
      <c r="R461" s="22"/>
      <c r="S461" s="22"/>
      <c r="T461" s="23"/>
    </row>
    <row r="462">
      <c r="A462" s="16" t="s">
        <v>3962</v>
      </c>
      <c r="B462" s="17" t="s">
        <v>3935</v>
      </c>
      <c r="C462" s="17" t="s">
        <v>774</v>
      </c>
      <c r="D462" s="17" t="str">
        <f>vlookup(C462,'1. 신청자리스트'!J:N,2,false)</f>
        <v>정상</v>
      </c>
      <c r="E462" s="17"/>
      <c r="F462" s="17" t="s">
        <v>774</v>
      </c>
      <c r="G462" s="18">
        <v>70000.0</v>
      </c>
      <c r="H462" s="19" t="s">
        <v>3983</v>
      </c>
      <c r="I462" s="20"/>
      <c r="J462" s="20"/>
      <c r="K462" s="20"/>
      <c r="L462" s="21"/>
      <c r="M462" s="22"/>
      <c r="N462" s="22"/>
      <c r="O462" s="22"/>
      <c r="P462" s="22"/>
      <c r="Q462" s="22"/>
      <c r="R462" s="22"/>
      <c r="S462" s="22"/>
      <c r="T462" s="23"/>
    </row>
    <row r="463">
      <c r="A463" s="16" t="s">
        <v>3940</v>
      </c>
      <c r="B463" s="17" t="s">
        <v>3935</v>
      </c>
      <c r="C463" s="17" t="s">
        <v>775</v>
      </c>
      <c r="D463" s="17" t="str">
        <f>vlookup(C463,'1. 신청자리스트'!J:N,2,false)</f>
        <v>정상</v>
      </c>
      <c r="E463" s="17"/>
      <c r="F463" s="17" t="s">
        <v>775</v>
      </c>
      <c r="G463" s="18">
        <v>70000.0</v>
      </c>
      <c r="H463" s="19" t="s">
        <v>3983</v>
      </c>
      <c r="I463" s="20"/>
      <c r="J463" s="20"/>
      <c r="K463" s="20"/>
      <c r="L463" s="21"/>
      <c r="M463" s="22"/>
      <c r="N463" s="22"/>
      <c r="O463" s="22"/>
      <c r="P463" s="22"/>
      <c r="Q463" s="22"/>
      <c r="R463" s="22"/>
      <c r="S463" s="22"/>
      <c r="T463" s="23"/>
    </row>
    <row r="464">
      <c r="A464" s="16" t="s">
        <v>3998</v>
      </c>
      <c r="B464" s="17" t="s">
        <v>3935</v>
      </c>
      <c r="C464" s="17" t="s">
        <v>305</v>
      </c>
      <c r="D464" s="17" t="str">
        <f>vlookup(C464,'1. 신청자리스트'!J:N,2,false)</f>
        <v>정상</v>
      </c>
      <c r="E464" s="17"/>
      <c r="F464" s="17" t="s">
        <v>305</v>
      </c>
      <c r="G464" s="18">
        <v>35000.0</v>
      </c>
      <c r="H464" s="19" t="s">
        <v>3948</v>
      </c>
      <c r="I464" s="20"/>
      <c r="J464" s="20"/>
      <c r="K464" s="20"/>
      <c r="L464" s="21"/>
      <c r="M464" s="22"/>
      <c r="N464" s="22"/>
      <c r="O464" s="22"/>
      <c r="P464" s="22"/>
      <c r="Q464" s="22"/>
      <c r="R464" s="22"/>
      <c r="S464" s="22"/>
      <c r="T464" s="23"/>
    </row>
    <row r="465">
      <c r="A465" s="16" t="s">
        <v>3989</v>
      </c>
      <c r="B465" s="17" t="s">
        <v>3935</v>
      </c>
      <c r="C465" s="17" t="s">
        <v>776</v>
      </c>
      <c r="D465" s="17" t="str">
        <f>vlookup(C465,'1. 신청자리스트'!J:N,2,false)</f>
        <v>정상</v>
      </c>
      <c r="E465" s="17"/>
      <c r="F465" s="17" t="s">
        <v>776</v>
      </c>
      <c r="G465" s="18">
        <v>70000.0</v>
      </c>
      <c r="H465" s="19" t="s">
        <v>3946</v>
      </c>
      <c r="I465" s="20"/>
      <c r="J465" s="20"/>
      <c r="K465" s="20"/>
      <c r="L465" s="21"/>
      <c r="M465" s="22"/>
      <c r="N465" s="22"/>
      <c r="O465" s="22"/>
      <c r="P465" s="22"/>
      <c r="Q465" s="22"/>
      <c r="R465" s="22"/>
      <c r="S465" s="22"/>
      <c r="T465" s="23"/>
    </row>
    <row r="466">
      <c r="A466" s="16" t="s">
        <v>3940</v>
      </c>
      <c r="B466" s="17" t="s">
        <v>3932</v>
      </c>
      <c r="C466" s="17" t="s">
        <v>777</v>
      </c>
      <c r="D466" s="17" t="str">
        <f>vlookup(C466,'1. 신청자리스트'!J:N,2,false)</f>
        <v>정상</v>
      </c>
      <c r="E466" s="17"/>
      <c r="F466" s="17" t="s">
        <v>777</v>
      </c>
      <c r="G466" s="18">
        <v>70000.0</v>
      </c>
      <c r="H466" s="19" t="s">
        <v>4202</v>
      </c>
      <c r="I466" s="20"/>
      <c r="J466" s="20"/>
      <c r="K466" s="20"/>
      <c r="L466" s="21"/>
      <c r="M466" s="22"/>
      <c r="N466" s="22"/>
      <c r="O466" s="22"/>
      <c r="P466" s="22"/>
      <c r="Q466" s="22"/>
      <c r="R466" s="22"/>
      <c r="S466" s="22"/>
      <c r="T466" s="23"/>
    </row>
    <row r="467">
      <c r="A467" s="16" t="s">
        <v>3940</v>
      </c>
      <c r="B467" s="17" t="s">
        <v>3935</v>
      </c>
      <c r="C467" s="17" t="s">
        <v>306</v>
      </c>
      <c r="D467" s="17" t="str">
        <f>vlookup(C467,'1. 신청자리스트'!J:N,2,false)</f>
        <v>정상</v>
      </c>
      <c r="E467" s="17"/>
      <c r="F467" s="17" t="s">
        <v>306</v>
      </c>
      <c r="G467" s="18">
        <v>35000.0</v>
      </c>
      <c r="H467" s="19" t="s">
        <v>3983</v>
      </c>
      <c r="I467" s="20"/>
      <c r="J467" s="20"/>
      <c r="K467" s="20"/>
      <c r="L467" s="21"/>
      <c r="M467" s="22"/>
      <c r="N467" s="22"/>
      <c r="O467" s="22"/>
      <c r="P467" s="22"/>
      <c r="Q467" s="22"/>
      <c r="R467" s="22"/>
      <c r="S467" s="22"/>
      <c r="T467" s="23"/>
    </row>
    <row r="468">
      <c r="A468" s="16" t="s">
        <v>3938</v>
      </c>
      <c r="B468" s="17" t="s">
        <v>3935</v>
      </c>
      <c r="C468" s="17" t="s">
        <v>308</v>
      </c>
      <c r="D468" s="17" t="str">
        <f>vlookup(C468,'1. 신청자리스트'!J:N,2,false)</f>
        <v>정상</v>
      </c>
      <c r="E468" s="17"/>
      <c r="F468" s="17" t="s">
        <v>308</v>
      </c>
      <c r="G468" s="18">
        <v>35000.0</v>
      </c>
      <c r="H468" s="19" t="s">
        <v>3948</v>
      </c>
      <c r="I468" s="20"/>
      <c r="J468" s="20"/>
      <c r="K468" s="20"/>
      <c r="L468" s="21"/>
      <c r="M468" s="22"/>
      <c r="N468" s="22"/>
      <c r="O468" s="22"/>
      <c r="P468" s="22"/>
      <c r="Q468" s="22"/>
      <c r="R468" s="22"/>
      <c r="S468" s="22"/>
      <c r="T468" s="23"/>
    </row>
    <row r="469">
      <c r="A469" s="16" t="s">
        <v>4203</v>
      </c>
      <c r="B469" s="17" t="s">
        <v>3935</v>
      </c>
      <c r="C469" s="17" t="s">
        <v>309</v>
      </c>
      <c r="D469" s="17" t="str">
        <f>vlookup(C469,'1. 신청자리스트'!J:N,2,false)</f>
        <v>정상</v>
      </c>
      <c r="E469" s="17"/>
      <c r="F469" s="17" t="s">
        <v>309</v>
      </c>
      <c r="G469" s="18">
        <v>35000.0</v>
      </c>
      <c r="H469" s="19" t="s">
        <v>3939</v>
      </c>
      <c r="I469" s="20"/>
      <c r="J469" s="20"/>
      <c r="K469" s="20"/>
      <c r="L469" s="21"/>
      <c r="M469" s="22"/>
      <c r="N469" s="22"/>
      <c r="O469" s="22"/>
      <c r="P469" s="22"/>
      <c r="Q469" s="22"/>
      <c r="R469" s="22"/>
      <c r="S469" s="22"/>
      <c r="T469" s="23"/>
    </row>
    <row r="470">
      <c r="A470" s="24" t="s">
        <v>3940</v>
      </c>
      <c r="B470" s="25" t="s">
        <v>3935</v>
      </c>
      <c r="C470" s="25" t="s">
        <v>310</v>
      </c>
      <c r="D470" s="17" t="str">
        <f>vlookup(C470,'1. 신청자리스트'!J:N,2,false)</f>
        <v>정상</v>
      </c>
      <c r="E470" s="25"/>
      <c r="F470" s="25" t="s">
        <v>3427</v>
      </c>
      <c r="G470" s="26">
        <v>35000.0</v>
      </c>
      <c r="H470" s="27" t="s">
        <v>3937</v>
      </c>
      <c r="I470" s="28"/>
      <c r="J470" s="28"/>
      <c r="K470" s="28"/>
      <c r="L470" s="29"/>
      <c r="M470" s="22"/>
      <c r="N470" s="22"/>
      <c r="O470" s="22"/>
      <c r="P470" s="22"/>
      <c r="Q470" s="22"/>
      <c r="R470" s="22"/>
      <c r="S470" s="22"/>
      <c r="T470" s="23"/>
    </row>
    <row r="471">
      <c r="A471" s="16" t="s">
        <v>3989</v>
      </c>
      <c r="B471" s="17" t="s">
        <v>3932</v>
      </c>
      <c r="C471" s="17" t="s">
        <v>778</v>
      </c>
      <c r="D471" s="17" t="str">
        <f>vlookup(C471,'1. 신청자리스트'!J:N,2,false)</f>
        <v>정상</v>
      </c>
      <c r="E471" s="17"/>
      <c r="F471" s="17" t="s">
        <v>778</v>
      </c>
      <c r="G471" s="18">
        <v>70000.0</v>
      </c>
      <c r="H471" s="19" t="s">
        <v>4204</v>
      </c>
      <c r="I471" s="20"/>
      <c r="J471" s="20"/>
      <c r="K471" s="20"/>
      <c r="L471" s="21"/>
      <c r="M471" s="22"/>
      <c r="N471" s="22"/>
      <c r="O471" s="22"/>
      <c r="P471" s="22"/>
      <c r="Q471" s="22"/>
      <c r="R471" s="22"/>
      <c r="S471" s="22"/>
      <c r="T471" s="23"/>
    </row>
    <row r="472">
      <c r="A472" s="24" t="s">
        <v>3931</v>
      </c>
      <c r="B472" s="25" t="s">
        <v>3932</v>
      </c>
      <c r="C472" s="25" t="s">
        <v>311</v>
      </c>
      <c r="D472" s="17" t="str">
        <f>vlookup(C472,'1. 신청자리스트'!J:N,2,false)</f>
        <v>정상</v>
      </c>
      <c r="E472" s="25"/>
      <c r="F472" s="25" t="s">
        <v>3429</v>
      </c>
      <c r="G472" s="26">
        <v>35000.0</v>
      </c>
      <c r="H472" s="27" t="s">
        <v>4205</v>
      </c>
      <c r="I472" s="28"/>
      <c r="J472" s="28"/>
      <c r="K472" s="28"/>
      <c r="L472" s="29"/>
      <c r="M472" s="22"/>
      <c r="N472" s="22"/>
      <c r="O472" s="22"/>
      <c r="P472" s="22"/>
      <c r="Q472" s="22"/>
      <c r="R472" s="22"/>
      <c r="S472" s="22"/>
      <c r="T472" s="23"/>
    </row>
    <row r="473">
      <c r="A473" s="24" t="s">
        <v>3940</v>
      </c>
      <c r="B473" s="25" t="s">
        <v>3935</v>
      </c>
      <c r="C473" s="25" t="s">
        <v>779</v>
      </c>
      <c r="D473" s="17" t="str">
        <f>vlookup(C473,'1. 신청자리스트'!J:N,2,false)</f>
        <v>정상</v>
      </c>
      <c r="E473" s="25"/>
      <c r="F473" s="25" t="s">
        <v>2741</v>
      </c>
      <c r="G473" s="26">
        <v>70000.0</v>
      </c>
      <c r="H473" s="27" t="s">
        <v>3990</v>
      </c>
      <c r="I473" s="28"/>
      <c r="J473" s="28"/>
      <c r="K473" s="28"/>
      <c r="L473" s="29"/>
      <c r="M473" s="22"/>
      <c r="N473" s="22"/>
      <c r="O473" s="22"/>
      <c r="P473" s="22"/>
      <c r="Q473" s="22"/>
      <c r="R473" s="22"/>
      <c r="S473" s="22"/>
      <c r="T473" s="23"/>
    </row>
    <row r="474">
      <c r="A474" s="24" t="s">
        <v>3955</v>
      </c>
      <c r="B474" s="25" t="s">
        <v>3935</v>
      </c>
      <c r="C474" s="25" t="s">
        <v>780</v>
      </c>
      <c r="D474" s="17" t="str">
        <f>vlookup(C474,'1. 신청자리스트'!J:N,2,false)</f>
        <v>정상</v>
      </c>
      <c r="E474" s="25"/>
      <c r="F474" s="25" t="s">
        <v>4206</v>
      </c>
      <c r="G474" s="26">
        <v>70000.0</v>
      </c>
      <c r="H474" s="27" t="s">
        <v>3946</v>
      </c>
      <c r="I474" s="28"/>
      <c r="J474" s="28"/>
      <c r="K474" s="28"/>
      <c r="L474" s="29"/>
      <c r="M474" s="22"/>
      <c r="N474" s="22"/>
      <c r="O474" s="22"/>
      <c r="P474" s="22"/>
      <c r="Q474" s="22"/>
      <c r="R474" s="22"/>
      <c r="S474" s="22"/>
      <c r="T474" s="23"/>
    </row>
    <row r="475">
      <c r="A475" s="16" t="s">
        <v>3945</v>
      </c>
      <c r="B475" s="17" t="s">
        <v>3935</v>
      </c>
      <c r="C475" s="17" t="s">
        <v>781</v>
      </c>
      <c r="D475" s="17" t="str">
        <f>vlookup(C475,'1. 신청자리스트'!J:N,2,false)</f>
        <v>정상</v>
      </c>
      <c r="E475" s="17"/>
      <c r="F475" s="17" t="s">
        <v>781</v>
      </c>
      <c r="G475" s="18">
        <v>70000.0</v>
      </c>
      <c r="H475" s="19" t="s">
        <v>3946</v>
      </c>
      <c r="I475" s="20"/>
      <c r="J475" s="20"/>
      <c r="K475" s="20"/>
      <c r="L475" s="21"/>
      <c r="M475" s="22"/>
      <c r="N475" s="22"/>
      <c r="O475" s="22"/>
      <c r="P475" s="22"/>
      <c r="Q475" s="22"/>
      <c r="R475" s="22"/>
      <c r="S475" s="22"/>
      <c r="T475" s="23"/>
    </row>
    <row r="476">
      <c r="A476" s="16" t="s">
        <v>3942</v>
      </c>
      <c r="B476" s="17" t="s">
        <v>3935</v>
      </c>
      <c r="C476" s="17" t="s">
        <v>313</v>
      </c>
      <c r="D476" s="17" t="str">
        <f>vlookup(C476,'1. 신청자리스트'!J:N,2,false)</f>
        <v>정상</v>
      </c>
      <c r="E476" s="17"/>
      <c r="F476" s="17" t="s">
        <v>4207</v>
      </c>
      <c r="G476" s="18">
        <v>35000.0</v>
      </c>
      <c r="H476" s="19" t="s">
        <v>3946</v>
      </c>
      <c r="I476" s="20"/>
      <c r="J476" s="20"/>
      <c r="K476" s="20"/>
      <c r="L476" s="21"/>
      <c r="M476" s="22"/>
      <c r="N476" s="22"/>
      <c r="O476" s="22"/>
      <c r="P476" s="22"/>
      <c r="Q476" s="22"/>
      <c r="R476" s="22"/>
      <c r="S476" s="22"/>
      <c r="T476" s="23"/>
    </row>
    <row r="477">
      <c r="A477" s="16" t="s">
        <v>3938</v>
      </c>
      <c r="B477" s="17" t="s">
        <v>3935</v>
      </c>
      <c r="C477" s="17" t="s">
        <v>314</v>
      </c>
      <c r="D477" s="17" t="str">
        <f>vlookup(C477,'1. 신청자리스트'!J:N,2,false)</f>
        <v>정상</v>
      </c>
      <c r="E477" s="17"/>
      <c r="F477" s="17" t="s">
        <v>314</v>
      </c>
      <c r="G477" s="18">
        <v>35000.0</v>
      </c>
      <c r="H477" s="19" t="s">
        <v>3990</v>
      </c>
      <c r="I477" s="20"/>
      <c r="J477" s="20"/>
      <c r="K477" s="20"/>
      <c r="L477" s="21"/>
      <c r="M477" s="22"/>
      <c r="N477" s="22"/>
      <c r="O477" s="22"/>
      <c r="P477" s="22"/>
      <c r="Q477" s="22"/>
      <c r="R477" s="22"/>
      <c r="S477" s="22"/>
      <c r="T477" s="23"/>
    </row>
    <row r="478">
      <c r="A478" s="16" t="s">
        <v>3931</v>
      </c>
      <c r="B478" s="47" t="s">
        <v>3935</v>
      </c>
      <c r="C478" s="47" t="s">
        <v>782</v>
      </c>
      <c r="D478" s="17" t="str">
        <f>vlookup(C478,'1. 신청자리스트'!J:N,2,false)</f>
        <v>정상</v>
      </c>
      <c r="E478" s="47"/>
      <c r="F478" s="47" t="s">
        <v>782</v>
      </c>
      <c r="G478" s="18">
        <v>70000.0</v>
      </c>
      <c r="H478" s="47" t="s">
        <v>3948</v>
      </c>
      <c r="I478" s="47"/>
      <c r="J478" s="47"/>
      <c r="K478" s="47"/>
      <c r="L478" s="47"/>
      <c r="M478" s="23"/>
      <c r="N478" s="23"/>
      <c r="O478" s="23"/>
      <c r="P478" s="23"/>
      <c r="Q478" s="23"/>
      <c r="R478" s="23"/>
      <c r="S478" s="23"/>
      <c r="T478" s="23"/>
    </row>
    <row r="479">
      <c r="A479" s="24" t="s">
        <v>3940</v>
      </c>
      <c r="B479" s="25" t="s">
        <v>3935</v>
      </c>
      <c r="C479" s="25" t="s">
        <v>316</v>
      </c>
      <c r="D479" s="17" t="str">
        <f>vlookup(C479,'1. 신청자리스트'!J:N,2,false)</f>
        <v>정상</v>
      </c>
      <c r="E479" s="25"/>
      <c r="F479" s="25" t="s">
        <v>3435</v>
      </c>
      <c r="G479" s="26">
        <v>35000.0</v>
      </c>
      <c r="H479" s="27" t="s">
        <v>3990</v>
      </c>
      <c r="I479" s="28"/>
      <c r="J479" s="28"/>
      <c r="K479" s="28"/>
      <c r="L479" s="29"/>
      <c r="M479" s="22"/>
      <c r="N479" s="22"/>
      <c r="O479" s="22"/>
      <c r="P479" s="22"/>
      <c r="Q479" s="22"/>
      <c r="R479" s="22"/>
      <c r="S479" s="22"/>
      <c r="T479" s="23"/>
    </row>
    <row r="480">
      <c r="A480" s="16" t="s">
        <v>4170</v>
      </c>
      <c r="B480" s="17" t="s">
        <v>3935</v>
      </c>
      <c r="C480" s="17" t="s">
        <v>317</v>
      </c>
      <c r="D480" s="17" t="str">
        <f>vlookup(C480,'1. 신청자리스트'!J:N,2,false)</f>
        <v>정상</v>
      </c>
      <c r="E480" s="17"/>
      <c r="F480" s="17" t="s">
        <v>317</v>
      </c>
      <c r="G480" s="18">
        <v>35000.0</v>
      </c>
      <c r="H480" s="19" t="s">
        <v>3983</v>
      </c>
      <c r="I480" s="20"/>
      <c r="J480" s="20"/>
      <c r="K480" s="20"/>
      <c r="L480" s="21"/>
      <c r="M480" s="22"/>
      <c r="N480" s="22"/>
      <c r="O480" s="22"/>
      <c r="P480" s="22"/>
      <c r="Q480" s="22"/>
      <c r="R480" s="22"/>
      <c r="S480" s="22"/>
      <c r="T480" s="23"/>
    </row>
    <row r="481">
      <c r="A481" s="16" t="s">
        <v>3962</v>
      </c>
      <c r="B481" s="17" t="s">
        <v>3935</v>
      </c>
      <c r="C481" s="17" t="s">
        <v>783</v>
      </c>
      <c r="D481" s="17" t="str">
        <f>vlookup(C481,'1. 신청자리스트'!J:N,2,false)</f>
        <v>정상</v>
      </c>
      <c r="E481" s="17"/>
      <c r="F481" s="17" t="s">
        <v>783</v>
      </c>
      <c r="G481" s="18">
        <v>70000.0</v>
      </c>
      <c r="H481" s="19" t="s">
        <v>3941</v>
      </c>
      <c r="I481" s="20"/>
      <c r="J481" s="20"/>
      <c r="K481" s="20"/>
      <c r="L481" s="21"/>
      <c r="M481" s="22"/>
      <c r="N481" s="22"/>
      <c r="O481" s="22"/>
      <c r="P481" s="22"/>
      <c r="Q481" s="22"/>
      <c r="R481" s="22"/>
      <c r="S481" s="22"/>
      <c r="T481" s="23"/>
    </row>
    <row r="482">
      <c r="A482" s="16" t="s">
        <v>3984</v>
      </c>
      <c r="B482" s="17" t="s">
        <v>3932</v>
      </c>
      <c r="C482" s="17" t="s">
        <v>785</v>
      </c>
      <c r="D482" s="17" t="str">
        <f>vlookup(C482,'1. 신청자리스트'!J:N,2,false)</f>
        <v>정상</v>
      </c>
      <c r="E482" s="17"/>
      <c r="F482" s="17" t="s">
        <v>785</v>
      </c>
      <c r="G482" s="18">
        <v>70000.0</v>
      </c>
      <c r="H482" s="19" t="s">
        <v>4208</v>
      </c>
      <c r="I482" s="20"/>
      <c r="J482" s="20"/>
      <c r="K482" s="20"/>
      <c r="L482" s="21"/>
      <c r="M482" s="22"/>
      <c r="N482" s="22"/>
      <c r="O482" s="22"/>
      <c r="P482" s="22"/>
      <c r="Q482" s="22"/>
      <c r="R482" s="22"/>
      <c r="S482" s="22"/>
      <c r="T482" s="23"/>
    </row>
    <row r="483">
      <c r="A483" s="24" t="s">
        <v>3962</v>
      </c>
      <c r="B483" s="25" t="s">
        <v>3932</v>
      </c>
      <c r="C483" s="25" t="s">
        <v>786</v>
      </c>
      <c r="D483" s="17" t="str">
        <f>vlookup(C483,'1. 신청자리스트'!J:N,2,false)</f>
        <v>정상</v>
      </c>
      <c r="E483" s="25"/>
      <c r="F483" s="25" t="s">
        <v>2484</v>
      </c>
      <c r="G483" s="26">
        <v>70000.0</v>
      </c>
      <c r="H483" s="27" t="s">
        <v>4209</v>
      </c>
      <c r="I483" s="28"/>
      <c r="J483" s="28"/>
      <c r="K483" s="28"/>
      <c r="L483" s="29"/>
      <c r="M483" s="22"/>
      <c r="N483" s="22"/>
      <c r="O483" s="22"/>
      <c r="P483" s="22"/>
      <c r="Q483" s="22"/>
      <c r="R483" s="22"/>
      <c r="S483" s="22"/>
      <c r="T483" s="23"/>
    </row>
    <row r="484">
      <c r="A484" s="24" t="s">
        <v>4030</v>
      </c>
      <c r="B484" s="25" t="s">
        <v>3935</v>
      </c>
      <c r="C484" s="25" t="s">
        <v>787</v>
      </c>
      <c r="D484" s="17" t="str">
        <f>vlookup(C484,'1. 신청자리스트'!J:N,2,false)</f>
        <v>정상</v>
      </c>
      <c r="E484" s="25"/>
      <c r="F484" s="25" t="s">
        <v>1447</v>
      </c>
      <c r="G484" s="26">
        <v>70000.0</v>
      </c>
      <c r="H484" s="27" t="s">
        <v>3939</v>
      </c>
      <c r="I484" s="28"/>
      <c r="J484" s="28"/>
      <c r="K484" s="28"/>
      <c r="L484" s="29"/>
      <c r="M484" s="22"/>
      <c r="N484" s="22"/>
      <c r="O484" s="22"/>
      <c r="P484" s="22"/>
      <c r="Q484" s="22"/>
      <c r="R484" s="22"/>
      <c r="S484" s="22"/>
      <c r="T484" s="23"/>
    </row>
    <row r="485">
      <c r="A485" s="24" t="s">
        <v>3940</v>
      </c>
      <c r="B485" s="25" t="s">
        <v>3935</v>
      </c>
      <c r="C485" s="25" t="s">
        <v>788</v>
      </c>
      <c r="D485" s="17" t="str">
        <f>vlookup(C485,'1. 신청자리스트'!J:N,2,false)</f>
        <v>정상</v>
      </c>
      <c r="E485" s="25"/>
      <c r="F485" s="25" t="s">
        <v>1718</v>
      </c>
      <c r="G485" s="26">
        <v>70000.0</v>
      </c>
      <c r="H485" s="27" t="s">
        <v>3948</v>
      </c>
      <c r="I485" s="28"/>
      <c r="J485" s="28"/>
      <c r="K485" s="28"/>
      <c r="L485" s="29"/>
      <c r="M485" s="22"/>
      <c r="N485" s="22"/>
      <c r="O485" s="22"/>
      <c r="P485" s="22"/>
      <c r="Q485" s="22"/>
      <c r="R485" s="22"/>
      <c r="S485" s="22"/>
      <c r="T485" s="23"/>
    </row>
    <row r="486">
      <c r="A486" s="16" t="s">
        <v>3942</v>
      </c>
      <c r="B486" s="17" t="s">
        <v>3935</v>
      </c>
      <c r="C486" s="17" t="s">
        <v>321</v>
      </c>
      <c r="D486" s="17" t="str">
        <f>vlookup(C486,'1. 신청자리스트'!J:N,2,false)</f>
        <v>정상</v>
      </c>
      <c r="E486" s="17"/>
      <c r="F486" s="17" t="s">
        <v>4210</v>
      </c>
      <c r="G486" s="18">
        <v>35000.0</v>
      </c>
      <c r="H486" s="19" t="s">
        <v>3983</v>
      </c>
      <c r="I486" s="20"/>
      <c r="J486" s="20"/>
      <c r="K486" s="20"/>
      <c r="L486" s="21"/>
      <c r="M486" s="22"/>
      <c r="N486" s="22"/>
      <c r="O486" s="22"/>
      <c r="P486" s="22"/>
      <c r="Q486" s="22"/>
      <c r="R486" s="22"/>
      <c r="S486" s="22"/>
      <c r="T486" s="23"/>
    </row>
    <row r="487">
      <c r="A487" s="24" t="s">
        <v>3945</v>
      </c>
      <c r="B487" s="25" t="s">
        <v>3935</v>
      </c>
      <c r="C487" s="25" t="s">
        <v>790</v>
      </c>
      <c r="D487" s="17" t="str">
        <f>vlookup(C487,'1. 신청자리스트'!J:N,2,false)</f>
        <v>정상</v>
      </c>
      <c r="E487" s="25"/>
      <c r="F487" s="25" t="s">
        <v>4211</v>
      </c>
      <c r="G487" s="26">
        <v>70000.0</v>
      </c>
      <c r="H487" s="27" t="s">
        <v>3946</v>
      </c>
      <c r="I487" s="28"/>
      <c r="J487" s="28"/>
      <c r="K487" s="28"/>
      <c r="L487" s="29"/>
      <c r="M487" s="22"/>
      <c r="N487" s="22"/>
      <c r="O487" s="22"/>
      <c r="P487" s="22"/>
      <c r="Q487" s="22"/>
      <c r="R487" s="22"/>
      <c r="S487" s="22"/>
      <c r="T487" s="23"/>
    </row>
    <row r="488">
      <c r="A488" s="16" t="s">
        <v>3962</v>
      </c>
      <c r="B488" s="17" t="s">
        <v>3932</v>
      </c>
      <c r="C488" s="17" t="s">
        <v>791</v>
      </c>
      <c r="D488" s="17" t="str">
        <f>vlookup(C488,'1. 신청자리스트'!J:N,2,false)</f>
        <v>정상</v>
      </c>
      <c r="E488" s="17"/>
      <c r="F488" s="17" t="s">
        <v>791</v>
      </c>
      <c r="G488" s="18">
        <v>70000.0</v>
      </c>
      <c r="H488" s="19" t="s">
        <v>4212</v>
      </c>
      <c r="I488" s="20"/>
      <c r="J488" s="20"/>
      <c r="K488" s="20"/>
      <c r="L488" s="21"/>
      <c r="M488" s="22"/>
      <c r="N488" s="22"/>
      <c r="O488" s="22"/>
      <c r="P488" s="22"/>
      <c r="Q488" s="22"/>
      <c r="R488" s="22"/>
      <c r="S488" s="22"/>
      <c r="T488" s="23"/>
    </row>
    <row r="489">
      <c r="A489" s="16" t="s">
        <v>3940</v>
      </c>
      <c r="B489" s="17" t="s">
        <v>3935</v>
      </c>
      <c r="C489" s="17" t="s">
        <v>792</v>
      </c>
      <c r="D489" s="17" t="str">
        <f>vlookup(C489,'1. 신청자리스트'!J:N,2,false)</f>
        <v>정상</v>
      </c>
      <c r="E489" s="17"/>
      <c r="F489" s="17" t="s">
        <v>792</v>
      </c>
      <c r="G489" s="18">
        <v>70000.0</v>
      </c>
      <c r="H489" s="19" t="s">
        <v>3983</v>
      </c>
      <c r="I489" s="20"/>
      <c r="J489" s="20"/>
      <c r="K489" s="20"/>
      <c r="L489" s="21"/>
      <c r="M489" s="22"/>
      <c r="N489" s="22"/>
      <c r="O489" s="22"/>
      <c r="P489" s="22"/>
      <c r="Q489" s="22"/>
      <c r="R489" s="22"/>
      <c r="S489" s="22"/>
      <c r="T489" s="23"/>
    </row>
    <row r="490">
      <c r="A490" s="16" t="s">
        <v>3945</v>
      </c>
      <c r="B490" s="17" t="s">
        <v>3935</v>
      </c>
      <c r="C490" s="17" t="s">
        <v>793</v>
      </c>
      <c r="D490" s="17" t="str">
        <f>vlookup(C490,'1. 신청자리스트'!J:N,2,false)</f>
        <v>정상</v>
      </c>
      <c r="E490" s="17"/>
      <c r="F490" s="17" t="s">
        <v>793</v>
      </c>
      <c r="G490" s="18">
        <v>70000.0</v>
      </c>
      <c r="H490" s="19" t="s">
        <v>3983</v>
      </c>
      <c r="I490" s="20"/>
      <c r="J490" s="20"/>
      <c r="K490" s="20"/>
      <c r="L490" s="21"/>
      <c r="M490" s="22"/>
      <c r="N490" s="22"/>
      <c r="O490" s="22"/>
      <c r="P490" s="22"/>
      <c r="Q490" s="22"/>
      <c r="R490" s="22"/>
      <c r="S490" s="22"/>
      <c r="T490" s="23"/>
    </row>
    <row r="491">
      <c r="A491" s="16" t="s">
        <v>3989</v>
      </c>
      <c r="B491" s="17" t="s">
        <v>3932</v>
      </c>
      <c r="C491" s="25" t="s">
        <v>324</v>
      </c>
      <c r="D491" s="17" t="str">
        <f>vlookup(C491,'1. 신청자리스트'!J:N,2,false)</f>
        <v>정상</v>
      </c>
      <c r="E491" s="17"/>
      <c r="F491" s="17" t="s">
        <v>4213</v>
      </c>
      <c r="G491" s="18">
        <v>35000.0</v>
      </c>
      <c r="H491" s="19" t="s">
        <v>4214</v>
      </c>
      <c r="I491" s="20"/>
      <c r="J491" s="20"/>
      <c r="K491" s="20"/>
      <c r="L491" s="21"/>
      <c r="M491" s="22"/>
      <c r="N491" s="22"/>
      <c r="O491" s="22"/>
      <c r="P491" s="22"/>
      <c r="Q491" s="22"/>
      <c r="R491" s="22"/>
      <c r="S491" s="22"/>
      <c r="T491" s="23"/>
    </row>
    <row r="492">
      <c r="A492" s="16" t="s">
        <v>3940</v>
      </c>
      <c r="B492" s="17" t="s">
        <v>4032</v>
      </c>
      <c r="C492" s="17" t="s">
        <v>794</v>
      </c>
      <c r="D492" s="17" t="str">
        <f>vlookup(C492,'1. 신청자리스트'!J:N,2,false)</f>
        <v>정상</v>
      </c>
      <c r="E492" s="17"/>
      <c r="F492" s="17" t="s">
        <v>794</v>
      </c>
      <c r="G492" s="18">
        <v>70000.0</v>
      </c>
      <c r="H492" s="19" t="s">
        <v>4025</v>
      </c>
      <c r="I492" s="20"/>
      <c r="J492" s="20"/>
      <c r="K492" s="20"/>
      <c r="L492" s="21"/>
      <c r="M492" s="22"/>
      <c r="N492" s="22"/>
      <c r="O492" s="22"/>
      <c r="P492" s="22"/>
      <c r="Q492" s="22"/>
      <c r="R492" s="22"/>
      <c r="S492" s="22"/>
      <c r="T492" s="23"/>
    </row>
    <row r="493">
      <c r="A493" s="16" t="s">
        <v>3942</v>
      </c>
      <c r="B493" s="17" t="s">
        <v>3935</v>
      </c>
      <c r="C493" s="17" t="s">
        <v>325</v>
      </c>
      <c r="D493" s="17" t="str">
        <f>vlookup(C493,'1. 신청자리스트'!J:N,2,false)</f>
        <v>정상</v>
      </c>
      <c r="E493" s="17"/>
      <c r="F493" s="17" t="s">
        <v>325</v>
      </c>
      <c r="G493" s="18">
        <v>35000.0</v>
      </c>
      <c r="H493" s="19" t="s">
        <v>3939</v>
      </c>
      <c r="I493" s="20"/>
      <c r="J493" s="20"/>
      <c r="K493" s="20"/>
      <c r="L493" s="21"/>
      <c r="M493" s="22"/>
      <c r="N493" s="22"/>
      <c r="O493" s="22"/>
      <c r="P493" s="22"/>
      <c r="Q493" s="22"/>
      <c r="R493" s="22"/>
      <c r="S493" s="22"/>
      <c r="T493" s="23"/>
    </row>
    <row r="494">
      <c r="A494" s="16" t="s">
        <v>4215</v>
      </c>
      <c r="B494" s="17" t="s">
        <v>3943</v>
      </c>
      <c r="C494" s="17" t="s">
        <v>326</v>
      </c>
      <c r="D494" s="17" t="str">
        <f>vlookup(C494,'1. 신청자리스트'!J:N,2,false)</f>
        <v>정상</v>
      </c>
      <c r="E494" s="17"/>
      <c r="F494" s="17" t="s">
        <v>326</v>
      </c>
      <c r="G494" s="18">
        <v>35000.0</v>
      </c>
      <c r="H494" s="19" t="s">
        <v>3944</v>
      </c>
      <c r="I494" s="20"/>
      <c r="J494" s="20"/>
      <c r="K494" s="20"/>
      <c r="L494" s="21"/>
      <c r="M494" s="22"/>
      <c r="N494" s="22"/>
      <c r="O494" s="22"/>
      <c r="P494" s="22"/>
      <c r="Q494" s="22"/>
      <c r="R494" s="22"/>
      <c r="S494" s="22"/>
      <c r="T494" s="23"/>
    </row>
    <row r="495">
      <c r="A495" s="24" t="s">
        <v>3984</v>
      </c>
      <c r="B495" s="25" t="s">
        <v>3935</v>
      </c>
      <c r="C495" s="25" t="s">
        <v>327</v>
      </c>
      <c r="D495" s="17" t="str">
        <f>vlookup(C495,'1. 신청자리스트'!J:N,2,false)</f>
        <v>정상</v>
      </c>
      <c r="E495" s="25"/>
      <c r="F495" s="25" t="s">
        <v>3445</v>
      </c>
      <c r="G495" s="26">
        <v>35000.0</v>
      </c>
      <c r="H495" s="27" t="s">
        <v>3939</v>
      </c>
      <c r="I495" s="28"/>
      <c r="J495" s="28"/>
      <c r="K495" s="28"/>
      <c r="L495" s="29"/>
      <c r="M495" s="22"/>
      <c r="N495" s="22"/>
      <c r="O495" s="22"/>
      <c r="P495" s="22"/>
      <c r="Q495" s="22"/>
      <c r="R495" s="22"/>
      <c r="S495" s="22"/>
      <c r="T495" s="23"/>
    </row>
    <row r="496">
      <c r="A496" s="24" t="s">
        <v>3942</v>
      </c>
      <c r="B496" s="25" t="s">
        <v>3943</v>
      </c>
      <c r="C496" s="25" t="s">
        <v>796</v>
      </c>
      <c r="D496" s="17" t="str">
        <f>vlookup(C496,'1. 신청자리스트'!J:N,2,false)</f>
        <v>정상</v>
      </c>
      <c r="E496" s="25"/>
      <c r="F496" s="25" t="s">
        <v>1377</v>
      </c>
      <c r="G496" s="26">
        <v>70000.0</v>
      </c>
      <c r="H496" s="27" t="s">
        <v>3944</v>
      </c>
      <c r="I496" s="28"/>
      <c r="J496" s="28"/>
      <c r="K496" s="28"/>
      <c r="L496" s="29"/>
      <c r="M496" s="22"/>
      <c r="N496" s="22"/>
      <c r="O496" s="22"/>
      <c r="P496" s="22"/>
      <c r="Q496" s="22"/>
      <c r="R496" s="22"/>
      <c r="S496" s="22"/>
      <c r="T496" s="23"/>
    </row>
    <row r="497">
      <c r="A497" s="16" t="s">
        <v>4018</v>
      </c>
      <c r="B497" s="17" t="s">
        <v>3935</v>
      </c>
      <c r="C497" s="17" t="s">
        <v>328</v>
      </c>
      <c r="D497" s="17" t="str">
        <f>vlookup(C497,'1. 신청자리스트'!J:N,2,false)</f>
        <v>정상</v>
      </c>
      <c r="E497" s="17"/>
      <c r="F497" s="17" t="s">
        <v>328</v>
      </c>
      <c r="G497" s="18">
        <v>35000.0</v>
      </c>
      <c r="H497" s="19" t="s">
        <v>3948</v>
      </c>
      <c r="I497" s="20"/>
      <c r="J497" s="20"/>
      <c r="K497" s="20"/>
      <c r="L497" s="21"/>
      <c r="M497" s="22"/>
      <c r="N497" s="22"/>
      <c r="O497" s="22"/>
      <c r="P497" s="22"/>
      <c r="Q497" s="22"/>
      <c r="R497" s="22"/>
      <c r="S497" s="22"/>
      <c r="T497" s="23"/>
    </row>
    <row r="498">
      <c r="A498" s="16" t="s">
        <v>4071</v>
      </c>
      <c r="B498" s="17" t="s">
        <v>3935</v>
      </c>
      <c r="C498" s="17" t="s">
        <v>797</v>
      </c>
      <c r="D498" s="17" t="str">
        <f>vlookup(C498,'1. 신청자리스트'!J:N,2,false)</f>
        <v>정상</v>
      </c>
      <c r="E498" s="17"/>
      <c r="F498" s="17" t="s">
        <v>797</v>
      </c>
      <c r="G498" s="18">
        <v>70000.0</v>
      </c>
      <c r="H498" s="19" t="s">
        <v>3946</v>
      </c>
      <c r="I498" s="28"/>
      <c r="J498" s="28"/>
      <c r="K498" s="28"/>
      <c r="L498" s="29"/>
      <c r="M498" s="22"/>
      <c r="N498" s="22"/>
      <c r="O498" s="22"/>
      <c r="P498" s="22"/>
      <c r="Q498" s="22"/>
      <c r="R498" s="22"/>
      <c r="S498" s="22"/>
      <c r="T498" s="23"/>
    </row>
    <row r="499">
      <c r="A499" s="16" t="s">
        <v>4012</v>
      </c>
      <c r="B499" s="17" t="s">
        <v>3935</v>
      </c>
      <c r="C499" s="17" t="s">
        <v>329</v>
      </c>
      <c r="D499" s="17" t="str">
        <f>vlookup(C499,'1. 신청자리스트'!J:N,2,false)</f>
        <v>정상</v>
      </c>
      <c r="E499" s="17"/>
      <c r="F499" s="17" t="s">
        <v>329</v>
      </c>
      <c r="G499" s="18">
        <v>35000.0</v>
      </c>
      <c r="H499" s="19" t="s">
        <v>3990</v>
      </c>
      <c r="I499" s="20"/>
      <c r="J499" s="20"/>
      <c r="K499" s="20"/>
      <c r="L499" s="21"/>
      <c r="M499" s="22"/>
      <c r="N499" s="22"/>
      <c r="O499" s="22"/>
      <c r="P499" s="22"/>
      <c r="Q499" s="22"/>
      <c r="R499" s="22"/>
      <c r="S499" s="22"/>
      <c r="T499" s="23"/>
    </row>
    <row r="500">
      <c r="A500" s="16" t="s">
        <v>3945</v>
      </c>
      <c r="B500" s="17" t="s">
        <v>3935</v>
      </c>
      <c r="C500" s="17" t="s">
        <v>798</v>
      </c>
      <c r="D500" s="17" t="str">
        <f>vlookup(C500,'1. 신청자리스트'!J:N,2,false)</f>
        <v>정상</v>
      </c>
      <c r="E500" s="17"/>
      <c r="F500" s="17" t="s">
        <v>798</v>
      </c>
      <c r="G500" s="18">
        <v>70000.0</v>
      </c>
      <c r="H500" s="19" t="s">
        <v>3941</v>
      </c>
      <c r="I500" s="20"/>
      <c r="J500" s="20"/>
      <c r="K500" s="20"/>
      <c r="L500" s="21"/>
      <c r="M500" s="22"/>
      <c r="N500" s="22"/>
      <c r="O500" s="22"/>
      <c r="P500" s="22"/>
      <c r="Q500" s="22"/>
      <c r="R500" s="22"/>
      <c r="S500" s="22"/>
      <c r="T500" s="23"/>
    </row>
    <row r="501">
      <c r="A501" s="16" t="s">
        <v>3942</v>
      </c>
      <c r="B501" s="17" t="s">
        <v>3935</v>
      </c>
      <c r="C501" s="17" t="s">
        <v>330</v>
      </c>
      <c r="D501" s="17" t="str">
        <f>vlookup(C501,'1. 신청자리스트'!J:N,2,false)</f>
        <v>정상</v>
      </c>
      <c r="E501" s="17"/>
      <c r="F501" s="17" t="s">
        <v>330</v>
      </c>
      <c r="G501" s="18">
        <v>35000.0</v>
      </c>
      <c r="H501" s="19" t="s">
        <v>3939</v>
      </c>
      <c r="I501" s="20"/>
      <c r="J501" s="20"/>
      <c r="K501" s="20"/>
      <c r="L501" s="21"/>
      <c r="M501" s="22"/>
      <c r="N501" s="22"/>
      <c r="O501" s="22"/>
      <c r="P501" s="22"/>
      <c r="Q501" s="22"/>
      <c r="R501" s="22"/>
      <c r="S501" s="22"/>
      <c r="T501" s="23"/>
    </row>
    <row r="502">
      <c r="A502" s="16" t="s">
        <v>3942</v>
      </c>
      <c r="B502" s="17" t="s">
        <v>3935</v>
      </c>
      <c r="C502" s="17" t="s">
        <v>799</v>
      </c>
      <c r="D502" s="17" t="str">
        <f>vlookup(C502,'1. 신청자리스트'!J:N,2,false)</f>
        <v>정상</v>
      </c>
      <c r="E502" s="17"/>
      <c r="F502" s="17" t="s">
        <v>4216</v>
      </c>
      <c r="G502" s="18">
        <v>70000.0</v>
      </c>
      <c r="H502" s="19" t="s">
        <v>3946</v>
      </c>
      <c r="I502" s="20"/>
      <c r="J502" s="20"/>
      <c r="K502" s="20"/>
      <c r="L502" s="21"/>
      <c r="M502" s="22"/>
      <c r="N502" s="22"/>
      <c r="O502" s="22"/>
      <c r="P502" s="22"/>
      <c r="Q502" s="22"/>
      <c r="R502" s="22"/>
      <c r="S502" s="22"/>
      <c r="T502" s="23"/>
    </row>
    <row r="503">
      <c r="A503" s="16" t="s">
        <v>3989</v>
      </c>
      <c r="B503" s="17" t="s">
        <v>3935</v>
      </c>
      <c r="C503" s="17" t="s">
        <v>331</v>
      </c>
      <c r="D503" s="17" t="str">
        <f>vlookup(C503,'1. 신청자리스트'!J:N,2,false)</f>
        <v>정상</v>
      </c>
      <c r="E503" s="17"/>
      <c r="F503" s="17" t="s">
        <v>331</v>
      </c>
      <c r="G503" s="18">
        <v>35000.0</v>
      </c>
      <c r="H503" s="19" t="s">
        <v>3983</v>
      </c>
      <c r="I503" s="20"/>
      <c r="J503" s="20"/>
      <c r="K503" s="20"/>
      <c r="L503" s="21"/>
      <c r="M503" s="22"/>
      <c r="N503" s="22"/>
      <c r="O503" s="22"/>
      <c r="P503" s="22"/>
      <c r="Q503" s="22"/>
      <c r="R503" s="22"/>
      <c r="S503" s="22"/>
      <c r="T503" s="23"/>
    </row>
    <row r="504">
      <c r="A504" s="16" t="s">
        <v>4217</v>
      </c>
      <c r="B504" s="17" t="s">
        <v>3932</v>
      </c>
      <c r="C504" s="17" t="s">
        <v>332</v>
      </c>
      <c r="D504" s="17" t="str">
        <f>vlookup(C504,'1. 신청자리스트'!J:N,2,false)</f>
        <v>정상</v>
      </c>
      <c r="E504" s="17"/>
      <c r="F504" s="17" t="s">
        <v>332</v>
      </c>
      <c r="G504" s="18">
        <v>35000.0</v>
      </c>
      <c r="H504" s="19" t="s">
        <v>4218</v>
      </c>
      <c r="I504" s="20"/>
      <c r="J504" s="20"/>
      <c r="K504" s="20"/>
      <c r="L504" s="21"/>
      <c r="M504" s="22"/>
      <c r="N504" s="22"/>
      <c r="O504" s="22"/>
      <c r="P504" s="22"/>
      <c r="Q504" s="22"/>
      <c r="R504" s="22"/>
      <c r="S504" s="22"/>
      <c r="T504" s="23"/>
    </row>
    <row r="505">
      <c r="A505" s="16" t="s">
        <v>3980</v>
      </c>
      <c r="B505" s="17" t="s">
        <v>3943</v>
      </c>
      <c r="C505" s="17" t="s">
        <v>800</v>
      </c>
      <c r="D505" s="17" t="str">
        <f>vlookup(C505,'1. 신청자리스트'!J:N,2,false)</f>
        <v>정상</v>
      </c>
      <c r="E505" s="17"/>
      <c r="F505" s="17" t="s">
        <v>800</v>
      </c>
      <c r="G505" s="18">
        <v>70000.0</v>
      </c>
      <c r="H505" s="19" t="s">
        <v>3944</v>
      </c>
      <c r="I505" s="20"/>
      <c r="J505" s="20"/>
      <c r="K505" s="20"/>
      <c r="L505" s="21"/>
      <c r="M505" s="22"/>
      <c r="N505" s="22"/>
      <c r="O505" s="22"/>
      <c r="P505" s="22"/>
      <c r="Q505" s="22"/>
      <c r="R505" s="22"/>
      <c r="S505" s="22"/>
      <c r="T505" s="23"/>
    </row>
    <row r="506">
      <c r="A506" s="16" t="s">
        <v>3940</v>
      </c>
      <c r="B506" s="17" t="s">
        <v>3935</v>
      </c>
      <c r="C506" s="17" t="s">
        <v>333</v>
      </c>
      <c r="D506" s="17" t="str">
        <f>vlookup(C506,'1. 신청자리스트'!J:N,2,false)</f>
        <v>정상</v>
      </c>
      <c r="E506" s="17"/>
      <c r="F506" s="17" t="s">
        <v>333</v>
      </c>
      <c r="G506" s="18">
        <v>35000.0</v>
      </c>
      <c r="H506" s="19" t="s">
        <v>3983</v>
      </c>
      <c r="I506" s="20"/>
      <c r="J506" s="20"/>
      <c r="K506" s="20"/>
      <c r="L506" s="21"/>
      <c r="M506" s="22"/>
      <c r="N506" s="22"/>
      <c r="O506" s="22"/>
      <c r="P506" s="22"/>
      <c r="Q506" s="22"/>
      <c r="R506" s="22"/>
      <c r="S506" s="22"/>
      <c r="T506" s="23"/>
    </row>
    <row r="507">
      <c r="A507" s="24" t="s">
        <v>3940</v>
      </c>
      <c r="B507" s="25" t="s">
        <v>3935</v>
      </c>
      <c r="C507" s="25" t="s">
        <v>334</v>
      </c>
      <c r="D507" s="17" t="str">
        <f>vlookup(C507,'1. 신청자리스트'!J:N,2,false)</f>
        <v>정상</v>
      </c>
      <c r="E507" s="25"/>
      <c r="F507" s="25" t="s">
        <v>2459</v>
      </c>
      <c r="G507" s="26">
        <v>35000.0</v>
      </c>
      <c r="H507" s="27" t="s">
        <v>3983</v>
      </c>
      <c r="I507" s="28"/>
      <c r="J507" s="28"/>
      <c r="K507" s="28"/>
      <c r="L507" s="29"/>
      <c r="M507" s="22"/>
      <c r="N507" s="22"/>
      <c r="O507" s="22"/>
      <c r="P507" s="22"/>
      <c r="Q507" s="22"/>
      <c r="R507" s="22"/>
      <c r="S507" s="22"/>
      <c r="T507" s="23"/>
    </row>
    <row r="508">
      <c r="A508" s="24" t="s">
        <v>4219</v>
      </c>
      <c r="B508" s="25" t="s">
        <v>3935</v>
      </c>
      <c r="C508" s="25" t="s">
        <v>801</v>
      </c>
      <c r="D508" s="17" t="str">
        <f>vlookup(C508,'1. 신청자리스트'!J:N,2,false)</f>
        <v>정상</v>
      </c>
      <c r="E508" s="25"/>
      <c r="F508" s="25" t="s">
        <v>2433</v>
      </c>
      <c r="G508" s="26">
        <v>70000.0</v>
      </c>
      <c r="H508" s="27" t="s">
        <v>3948</v>
      </c>
      <c r="I508" s="28"/>
      <c r="J508" s="28"/>
      <c r="K508" s="28"/>
      <c r="L508" s="29"/>
      <c r="M508" s="22"/>
      <c r="N508" s="22"/>
      <c r="O508" s="22"/>
      <c r="P508" s="22"/>
      <c r="Q508" s="22"/>
      <c r="R508" s="22"/>
      <c r="S508" s="22"/>
      <c r="T508" s="23"/>
    </row>
    <row r="509">
      <c r="A509" s="16" t="s">
        <v>3931</v>
      </c>
      <c r="B509" s="17" t="s">
        <v>3935</v>
      </c>
      <c r="C509" s="17" t="s">
        <v>802</v>
      </c>
      <c r="D509" s="17" t="str">
        <f>vlookup(C509,'1. 신청자리스트'!J:N,2,false)</f>
        <v>정상</v>
      </c>
      <c r="E509" s="17"/>
      <c r="F509" s="17" t="s">
        <v>802</v>
      </c>
      <c r="G509" s="18">
        <v>70000.0</v>
      </c>
      <c r="H509" s="19" t="s">
        <v>3941</v>
      </c>
      <c r="I509" s="20"/>
      <c r="J509" s="20"/>
      <c r="K509" s="20"/>
      <c r="L509" s="21"/>
      <c r="M509" s="22"/>
      <c r="N509" s="22"/>
      <c r="O509" s="22"/>
      <c r="P509" s="22"/>
      <c r="Q509" s="22"/>
      <c r="R509" s="22"/>
      <c r="S509" s="22"/>
      <c r="T509" s="23"/>
    </row>
    <row r="510">
      <c r="A510" s="30" t="s">
        <v>4026</v>
      </c>
      <c r="B510" s="31" t="s">
        <v>3935</v>
      </c>
      <c r="C510" s="31" t="s">
        <v>4220</v>
      </c>
      <c r="D510" s="17" t="str">
        <f>vlookup(C510,'1. 신청자리스트'!J:N,2,false)</f>
        <v>정상</v>
      </c>
      <c r="E510" s="31"/>
      <c r="F510" s="31" t="s">
        <v>4221</v>
      </c>
      <c r="G510" s="32">
        <v>70000.0</v>
      </c>
      <c r="H510" s="33" t="s">
        <v>3939</v>
      </c>
      <c r="I510" s="34" t="str">
        <f>VLOOKUP(C510, '문의'!D:E, 2, FALSE)</f>
        <v>[기타문의] 좀전에 문의를 했는데 답변은
 언제 어떻게받나요?</v>
      </c>
      <c r="J510" s="34">
        <f t="array" ref="J510">INDEX('문의'!C:C, MATCH(C510, '문의'!D:D, 0))</f>
        <v>1025786142</v>
      </c>
      <c r="K510" s="36" t="s">
        <v>3957</v>
      </c>
      <c r="L510" s="37" t="s">
        <v>4222</v>
      </c>
      <c r="M510" s="42"/>
      <c r="N510" s="42"/>
      <c r="O510" s="42"/>
      <c r="P510" s="42"/>
      <c r="Q510" s="42"/>
      <c r="R510" s="44"/>
      <c r="S510" s="42"/>
      <c r="T510" s="41"/>
    </row>
    <row r="511">
      <c r="A511" s="24" t="s">
        <v>3940</v>
      </c>
      <c r="B511" s="25" t="s">
        <v>3935</v>
      </c>
      <c r="C511" s="25" t="s">
        <v>335</v>
      </c>
      <c r="D511" s="17" t="str">
        <f>vlookup(C511,'1. 신청자리스트'!J:N,2,false)</f>
        <v>정상</v>
      </c>
      <c r="E511" s="25"/>
      <c r="F511" s="25" t="s">
        <v>3459</v>
      </c>
      <c r="G511" s="26">
        <v>35000.0</v>
      </c>
      <c r="H511" s="27" t="s">
        <v>3941</v>
      </c>
      <c r="I511" s="28"/>
      <c r="J511" s="28"/>
      <c r="K511" s="28"/>
      <c r="L511" s="29"/>
      <c r="M511" s="22"/>
      <c r="N511" s="22"/>
      <c r="O511" s="22"/>
      <c r="P511" s="22"/>
      <c r="Q511" s="22"/>
      <c r="R511" s="22"/>
      <c r="S511" s="22"/>
      <c r="T511" s="23"/>
    </row>
    <row r="512">
      <c r="A512" s="16" t="s">
        <v>3945</v>
      </c>
      <c r="B512" s="17" t="s">
        <v>3932</v>
      </c>
      <c r="C512" s="17" t="s">
        <v>336</v>
      </c>
      <c r="D512" s="17" t="str">
        <f>vlookup(C512,'1. 신청자리스트'!J:N,2,false)</f>
        <v>정상</v>
      </c>
      <c r="E512" s="17"/>
      <c r="F512" s="17" t="s">
        <v>336</v>
      </c>
      <c r="G512" s="18">
        <v>35000.0</v>
      </c>
      <c r="H512" s="19" t="s">
        <v>4223</v>
      </c>
      <c r="I512" s="20"/>
      <c r="J512" s="20"/>
      <c r="K512" s="20"/>
      <c r="L512" s="21"/>
      <c r="M512" s="22"/>
      <c r="N512" s="22"/>
      <c r="O512" s="22"/>
      <c r="P512" s="22"/>
      <c r="Q512" s="22"/>
      <c r="R512" s="22"/>
      <c r="S512" s="22"/>
      <c r="T512" s="23"/>
    </row>
    <row r="513">
      <c r="A513" s="24" t="s">
        <v>3940</v>
      </c>
      <c r="B513" s="25" t="s">
        <v>3935</v>
      </c>
      <c r="C513" s="25" t="s">
        <v>805</v>
      </c>
      <c r="D513" s="17" t="str">
        <f>vlookup(C513,'1. 신청자리스트'!J:N,2,false)</f>
        <v>정상</v>
      </c>
      <c r="E513" s="25"/>
      <c r="F513" s="25" t="s">
        <v>1839</v>
      </c>
      <c r="G513" s="26">
        <v>70000.0</v>
      </c>
      <c r="H513" s="27" t="s">
        <v>3990</v>
      </c>
      <c r="I513" s="28"/>
      <c r="J513" s="28"/>
      <c r="K513" s="28"/>
      <c r="L513" s="29"/>
      <c r="M513" s="22"/>
      <c r="N513" s="22"/>
      <c r="O513" s="22"/>
      <c r="P513" s="22"/>
      <c r="Q513" s="22"/>
      <c r="R513" s="22"/>
      <c r="S513" s="22"/>
      <c r="T513" s="23"/>
    </row>
    <row r="514">
      <c r="A514" s="16" t="s">
        <v>3945</v>
      </c>
      <c r="B514" s="17" t="s">
        <v>3935</v>
      </c>
      <c r="C514" s="17" t="s">
        <v>338</v>
      </c>
      <c r="D514" s="17" t="str">
        <f>vlookup(C514,'1. 신청자리스트'!J:N,2,false)</f>
        <v>정상</v>
      </c>
      <c r="E514" s="17"/>
      <c r="F514" s="17" t="s">
        <v>338</v>
      </c>
      <c r="G514" s="18">
        <v>35000.0</v>
      </c>
      <c r="H514" s="19" t="s">
        <v>3983</v>
      </c>
      <c r="I514" s="20"/>
      <c r="J514" s="20"/>
      <c r="K514" s="20"/>
      <c r="L514" s="21"/>
      <c r="M514" s="22"/>
      <c r="N514" s="22"/>
      <c r="O514" s="22"/>
      <c r="P514" s="22"/>
      <c r="Q514" s="22"/>
      <c r="R514" s="22"/>
      <c r="S514" s="22"/>
      <c r="T514" s="23"/>
    </row>
    <row r="515">
      <c r="A515" s="16" t="s">
        <v>3985</v>
      </c>
      <c r="B515" s="47" t="s">
        <v>3932</v>
      </c>
      <c r="C515" s="47" t="s">
        <v>339</v>
      </c>
      <c r="D515" s="17" t="str">
        <f>vlookup(C515,'1. 신청자리스트'!J:N,2,false)</f>
        <v>정상</v>
      </c>
      <c r="E515" s="47"/>
      <c r="F515" s="47" t="s">
        <v>339</v>
      </c>
      <c r="G515" s="18">
        <v>35000.0</v>
      </c>
      <c r="H515" s="47" t="s">
        <v>4224</v>
      </c>
      <c r="I515" s="47"/>
      <c r="J515" s="47"/>
      <c r="K515" s="47"/>
      <c r="L515" s="47"/>
      <c r="M515" s="23"/>
      <c r="N515" s="23"/>
      <c r="O515" s="23"/>
      <c r="P515" s="23"/>
      <c r="Q515" s="23"/>
      <c r="R515" s="23"/>
      <c r="S515" s="23"/>
      <c r="T515" s="23"/>
    </row>
    <row r="516">
      <c r="A516" s="16" t="s">
        <v>3962</v>
      </c>
      <c r="B516" s="17" t="s">
        <v>3932</v>
      </c>
      <c r="C516" s="17" t="s">
        <v>340</v>
      </c>
      <c r="D516" s="17" t="str">
        <f>vlookup(C516,'1. 신청자리스트'!J:N,2,false)</f>
        <v>정상</v>
      </c>
      <c r="E516" s="17"/>
      <c r="F516" s="17" t="s">
        <v>340</v>
      </c>
      <c r="G516" s="18">
        <v>35000.0</v>
      </c>
      <c r="H516" s="19" t="s">
        <v>4225</v>
      </c>
      <c r="I516" s="20"/>
      <c r="J516" s="20"/>
      <c r="K516" s="20"/>
      <c r="L516" s="21"/>
      <c r="M516" s="22"/>
      <c r="N516" s="22"/>
      <c r="O516" s="22"/>
      <c r="P516" s="22"/>
      <c r="Q516" s="22"/>
      <c r="R516" s="22"/>
      <c r="S516" s="22"/>
      <c r="T516" s="23"/>
    </row>
    <row r="517">
      <c r="A517" s="24" t="s">
        <v>3940</v>
      </c>
      <c r="B517" s="25" t="s">
        <v>3935</v>
      </c>
      <c r="C517" s="25" t="s">
        <v>341</v>
      </c>
      <c r="D517" s="17" t="str">
        <f>vlookup(C517,'1. 신청자리스트'!J:N,2,false)</f>
        <v>정상</v>
      </c>
      <c r="E517" s="25"/>
      <c r="F517" s="25" t="s">
        <v>3467</v>
      </c>
      <c r="G517" s="26">
        <v>35000.0</v>
      </c>
      <c r="H517" s="27" t="s">
        <v>3946</v>
      </c>
      <c r="I517" s="28"/>
      <c r="J517" s="28"/>
      <c r="K517" s="28"/>
      <c r="L517" s="29"/>
      <c r="M517" s="22"/>
      <c r="N517" s="22"/>
      <c r="O517" s="22"/>
      <c r="P517" s="22"/>
      <c r="Q517" s="22"/>
      <c r="R517" s="22"/>
      <c r="S517" s="22"/>
      <c r="T517" s="23"/>
    </row>
    <row r="518">
      <c r="A518" s="24" t="s">
        <v>4226</v>
      </c>
      <c r="B518" s="25" t="s">
        <v>4157</v>
      </c>
      <c r="C518" s="25" t="s">
        <v>342</v>
      </c>
      <c r="D518" s="17" t="str">
        <f>vlookup(C518,'1. 신청자리스트'!J:N,2,false)</f>
        <v>정상</v>
      </c>
      <c r="E518" s="25"/>
      <c r="F518" s="25" t="s">
        <v>3470</v>
      </c>
      <c r="G518" s="26">
        <v>35000.0</v>
      </c>
      <c r="H518" s="27" t="s">
        <v>4159</v>
      </c>
      <c r="I518" s="28"/>
      <c r="J518" s="28"/>
      <c r="K518" s="28"/>
      <c r="L518" s="29"/>
      <c r="M518" s="22"/>
      <c r="N518" s="22"/>
      <c r="O518" s="22"/>
      <c r="P518" s="22"/>
      <c r="Q518" s="22"/>
      <c r="R518" s="22"/>
      <c r="S518" s="22"/>
      <c r="T518" s="23"/>
    </row>
    <row r="519">
      <c r="A519" s="16" t="s">
        <v>3942</v>
      </c>
      <c r="B519" s="17" t="s">
        <v>3932</v>
      </c>
      <c r="C519" s="17" t="s">
        <v>343</v>
      </c>
      <c r="D519" s="17" t="str">
        <f>vlookup(C519,'1. 신청자리스트'!J:N,2,false)</f>
        <v>정상</v>
      </c>
      <c r="E519" s="17"/>
      <c r="F519" s="17" t="s">
        <v>343</v>
      </c>
      <c r="G519" s="18">
        <v>35000.0</v>
      </c>
      <c r="H519" s="19" t="s">
        <v>4227</v>
      </c>
      <c r="I519" s="20"/>
      <c r="J519" s="20"/>
      <c r="K519" s="20"/>
      <c r="L519" s="21"/>
      <c r="M519" s="22"/>
      <c r="N519" s="22"/>
      <c r="O519" s="22"/>
      <c r="P519" s="22"/>
      <c r="Q519" s="22"/>
      <c r="R519" s="22"/>
      <c r="S519" s="22"/>
      <c r="T519" s="23"/>
    </row>
    <row r="520">
      <c r="A520" s="16" t="s">
        <v>3940</v>
      </c>
      <c r="B520" s="17" t="s">
        <v>3935</v>
      </c>
      <c r="C520" s="17" t="s">
        <v>807</v>
      </c>
      <c r="D520" s="17" t="str">
        <f>vlookup(C520,'1. 신청자리스트'!J:N,2,false)</f>
        <v>정상</v>
      </c>
      <c r="E520" s="17"/>
      <c r="F520" s="17" t="s">
        <v>807</v>
      </c>
      <c r="G520" s="18">
        <v>70000.0</v>
      </c>
      <c r="H520" s="19" t="s">
        <v>3946</v>
      </c>
      <c r="I520" s="20"/>
      <c r="J520" s="20"/>
      <c r="K520" s="20"/>
      <c r="L520" s="21"/>
      <c r="M520" s="22"/>
      <c r="N520" s="22"/>
      <c r="O520" s="22"/>
      <c r="P520" s="22"/>
      <c r="Q520" s="22"/>
      <c r="R520" s="22"/>
      <c r="S520" s="22"/>
      <c r="T520" s="23"/>
    </row>
    <row r="521">
      <c r="A521" s="16" t="s">
        <v>4228</v>
      </c>
      <c r="B521" s="17" t="s">
        <v>3935</v>
      </c>
      <c r="C521" s="17" t="s">
        <v>808</v>
      </c>
      <c r="D521" s="17" t="str">
        <f>vlookup(C521,'1. 신청자리스트'!J:N,2,false)</f>
        <v>정상</v>
      </c>
      <c r="E521" s="17"/>
      <c r="F521" s="17" t="s">
        <v>808</v>
      </c>
      <c r="G521" s="18">
        <v>70000.0</v>
      </c>
      <c r="H521" s="19" t="s">
        <v>3961</v>
      </c>
      <c r="I521" s="20"/>
      <c r="J521" s="20"/>
      <c r="K521" s="20"/>
      <c r="L521" s="21"/>
      <c r="M521" s="22"/>
      <c r="N521" s="22"/>
      <c r="O521" s="22"/>
      <c r="P521" s="22"/>
      <c r="Q521" s="22"/>
      <c r="R521" s="22"/>
      <c r="S521" s="22"/>
      <c r="T521" s="23"/>
    </row>
    <row r="522">
      <c r="A522" s="16" t="s">
        <v>3962</v>
      </c>
      <c r="B522" s="17" t="s">
        <v>3935</v>
      </c>
      <c r="C522" s="17" t="s">
        <v>809</v>
      </c>
      <c r="D522" s="17" t="str">
        <f>vlookup(C522,'1. 신청자리스트'!J:N,2,false)</f>
        <v>정상</v>
      </c>
      <c r="E522" s="17"/>
      <c r="F522" s="17" t="s">
        <v>809</v>
      </c>
      <c r="G522" s="18">
        <v>70000.0</v>
      </c>
      <c r="H522" s="19" t="s">
        <v>3941</v>
      </c>
      <c r="I522" s="20"/>
      <c r="J522" s="20"/>
      <c r="K522" s="20"/>
      <c r="L522" s="21"/>
      <c r="M522" s="22"/>
      <c r="N522" s="22"/>
      <c r="O522" s="22"/>
      <c r="P522" s="22"/>
      <c r="Q522" s="22"/>
      <c r="R522" s="22"/>
      <c r="S522" s="22"/>
      <c r="T522" s="23"/>
    </row>
    <row r="523">
      <c r="A523" s="16" t="s">
        <v>4229</v>
      </c>
      <c r="B523" s="17" t="s">
        <v>3935</v>
      </c>
      <c r="C523" s="17" t="s">
        <v>344</v>
      </c>
      <c r="D523" s="17" t="str">
        <f>vlookup(C523,'1. 신청자리스트'!J:N,2,false)</f>
        <v>정상</v>
      </c>
      <c r="E523" s="17"/>
      <c r="F523" s="17" t="s">
        <v>344</v>
      </c>
      <c r="G523" s="18">
        <v>35000.0</v>
      </c>
      <c r="H523" s="19" t="s">
        <v>3983</v>
      </c>
      <c r="I523" s="20"/>
      <c r="J523" s="20"/>
      <c r="K523" s="20"/>
      <c r="L523" s="21"/>
      <c r="M523" s="22"/>
      <c r="N523" s="22"/>
      <c r="O523" s="22"/>
      <c r="P523" s="22"/>
      <c r="Q523" s="22"/>
      <c r="R523" s="22"/>
      <c r="S523" s="22"/>
      <c r="T523" s="23"/>
    </row>
    <row r="524">
      <c r="A524" s="16" t="s">
        <v>4230</v>
      </c>
      <c r="B524" s="17" t="s">
        <v>3935</v>
      </c>
      <c r="C524" s="17" t="s">
        <v>811</v>
      </c>
      <c r="D524" s="17" t="str">
        <f>vlookup(C524,'1. 신청자리스트'!J:N,2,false)</f>
        <v>정상</v>
      </c>
      <c r="E524" s="17"/>
      <c r="F524" s="17" t="s">
        <v>811</v>
      </c>
      <c r="G524" s="18">
        <v>70000.0</v>
      </c>
      <c r="H524" s="19" t="s">
        <v>3941</v>
      </c>
      <c r="I524" s="20"/>
      <c r="J524" s="20"/>
      <c r="K524" s="20"/>
      <c r="L524" s="21"/>
      <c r="M524" s="22"/>
      <c r="N524" s="22"/>
      <c r="O524" s="22"/>
      <c r="P524" s="22"/>
      <c r="Q524" s="22"/>
      <c r="R524" s="22"/>
      <c r="S524" s="22"/>
      <c r="T524" s="23"/>
    </row>
    <row r="525">
      <c r="A525" s="16" t="s">
        <v>3949</v>
      </c>
      <c r="B525" s="17" t="s">
        <v>3932</v>
      </c>
      <c r="C525" s="17" t="s">
        <v>812</v>
      </c>
      <c r="D525" s="17" t="str">
        <f>vlookup(C525,'1. 신청자리스트'!J:N,2,false)</f>
        <v>정상</v>
      </c>
      <c r="E525" s="17"/>
      <c r="F525" s="17" t="s">
        <v>812</v>
      </c>
      <c r="G525" s="18">
        <v>70000.0</v>
      </c>
      <c r="H525" s="19" t="s">
        <v>4231</v>
      </c>
      <c r="I525" s="20"/>
      <c r="J525" s="20"/>
      <c r="K525" s="20"/>
      <c r="L525" s="21"/>
      <c r="M525" s="22"/>
      <c r="N525" s="22"/>
      <c r="O525" s="22"/>
      <c r="P525" s="22"/>
      <c r="Q525" s="22"/>
      <c r="R525" s="22"/>
      <c r="S525" s="22"/>
      <c r="T525" s="23"/>
    </row>
    <row r="526">
      <c r="A526" s="16" t="s">
        <v>4026</v>
      </c>
      <c r="B526" s="17" t="s">
        <v>3935</v>
      </c>
      <c r="C526" s="17" t="s">
        <v>813</v>
      </c>
      <c r="D526" s="17" t="str">
        <f>vlookup(C526,'1. 신청자리스트'!J:N,2,false)</f>
        <v>정상</v>
      </c>
      <c r="E526" s="17"/>
      <c r="F526" s="17" t="s">
        <v>4232</v>
      </c>
      <c r="G526" s="18">
        <v>70000.0</v>
      </c>
      <c r="H526" s="19" t="s">
        <v>3983</v>
      </c>
      <c r="I526" s="20"/>
      <c r="J526" s="20"/>
      <c r="K526" s="20"/>
      <c r="L526" s="21"/>
      <c r="M526" s="22"/>
      <c r="N526" s="22"/>
      <c r="O526" s="22"/>
      <c r="P526" s="22"/>
      <c r="Q526" s="22"/>
      <c r="R526" s="22"/>
      <c r="S526" s="22"/>
      <c r="T526" s="23"/>
    </row>
    <row r="527">
      <c r="A527" s="16" t="s">
        <v>3985</v>
      </c>
      <c r="B527" s="17" t="s">
        <v>3935</v>
      </c>
      <c r="C527" s="17" t="s">
        <v>345</v>
      </c>
      <c r="D527" s="17" t="str">
        <f>vlookup(C527,'1. 신청자리스트'!J:N,2,false)</f>
        <v>정상</v>
      </c>
      <c r="E527" s="17"/>
      <c r="F527" s="17" t="s">
        <v>4233</v>
      </c>
      <c r="G527" s="18">
        <v>35000.0</v>
      </c>
      <c r="H527" s="19" t="s">
        <v>3946</v>
      </c>
      <c r="I527" s="20"/>
      <c r="J527" s="20"/>
      <c r="K527" s="20"/>
      <c r="L527" s="21"/>
      <c r="M527" s="22"/>
      <c r="N527" s="22"/>
      <c r="O527" s="22"/>
      <c r="P527" s="22"/>
      <c r="Q527" s="22"/>
      <c r="R527" s="22"/>
      <c r="S527" s="22"/>
      <c r="T527" s="23"/>
    </row>
    <row r="528">
      <c r="A528" s="16" t="s">
        <v>3940</v>
      </c>
      <c r="B528" s="17" t="s">
        <v>3935</v>
      </c>
      <c r="C528" s="17" t="s">
        <v>347</v>
      </c>
      <c r="D528" s="17" t="str">
        <f>vlookup(C528,'1. 신청자리스트'!J:N,2,false)</f>
        <v>정상</v>
      </c>
      <c r="E528" s="17"/>
      <c r="F528" s="17" t="s">
        <v>347</v>
      </c>
      <c r="G528" s="18">
        <v>35000.0</v>
      </c>
      <c r="H528" s="19" t="s">
        <v>3941</v>
      </c>
      <c r="I528" s="20"/>
      <c r="J528" s="20"/>
      <c r="K528" s="20"/>
      <c r="L528" s="21"/>
      <c r="M528" s="22"/>
      <c r="N528" s="22"/>
      <c r="O528" s="22"/>
      <c r="P528" s="22"/>
      <c r="Q528" s="22"/>
      <c r="R528" s="22"/>
      <c r="S528" s="22"/>
      <c r="T528" s="23"/>
    </row>
    <row r="529">
      <c r="A529" s="16" t="s">
        <v>3962</v>
      </c>
      <c r="B529" s="17" t="s">
        <v>3932</v>
      </c>
      <c r="C529" s="17" t="s">
        <v>814</v>
      </c>
      <c r="D529" s="17" t="str">
        <f>vlookup(C529,'1. 신청자리스트'!J:N,2,false)</f>
        <v>정상</v>
      </c>
      <c r="E529" s="17"/>
      <c r="F529" s="17" t="s">
        <v>814</v>
      </c>
      <c r="G529" s="18">
        <v>70000.0</v>
      </c>
      <c r="H529" s="19" t="s">
        <v>4234</v>
      </c>
      <c r="I529" s="20"/>
      <c r="J529" s="20"/>
      <c r="K529" s="20"/>
      <c r="L529" s="21"/>
      <c r="M529" s="22"/>
      <c r="N529" s="22"/>
      <c r="O529" s="22"/>
      <c r="P529" s="22"/>
      <c r="Q529" s="22"/>
      <c r="R529" s="22"/>
      <c r="S529" s="22"/>
      <c r="T529" s="23"/>
    </row>
    <row r="530">
      <c r="A530" s="30" t="s">
        <v>3938</v>
      </c>
      <c r="B530" s="31" t="s">
        <v>3935</v>
      </c>
      <c r="C530" s="31" t="s">
        <v>4235</v>
      </c>
      <c r="D530" s="17" t="str">
        <f>vlookup(C530,'1. 신청자리스트'!J:N,2,false)</f>
        <v>정상</v>
      </c>
      <c r="E530" s="31"/>
      <c r="F530" s="31" t="s">
        <v>4235</v>
      </c>
      <c r="G530" s="32">
        <v>35000.0</v>
      </c>
      <c r="H530" s="33" t="s">
        <v>3941</v>
      </c>
      <c r="I530" s="34" t="str">
        <f>VLOOKUP(C530, '문의'!D:E, 2, FALSE)</f>
        <v>[취소/환불] 예약불발이고해서 환불요청합니다
 [환불정보]
 금액: 35000원
 은행: 우리은행
 계좌: 04714260912001
 예금주: 이복남</v>
      </c>
      <c r="J530" s="34">
        <f t="array" ref="J530">INDEX('문의'!C:C, MATCH(C530, '문의'!D:D, 0))</f>
        <v>1025417212</v>
      </c>
      <c r="K530" s="34" t="s">
        <v>3957</v>
      </c>
      <c r="L530" s="37" t="s">
        <v>4236</v>
      </c>
      <c r="M530" s="42"/>
      <c r="N530" s="42"/>
      <c r="O530" s="42"/>
      <c r="P530" s="43"/>
      <c r="Q530" s="42"/>
      <c r="R530" s="44"/>
      <c r="S530" s="42"/>
      <c r="T530" s="48">
        <f>COUNTIFS(K:K, "정상진행", P:P, "")</f>
        <v>30</v>
      </c>
    </row>
    <row r="531">
      <c r="A531" s="16" t="s">
        <v>3945</v>
      </c>
      <c r="B531" s="17" t="s">
        <v>3932</v>
      </c>
      <c r="C531" s="17" t="s">
        <v>348</v>
      </c>
      <c r="D531" s="17" t="str">
        <f>vlookup(C531,'1. 신청자리스트'!J:N,2,false)</f>
        <v>정상</v>
      </c>
      <c r="E531" s="17"/>
      <c r="F531" s="17" t="s">
        <v>348</v>
      </c>
      <c r="G531" s="18">
        <v>35000.0</v>
      </c>
      <c r="H531" s="19" t="s">
        <v>4237</v>
      </c>
      <c r="I531" s="20"/>
      <c r="J531" s="20"/>
      <c r="K531" s="20"/>
      <c r="L531" s="21"/>
      <c r="M531" s="22"/>
      <c r="N531" s="22"/>
      <c r="O531" s="22"/>
      <c r="P531" s="22"/>
      <c r="Q531" s="22"/>
      <c r="R531" s="22"/>
      <c r="S531" s="22"/>
      <c r="T531" s="23"/>
    </row>
    <row r="532">
      <c r="A532" s="16" t="s">
        <v>3949</v>
      </c>
      <c r="B532" s="17" t="s">
        <v>3935</v>
      </c>
      <c r="C532" s="17" t="s">
        <v>815</v>
      </c>
      <c r="D532" s="17" t="str">
        <f>vlookup(C532,'1. 신청자리스트'!J:N,2,false)</f>
        <v>정상</v>
      </c>
      <c r="E532" s="17"/>
      <c r="F532" s="17" t="s">
        <v>815</v>
      </c>
      <c r="G532" s="18">
        <v>70000.0</v>
      </c>
      <c r="H532" s="19" t="s">
        <v>3983</v>
      </c>
      <c r="I532" s="20"/>
      <c r="J532" s="20"/>
      <c r="K532" s="20"/>
      <c r="L532" s="21"/>
      <c r="M532" s="22"/>
      <c r="N532" s="22"/>
      <c r="O532" s="22"/>
      <c r="P532" s="22"/>
      <c r="Q532" s="22"/>
      <c r="R532" s="22"/>
      <c r="S532" s="22"/>
      <c r="T532" s="23"/>
    </row>
    <row r="533">
      <c r="A533" s="16" t="s">
        <v>4238</v>
      </c>
      <c r="B533" s="17" t="s">
        <v>3935</v>
      </c>
      <c r="C533" s="17" t="s">
        <v>349</v>
      </c>
      <c r="D533" s="17" t="str">
        <f>vlookup(C533,'1. 신청자리스트'!J:N,2,false)</f>
        <v>정상</v>
      </c>
      <c r="E533" s="17"/>
      <c r="F533" s="17" t="s">
        <v>349</v>
      </c>
      <c r="G533" s="18">
        <v>35000.0</v>
      </c>
      <c r="H533" s="19" t="s">
        <v>3939</v>
      </c>
      <c r="I533" s="20"/>
      <c r="J533" s="20"/>
      <c r="K533" s="20"/>
      <c r="L533" s="21"/>
      <c r="M533" s="22"/>
      <c r="N533" s="22"/>
      <c r="O533" s="22"/>
      <c r="P533" s="22"/>
      <c r="Q533" s="22"/>
      <c r="R533" s="22"/>
      <c r="S533" s="22"/>
      <c r="T533" s="23"/>
    </row>
    <row r="534">
      <c r="A534" s="16" t="s">
        <v>4239</v>
      </c>
      <c r="B534" s="17" t="s">
        <v>3935</v>
      </c>
      <c r="C534" s="17" t="s">
        <v>816</v>
      </c>
      <c r="D534" s="17" t="str">
        <f>vlookup(C534,'1. 신청자리스트'!J:N,2,false)</f>
        <v>정상</v>
      </c>
      <c r="E534" s="17"/>
      <c r="F534" s="17" t="s">
        <v>816</v>
      </c>
      <c r="G534" s="18">
        <v>70000.0</v>
      </c>
      <c r="H534" s="19" t="s">
        <v>3941</v>
      </c>
      <c r="I534" s="20"/>
      <c r="J534" s="20"/>
      <c r="K534" s="20"/>
      <c r="L534" s="21"/>
      <c r="M534" s="22"/>
      <c r="N534" s="22"/>
      <c r="O534" s="22"/>
      <c r="P534" s="22"/>
      <c r="Q534" s="22"/>
      <c r="R534" s="22"/>
      <c r="S534" s="22"/>
      <c r="T534" s="23"/>
    </row>
    <row r="535">
      <c r="A535" s="16" t="s">
        <v>3940</v>
      </c>
      <c r="B535" s="17" t="s">
        <v>3935</v>
      </c>
      <c r="C535" s="17" t="s">
        <v>350</v>
      </c>
      <c r="D535" s="17" t="str">
        <f>vlookup(C535,'1. 신청자리스트'!J:N,2,false)</f>
        <v>정상</v>
      </c>
      <c r="E535" s="17"/>
      <c r="F535" s="17" t="s">
        <v>350</v>
      </c>
      <c r="G535" s="18">
        <v>35000.0</v>
      </c>
      <c r="H535" s="19" t="s">
        <v>3946</v>
      </c>
      <c r="I535" s="20"/>
      <c r="J535" s="20"/>
      <c r="K535" s="20"/>
      <c r="L535" s="21"/>
      <c r="M535" s="22"/>
      <c r="N535" s="22"/>
      <c r="O535" s="22"/>
      <c r="P535" s="22"/>
      <c r="Q535" s="22"/>
      <c r="R535" s="22"/>
      <c r="S535" s="22"/>
      <c r="T535" s="23"/>
    </row>
    <row r="536">
      <c r="A536" s="24" t="s">
        <v>4002</v>
      </c>
      <c r="B536" s="25" t="s">
        <v>3935</v>
      </c>
      <c r="C536" s="25" t="s">
        <v>351</v>
      </c>
      <c r="D536" s="17" t="str">
        <f>vlookup(C536,'1. 신청자리스트'!J:N,2,false)</f>
        <v>정상</v>
      </c>
      <c r="E536" s="25"/>
      <c r="F536" s="25" t="s">
        <v>3485</v>
      </c>
      <c r="G536" s="26">
        <v>35000.0</v>
      </c>
      <c r="H536" s="27" t="s">
        <v>3946</v>
      </c>
      <c r="I536" s="28"/>
      <c r="J536" s="28"/>
      <c r="K536" s="28"/>
      <c r="L536" s="29"/>
      <c r="M536" s="22"/>
      <c r="N536" s="22"/>
      <c r="O536" s="22"/>
      <c r="P536" s="22"/>
      <c r="Q536" s="22"/>
      <c r="R536" s="22"/>
      <c r="S536" s="22"/>
      <c r="T536" s="23"/>
    </row>
    <row r="537">
      <c r="A537" s="24" t="s">
        <v>4240</v>
      </c>
      <c r="B537" s="25" t="s">
        <v>3935</v>
      </c>
      <c r="C537" s="25" t="s">
        <v>817</v>
      </c>
      <c r="D537" s="17" t="str">
        <f>vlookup(C537,'1. 신청자리스트'!J:N,2,false)</f>
        <v>정상</v>
      </c>
      <c r="E537" s="25"/>
      <c r="F537" s="25" t="s">
        <v>2303</v>
      </c>
      <c r="G537" s="26">
        <v>70000.0</v>
      </c>
      <c r="H537" s="27" t="s">
        <v>3948</v>
      </c>
      <c r="I537" s="28"/>
      <c r="J537" s="28"/>
      <c r="K537" s="28"/>
      <c r="L537" s="29"/>
      <c r="M537" s="22"/>
      <c r="N537" s="22"/>
      <c r="O537" s="22"/>
      <c r="P537" s="22"/>
      <c r="Q537" s="22"/>
      <c r="R537" s="22"/>
      <c r="S537" s="22"/>
      <c r="T537" s="23"/>
    </row>
    <row r="538">
      <c r="A538" s="16" t="s">
        <v>4169</v>
      </c>
      <c r="B538" s="17" t="s">
        <v>3935</v>
      </c>
      <c r="C538" s="17" t="s">
        <v>818</v>
      </c>
      <c r="D538" s="17" t="str">
        <f>vlookup(C538,'1. 신청자리스트'!J:N,2,false)</f>
        <v>정상</v>
      </c>
      <c r="E538" s="17"/>
      <c r="F538" s="17" t="s">
        <v>818</v>
      </c>
      <c r="G538" s="18">
        <v>70000.0</v>
      </c>
      <c r="H538" s="19" t="s">
        <v>3939</v>
      </c>
      <c r="I538" s="20"/>
      <c r="J538" s="20"/>
      <c r="K538" s="20"/>
      <c r="L538" s="21"/>
      <c r="M538" s="22"/>
      <c r="N538" s="22"/>
      <c r="O538" s="22"/>
      <c r="P538" s="22"/>
      <c r="Q538" s="22"/>
      <c r="R538" s="22"/>
      <c r="S538" s="22"/>
      <c r="T538" s="23"/>
    </row>
    <row r="539">
      <c r="A539" s="24" t="s">
        <v>3962</v>
      </c>
      <c r="B539" s="25" t="s">
        <v>3935</v>
      </c>
      <c r="C539" s="25" t="s">
        <v>353</v>
      </c>
      <c r="D539" s="17" t="str">
        <f>vlookup(C539,'1. 신청자리스트'!J:N,2,false)</f>
        <v>정상</v>
      </c>
      <c r="E539" s="25"/>
      <c r="F539" s="25" t="s">
        <v>3487</v>
      </c>
      <c r="G539" s="26">
        <v>35000.0</v>
      </c>
      <c r="H539" s="27" t="s">
        <v>3941</v>
      </c>
      <c r="I539" s="28"/>
      <c r="J539" s="28"/>
      <c r="K539" s="28"/>
      <c r="L539" s="29"/>
      <c r="M539" s="22"/>
      <c r="N539" s="22"/>
      <c r="O539" s="22"/>
      <c r="P539" s="22"/>
      <c r="Q539" s="22"/>
      <c r="R539" s="22"/>
      <c r="S539" s="22"/>
      <c r="T539" s="23"/>
    </row>
    <row r="540">
      <c r="A540" s="16" t="s">
        <v>3962</v>
      </c>
      <c r="B540" s="17" t="s">
        <v>3943</v>
      </c>
      <c r="C540" s="17" t="s">
        <v>354</v>
      </c>
      <c r="D540" s="17" t="str">
        <f>vlookup(C540,'1. 신청자리스트'!J:N,2,false)</f>
        <v>정상</v>
      </c>
      <c r="E540" s="17"/>
      <c r="F540" s="17" t="s">
        <v>354</v>
      </c>
      <c r="G540" s="18">
        <v>35000.0</v>
      </c>
      <c r="H540" s="19" t="s">
        <v>3944</v>
      </c>
      <c r="I540" s="20"/>
      <c r="J540" s="20"/>
      <c r="K540" s="20"/>
      <c r="L540" s="21"/>
      <c r="M540" s="22"/>
      <c r="N540" s="22"/>
      <c r="O540" s="22"/>
      <c r="P540" s="22"/>
      <c r="Q540" s="22"/>
      <c r="R540" s="22"/>
      <c r="S540" s="22"/>
      <c r="T540" s="23"/>
    </row>
    <row r="541">
      <c r="A541" s="16" t="s">
        <v>3945</v>
      </c>
      <c r="B541" s="17" t="s">
        <v>3932</v>
      </c>
      <c r="C541" s="17" t="s">
        <v>819</v>
      </c>
      <c r="D541" s="17" t="str">
        <f>vlookup(C541,'1. 신청자리스트'!J:N,2,false)</f>
        <v>정상</v>
      </c>
      <c r="E541" s="17"/>
      <c r="F541" s="17" t="s">
        <v>819</v>
      </c>
      <c r="G541" s="18">
        <v>70000.0</v>
      </c>
      <c r="H541" s="19" t="s">
        <v>4162</v>
      </c>
      <c r="I541" s="20"/>
      <c r="J541" s="20"/>
      <c r="K541" s="20"/>
      <c r="L541" s="21"/>
      <c r="M541" s="22"/>
      <c r="N541" s="22"/>
      <c r="O541" s="22"/>
      <c r="P541" s="22"/>
      <c r="Q541" s="22"/>
      <c r="R541" s="22"/>
      <c r="S541" s="22"/>
      <c r="T541" s="23"/>
    </row>
    <row r="542">
      <c r="A542" s="16" t="s">
        <v>4241</v>
      </c>
      <c r="B542" s="17" t="s">
        <v>3935</v>
      </c>
      <c r="C542" s="17" t="s">
        <v>820</v>
      </c>
      <c r="D542" s="17" t="str">
        <f>vlookup(C542,'1. 신청자리스트'!J:N,2,false)</f>
        <v>정상</v>
      </c>
      <c r="E542" s="17"/>
      <c r="F542" s="17" t="s">
        <v>820</v>
      </c>
      <c r="G542" s="18">
        <v>70000.0</v>
      </c>
      <c r="H542" s="19" t="s">
        <v>3941</v>
      </c>
      <c r="I542" s="20"/>
      <c r="J542" s="20"/>
      <c r="K542" s="20"/>
      <c r="L542" s="21"/>
      <c r="M542" s="22"/>
      <c r="N542" s="22"/>
      <c r="O542" s="22"/>
      <c r="P542" s="22"/>
      <c r="Q542" s="22"/>
      <c r="R542" s="22"/>
      <c r="S542" s="22"/>
      <c r="T542" s="23"/>
    </row>
    <row r="543">
      <c r="A543" s="16" t="s">
        <v>3962</v>
      </c>
      <c r="B543" s="17" t="s">
        <v>3943</v>
      </c>
      <c r="C543" s="17" t="s">
        <v>355</v>
      </c>
      <c r="D543" s="17" t="str">
        <f>vlookup(C543,'1. 신청자리스트'!J:N,2,false)</f>
        <v>정상</v>
      </c>
      <c r="E543" s="17"/>
      <c r="F543" s="17" t="s">
        <v>355</v>
      </c>
      <c r="G543" s="18">
        <v>35000.0</v>
      </c>
      <c r="H543" s="19" t="s">
        <v>3944</v>
      </c>
      <c r="I543" s="20"/>
      <c r="J543" s="20"/>
      <c r="K543" s="20"/>
      <c r="L543" s="21"/>
      <c r="M543" s="22"/>
      <c r="N543" s="22"/>
      <c r="O543" s="22"/>
      <c r="P543" s="22"/>
      <c r="Q543" s="22"/>
      <c r="R543" s="22"/>
      <c r="S543" s="22"/>
      <c r="T543" s="23"/>
    </row>
    <row r="544">
      <c r="A544" s="24" t="s">
        <v>3940</v>
      </c>
      <c r="B544" s="25" t="s">
        <v>3935</v>
      </c>
      <c r="C544" s="25" t="s">
        <v>356</v>
      </c>
      <c r="D544" s="17" t="str">
        <f>vlookup(C544,'1. 신청자리스트'!J:N,2,false)</f>
        <v>정상</v>
      </c>
      <c r="E544" s="25"/>
      <c r="F544" s="25" t="s">
        <v>2612</v>
      </c>
      <c r="G544" s="26">
        <v>35000.0</v>
      </c>
      <c r="H544" s="27" t="s">
        <v>4041</v>
      </c>
      <c r="I544" s="28"/>
      <c r="J544" s="28"/>
      <c r="K544" s="28"/>
      <c r="L544" s="29"/>
      <c r="M544" s="22"/>
      <c r="N544" s="22"/>
      <c r="O544" s="22"/>
      <c r="P544" s="22"/>
      <c r="Q544" s="22"/>
      <c r="R544" s="22"/>
      <c r="S544" s="22"/>
      <c r="T544" s="23"/>
    </row>
    <row r="545">
      <c r="A545" s="16" t="s">
        <v>3940</v>
      </c>
      <c r="B545" s="17" t="s">
        <v>3935</v>
      </c>
      <c r="C545" s="17" t="s">
        <v>821</v>
      </c>
      <c r="D545" s="17" t="str">
        <f>vlookup(C545,'1. 신청자리스트'!J:N,2,false)</f>
        <v>정상</v>
      </c>
      <c r="E545" s="17"/>
      <c r="F545" s="17" t="s">
        <v>821</v>
      </c>
      <c r="G545" s="18">
        <v>70000.0</v>
      </c>
      <c r="H545" s="19" t="s">
        <v>3983</v>
      </c>
      <c r="I545" s="20"/>
      <c r="J545" s="20"/>
      <c r="K545" s="20"/>
      <c r="L545" s="21"/>
      <c r="M545" s="22"/>
      <c r="N545" s="22"/>
      <c r="O545" s="22"/>
      <c r="P545" s="22"/>
      <c r="Q545" s="22"/>
      <c r="R545" s="22"/>
      <c r="S545" s="22"/>
      <c r="T545" s="23"/>
    </row>
    <row r="546">
      <c r="A546" s="16" t="s">
        <v>3962</v>
      </c>
      <c r="B546" s="17" t="s">
        <v>3932</v>
      </c>
      <c r="C546" s="17" t="s">
        <v>822</v>
      </c>
      <c r="D546" s="17" t="str">
        <f>vlookup(C546,'1. 신청자리스트'!J:N,2,false)</f>
        <v>정상</v>
      </c>
      <c r="E546" s="17"/>
      <c r="F546" s="17" t="s">
        <v>822</v>
      </c>
      <c r="G546" s="18">
        <v>70000.0</v>
      </c>
      <c r="H546" s="19" t="s">
        <v>4242</v>
      </c>
      <c r="I546" s="20"/>
      <c r="J546" s="20"/>
      <c r="K546" s="20"/>
      <c r="L546" s="21"/>
      <c r="M546" s="22"/>
      <c r="N546" s="22"/>
      <c r="O546" s="22"/>
      <c r="P546" s="22"/>
      <c r="Q546" s="22"/>
      <c r="R546" s="22"/>
      <c r="S546" s="22"/>
      <c r="T546" s="23"/>
    </row>
    <row r="547">
      <c r="A547" s="16" t="s">
        <v>4002</v>
      </c>
      <c r="B547" s="17" t="s">
        <v>3932</v>
      </c>
      <c r="C547" s="17" t="s">
        <v>823</v>
      </c>
      <c r="D547" s="17" t="str">
        <f>vlookup(C547,'1. 신청자리스트'!J:N,2,false)</f>
        <v>정상</v>
      </c>
      <c r="E547" s="17"/>
      <c r="F547" s="17" t="s">
        <v>823</v>
      </c>
      <c r="G547" s="18">
        <v>70000.0</v>
      </c>
      <c r="H547" s="19" t="s">
        <v>4243</v>
      </c>
      <c r="I547" s="20"/>
      <c r="J547" s="20"/>
      <c r="K547" s="20"/>
      <c r="L547" s="21"/>
      <c r="M547" s="22"/>
      <c r="N547" s="22"/>
      <c r="O547" s="22"/>
      <c r="P547" s="22"/>
      <c r="Q547" s="22"/>
      <c r="R547" s="22"/>
      <c r="S547" s="22"/>
      <c r="T547" s="23"/>
    </row>
    <row r="548">
      <c r="A548" s="16" t="s">
        <v>3989</v>
      </c>
      <c r="B548" s="17" t="s">
        <v>3935</v>
      </c>
      <c r="C548" s="17" t="s">
        <v>357</v>
      </c>
      <c r="D548" s="17" t="str">
        <f>vlookup(C548,'1. 신청자리스트'!J:N,2,false)</f>
        <v>정상</v>
      </c>
      <c r="E548" s="17"/>
      <c r="F548" s="17" t="s">
        <v>357</v>
      </c>
      <c r="G548" s="18">
        <v>35000.0</v>
      </c>
      <c r="H548" s="19" t="s">
        <v>3948</v>
      </c>
      <c r="I548" s="20"/>
      <c r="J548" s="20"/>
      <c r="K548" s="20"/>
      <c r="L548" s="21"/>
      <c r="M548" s="22"/>
      <c r="N548" s="22"/>
      <c r="O548" s="22"/>
      <c r="P548" s="22"/>
      <c r="Q548" s="22"/>
      <c r="R548" s="22"/>
      <c r="S548" s="22"/>
      <c r="T548" s="23"/>
    </row>
    <row r="549">
      <c r="A549" s="16" t="s">
        <v>4002</v>
      </c>
      <c r="B549" s="17" t="s">
        <v>3932</v>
      </c>
      <c r="C549" s="17" t="s">
        <v>824</v>
      </c>
      <c r="D549" s="17" t="str">
        <f>vlookup(C549,'1. 신청자리스트'!J:N,2,false)</f>
        <v>정상</v>
      </c>
      <c r="E549" s="17"/>
      <c r="F549" s="17" t="s">
        <v>824</v>
      </c>
      <c r="G549" s="18">
        <v>70000.0</v>
      </c>
      <c r="H549" s="19" t="s">
        <v>4244</v>
      </c>
      <c r="I549" s="20"/>
      <c r="J549" s="20"/>
      <c r="K549" s="20"/>
      <c r="L549" s="21"/>
      <c r="M549" s="22"/>
      <c r="N549" s="22"/>
      <c r="O549" s="22"/>
      <c r="P549" s="22"/>
      <c r="Q549" s="22"/>
      <c r="R549" s="22"/>
      <c r="S549" s="22"/>
      <c r="T549" s="23"/>
    </row>
    <row r="550">
      <c r="A550" s="16" t="s">
        <v>3940</v>
      </c>
      <c r="B550" s="17" t="s">
        <v>3935</v>
      </c>
      <c r="C550" s="17" t="s">
        <v>358</v>
      </c>
      <c r="D550" s="17" t="str">
        <f>vlookup(C550,'1. 신청자리스트'!J:N,2,false)</f>
        <v>정상</v>
      </c>
      <c r="E550" s="17"/>
      <c r="F550" s="17" t="s">
        <v>358</v>
      </c>
      <c r="G550" s="18">
        <v>35000.0</v>
      </c>
      <c r="H550" s="19" t="s">
        <v>3939</v>
      </c>
      <c r="I550" s="20"/>
      <c r="J550" s="20"/>
      <c r="K550" s="20"/>
      <c r="L550" s="21"/>
      <c r="M550" s="22"/>
      <c r="N550" s="22"/>
      <c r="O550" s="22"/>
      <c r="P550" s="22"/>
      <c r="Q550" s="22"/>
      <c r="R550" s="22"/>
      <c r="S550" s="22"/>
      <c r="T550" s="23"/>
    </row>
    <row r="551">
      <c r="A551" s="16" t="s">
        <v>4071</v>
      </c>
      <c r="B551" s="17" t="s">
        <v>3932</v>
      </c>
      <c r="C551" s="17" t="s">
        <v>359</v>
      </c>
      <c r="D551" s="17" t="str">
        <f>vlookup(C551,'1. 신청자리스트'!J:N,2,false)</f>
        <v>정상</v>
      </c>
      <c r="E551" s="17"/>
      <c r="F551" s="17" t="s">
        <v>359</v>
      </c>
      <c r="G551" s="18">
        <v>35000.0</v>
      </c>
      <c r="H551" s="19" t="s">
        <v>4245</v>
      </c>
      <c r="I551" s="20"/>
      <c r="J551" s="20"/>
      <c r="K551" s="20"/>
      <c r="L551" s="21"/>
      <c r="M551" s="22"/>
      <c r="N551" s="22"/>
      <c r="O551" s="22"/>
      <c r="P551" s="22"/>
      <c r="Q551" s="22"/>
      <c r="R551" s="22"/>
      <c r="S551" s="22"/>
      <c r="T551" s="23"/>
    </row>
    <row r="552">
      <c r="A552" s="16" t="s">
        <v>4246</v>
      </c>
      <c r="B552" s="17" t="s">
        <v>3935</v>
      </c>
      <c r="C552" s="17" t="s">
        <v>360</v>
      </c>
      <c r="D552" s="17" t="str">
        <f>vlookup(C552,'1. 신청자리스트'!J:N,2,false)</f>
        <v>정상</v>
      </c>
      <c r="E552" s="17"/>
      <c r="F552" s="17" t="s">
        <v>4247</v>
      </c>
      <c r="G552" s="18">
        <v>35000.0</v>
      </c>
      <c r="H552" s="19" t="s">
        <v>3939</v>
      </c>
      <c r="I552" s="20"/>
      <c r="J552" s="20"/>
      <c r="K552" s="20"/>
      <c r="L552" s="21"/>
      <c r="M552" s="22"/>
      <c r="N552" s="22"/>
      <c r="O552" s="22"/>
      <c r="P552" s="22"/>
      <c r="Q552" s="22"/>
      <c r="R552" s="22"/>
      <c r="S552" s="22"/>
      <c r="T552" s="23"/>
    </row>
    <row r="553">
      <c r="A553" s="24" t="s">
        <v>3940</v>
      </c>
      <c r="B553" s="25" t="s">
        <v>3935</v>
      </c>
      <c r="C553" s="25" t="s">
        <v>825</v>
      </c>
      <c r="D553" s="17" t="str">
        <f>vlookup(C553,'1. 신청자리스트'!J:N,2,false)</f>
        <v>정상</v>
      </c>
      <c r="E553" s="25"/>
      <c r="F553" s="25" t="s">
        <v>4248</v>
      </c>
      <c r="G553" s="26">
        <v>70000.0</v>
      </c>
      <c r="H553" s="27" t="s">
        <v>3939</v>
      </c>
      <c r="I553" s="28"/>
      <c r="J553" s="28"/>
      <c r="K553" s="28"/>
      <c r="L553" s="29"/>
      <c r="M553" s="22"/>
      <c r="N553" s="22"/>
      <c r="O553" s="22"/>
      <c r="P553" s="22"/>
      <c r="Q553" s="22"/>
      <c r="R553" s="22"/>
      <c r="S553" s="22"/>
      <c r="T553" s="23"/>
    </row>
    <row r="554">
      <c r="A554" s="16" t="s">
        <v>3940</v>
      </c>
      <c r="B554" s="17" t="s">
        <v>3935</v>
      </c>
      <c r="C554" s="17" t="s">
        <v>826</v>
      </c>
      <c r="D554" s="17" t="str">
        <f>vlookup(C554,'1. 신청자리스트'!J:N,2,false)</f>
        <v>정상</v>
      </c>
      <c r="E554" s="17"/>
      <c r="F554" s="17" t="s">
        <v>4249</v>
      </c>
      <c r="G554" s="18">
        <v>70000.0</v>
      </c>
      <c r="H554" s="19" t="s">
        <v>3983</v>
      </c>
      <c r="I554" s="20"/>
      <c r="J554" s="20"/>
      <c r="K554" s="20"/>
      <c r="L554" s="21"/>
      <c r="M554" s="22"/>
      <c r="N554" s="22"/>
      <c r="O554" s="22"/>
      <c r="P554" s="22"/>
      <c r="Q554" s="22"/>
      <c r="R554" s="22"/>
      <c r="S554" s="22"/>
      <c r="T554" s="23"/>
    </row>
    <row r="555">
      <c r="A555" s="24" t="s">
        <v>3940</v>
      </c>
      <c r="B555" s="25" t="s">
        <v>3935</v>
      </c>
      <c r="C555" s="25" t="s">
        <v>827</v>
      </c>
      <c r="D555" s="17" t="str">
        <f>vlookup(C555,'1. 신청자리스트'!J:N,2,false)</f>
        <v>정상</v>
      </c>
      <c r="E555" s="25"/>
      <c r="F555" s="25" t="s">
        <v>2343</v>
      </c>
      <c r="G555" s="26">
        <v>70000.0</v>
      </c>
      <c r="H555" s="27" t="s">
        <v>3961</v>
      </c>
      <c r="I555" s="28"/>
      <c r="J555" s="28"/>
      <c r="K555" s="28"/>
      <c r="L555" s="29"/>
      <c r="M555" s="22"/>
      <c r="N555" s="22"/>
      <c r="O555" s="22"/>
      <c r="P555" s="22"/>
      <c r="Q555" s="22"/>
      <c r="R555" s="22"/>
      <c r="S555" s="22"/>
      <c r="T555" s="23"/>
    </row>
    <row r="556">
      <c r="A556" s="16" t="s">
        <v>3945</v>
      </c>
      <c r="B556" s="17" t="s">
        <v>3993</v>
      </c>
      <c r="C556" s="17" t="s">
        <v>361</v>
      </c>
      <c r="D556" s="17" t="str">
        <f>vlookup(C556,'1. 신청자리스트'!J:N,2,false)</f>
        <v>정상</v>
      </c>
      <c r="E556" s="17"/>
      <c r="F556" s="17" t="s">
        <v>361</v>
      </c>
      <c r="G556" s="18">
        <v>35000.0</v>
      </c>
      <c r="H556" s="19" t="s">
        <v>3946</v>
      </c>
      <c r="I556" s="20"/>
      <c r="J556" s="20"/>
      <c r="K556" s="20"/>
      <c r="L556" s="21"/>
      <c r="M556" s="22"/>
      <c r="N556" s="22"/>
      <c r="O556" s="22"/>
      <c r="P556" s="22"/>
      <c r="Q556" s="22"/>
      <c r="R556" s="22"/>
      <c r="S556" s="22"/>
      <c r="T556" s="23"/>
    </row>
    <row r="557">
      <c r="A557" s="16" t="s">
        <v>3955</v>
      </c>
      <c r="B557" s="17" t="s">
        <v>3932</v>
      </c>
      <c r="C557" s="17" t="s">
        <v>828</v>
      </c>
      <c r="D557" s="17" t="str">
        <f>vlookup(C557,'1. 신청자리스트'!J:N,2,false)</f>
        <v>정상</v>
      </c>
      <c r="E557" s="17"/>
      <c r="F557" s="17" t="s">
        <v>828</v>
      </c>
      <c r="G557" s="18">
        <v>70000.0</v>
      </c>
      <c r="H557" s="19" t="s">
        <v>4250</v>
      </c>
      <c r="I557" s="20"/>
      <c r="J557" s="20"/>
      <c r="K557" s="20"/>
      <c r="L557" s="21"/>
      <c r="M557" s="22"/>
      <c r="N557" s="22"/>
      <c r="O557" s="22"/>
      <c r="P557" s="22"/>
      <c r="Q557" s="22"/>
      <c r="R557" s="22"/>
      <c r="S557" s="22"/>
      <c r="T557" s="23"/>
    </row>
    <row r="558">
      <c r="A558" s="16" t="s">
        <v>3940</v>
      </c>
      <c r="B558" s="17" t="s">
        <v>3943</v>
      </c>
      <c r="C558" s="17" t="s">
        <v>362</v>
      </c>
      <c r="D558" s="17" t="str">
        <f>vlookup(C558,'1. 신청자리스트'!J:N,2,false)</f>
        <v>정상</v>
      </c>
      <c r="E558" s="17"/>
      <c r="F558" s="17" t="s">
        <v>362</v>
      </c>
      <c r="G558" s="18">
        <v>35000.0</v>
      </c>
      <c r="H558" s="19" t="s">
        <v>3944</v>
      </c>
      <c r="I558" s="20"/>
      <c r="J558" s="20"/>
      <c r="K558" s="20"/>
      <c r="L558" s="21"/>
      <c r="M558" s="22"/>
      <c r="N558" s="22"/>
      <c r="O558" s="22"/>
      <c r="P558" s="22"/>
      <c r="Q558" s="22"/>
      <c r="R558" s="22"/>
      <c r="S558" s="22"/>
      <c r="T558" s="23"/>
    </row>
    <row r="559">
      <c r="A559" s="24" t="s">
        <v>3940</v>
      </c>
      <c r="B559" s="25" t="s">
        <v>3935</v>
      </c>
      <c r="C559" s="25" t="s">
        <v>363</v>
      </c>
      <c r="D559" s="17" t="str">
        <f>vlookup(C559,'1. 신청자리스트'!J:N,2,false)</f>
        <v>정상</v>
      </c>
      <c r="E559" s="25"/>
      <c r="F559" s="25" t="s">
        <v>3504</v>
      </c>
      <c r="G559" s="26">
        <v>35000.0</v>
      </c>
      <c r="H559" s="27" t="s">
        <v>3990</v>
      </c>
      <c r="I559" s="28"/>
      <c r="J559" s="28"/>
      <c r="K559" s="28"/>
      <c r="L559" s="29"/>
      <c r="M559" s="22"/>
      <c r="N559" s="22"/>
      <c r="O559" s="22"/>
      <c r="P559" s="22"/>
      <c r="Q559" s="22"/>
      <c r="R559" s="22"/>
      <c r="S559" s="22"/>
      <c r="T559" s="23"/>
    </row>
    <row r="560">
      <c r="A560" s="16" t="s">
        <v>3938</v>
      </c>
      <c r="B560" s="17" t="s">
        <v>3935</v>
      </c>
      <c r="C560" s="17" t="s">
        <v>829</v>
      </c>
      <c r="D560" s="17" t="str">
        <f>vlookup(C560,'1. 신청자리스트'!J:N,2,false)</f>
        <v>정상</v>
      </c>
      <c r="E560" s="17"/>
      <c r="F560" s="17" t="s">
        <v>829</v>
      </c>
      <c r="G560" s="18">
        <v>70000.0</v>
      </c>
      <c r="H560" s="19" t="s">
        <v>3948</v>
      </c>
      <c r="I560" s="20"/>
      <c r="J560" s="20"/>
      <c r="K560" s="20"/>
      <c r="L560" s="21"/>
      <c r="M560" s="22"/>
      <c r="N560" s="22"/>
      <c r="O560" s="22"/>
      <c r="P560" s="22"/>
      <c r="Q560" s="22"/>
      <c r="R560" s="22"/>
      <c r="S560" s="22"/>
      <c r="T560" s="23"/>
    </row>
    <row r="561">
      <c r="A561" s="16" t="s">
        <v>3942</v>
      </c>
      <c r="B561" s="17" t="s">
        <v>3935</v>
      </c>
      <c r="C561" s="17" t="s">
        <v>830</v>
      </c>
      <c r="D561" s="17" t="str">
        <f>vlookup(C561,'1. 신청자리스트'!J:N,2,false)</f>
        <v>정상</v>
      </c>
      <c r="E561" s="17"/>
      <c r="F561" s="17" t="s">
        <v>830</v>
      </c>
      <c r="G561" s="18">
        <v>70000.0</v>
      </c>
      <c r="H561" s="19" t="s">
        <v>3952</v>
      </c>
      <c r="I561" s="20"/>
      <c r="J561" s="20"/>
      <c r="K561" s="20"/>
      <c r="L561" s="21"/>
      <c r="M561" s="22"/>
      <c r="N561" s="22"/>
      <c r="O561" s="22"/>
      <c r="P561" s="22"/>
      <c r="Q561" s="22"/>
      <c r="R561" s="22"/>
      <c r="S561" s="22"/>
      <c r="T561" s="23"/>
    </row>
    <row r="562">
      <c r="A562" s="24" t="s">
        <v>3934</v>
      </c>
      <c r="B562" s="25" t="s">
        <v>3935</v>
      </c>
      <c r="C562" s="25" t="s">
        <v>364</v>
      </c>
      <c r="D562" s="17" t="str">
        <f>vlookup(C562,'1. 신청자리스트'!J:N,2,false)</f>
        <v>정상</v>
      </c>
      <c r="E562" s="25"/>
      <c r="F562" s="25" t="s">
        <v>3506</v>
      </c>
      <c r="G562" s="26">
        <v>35000.0</v>
      </c>
      <c r="H562" s="27" t="s">
        <v>3948</v>
      </c>
      <c r="I562" s="28"/>
      <c r="J562" s="28"/>
      <c r="K562" s="28"/>
      <c r="L562" s="29"/>
      <c r="M562" s="22"/>
      <c r="N562" s="22"/>
      <c r="O562" s="22"/>
      <c r="P562" s="22"/>
      <c r="Q562" s="22"/>
      <c r="R562" s="22"/>
      <c r="S562" s="22"/>
      <c r="T562" s="23"/>
    </row>
    <row r="563">
      <c r="A563" s="24" t="s">
        <v>3980</v>
      </c>
      <c r="B563" s="25" t="s">
        <v>3935</v>
      </c>
      <c r="C563" s="25" t="s">
        <v>365</v>
      </c>
      <c r="D563" s="17" t="str">
        <f>vlookup(C563,'1. 신청자리스트'!J:N,2,false)</f>
        <v>정상</v>
      </c>
      <c r="E563" s="25"/>
      <c r="F563" s="25" t="s">
        <v>4251</v>
      </c>
      <c r="G563" s="26">
        <v>35000.0</v>
      </c>
      <c r="H563" s="27" t="s">
        <v>3983</v>
      </c>
      <c r="I563" s="28"/>
      <c r="J563" s="28"/>
      <c r="K563" s="28"/>
      <c r="L563" s="29"/>
      <c r="M563" s="22"/>
      <c r="N563" s="22"/>
      <c r="O563" s="22"/>
      <c r="P563" s="22"/>
      <c r="Q563" s="22"/>
      <c r="R563" s="22"/>
      <c r="S563" s="22"/>
      <c r="T563" s="23"/>
    </row>
    <row r="564">
      <c r="A564" s="16" t="s">
        <v>3931</v>
      </c>
      <c r="B564" s="17" t="s">
        <v>3935</v>
      </c>
      <c r="C564" s="17" t="s">
        <v>366</v>
      </c>
      <c r="D564" s="17" t="str">
        <f>vlookup(C564,'1. 신청자리스트'!J:N,2,false)</f>
        <v>정상</v>
      </c>
      <c r="E564" s="17"/>
      <c r="F564" s="17" t="s">
        <v>366</v>
      </c>
      <c r="G564" s="18">
        <v>35000.0</v>
      </c>
      <c r="H564" s="19" t="s">
        <v>3941</v>
      </c>
      <c r="I564" s="20"/>
      <c r="J564" s="20"/>
      <c r="K564" s="20"/>
      <c r="L564" s="21"/>
      <c r="M564" s="22"/>
      <c r="N564" s="22"/>
      <c r="O564" s="22"/>
      <c r="P564" s="22"/>
      <c r="Q564" s="22"/>
      <c r="R564" s="22"/>
      <c r="S564" s="22"/>
      <c r="T564" s="23"/>
    </row>
    <row r="565">
      <c r="A565" s="24" t="s">
        <v>4002</v>
      </c>
      <c r="B565" s="25" t="s">
        <v>3932</v>
      </c>
      <c r="C565" s="25" t="s">
        <v>832</v>
      </c>
      <c r="D565" s="17" t="str">
        <f>vlookup(C565,'1. 신청자리스트'!J:N,2,false)</f>
        <v>정상</v>
      </c>
      <c r="E565" s="25"/>
      <c r="F565" s="25" t="s">
        <v>1955</v>
      </c>
      <c r="G565" s="26">
        <v>70000.0</v>
      </c>
      <c r="H565" s="27" t="s">
        <v>4252</v>
      </c>
      <c r="I565" s="28"/>
      <c r="J565" s="28"/>
      <c r="K565" s="28"/>
      <c r="L565" s="29"/>
      <c r="M565" s="22"/>
      <c r="N565" s="22"/>
      <c r="O565" s="22"/>
      <c r="P565" s="22"/>
      <c r="Q565" s="22"/>
      <c r="R565" s="22"/>
      <c r="S565" s="22"/>
      <c r="T565" s="23"/>
    </row>
    <row r="566">
      <c r="A566" s="16" t="s">
        <v>3931</v>
      </c>
      <c r="B566" s="17" t="s">
        <v>3935</v>
      </c>
      <c r="C566" s="17" t="s">
        <v>367</v>
      </c>
      <c r="D566" s="17" t="str">
        <f>vlookup(C566,'1. 신청자리스트'!J:N,2,false)</f>
        <v>정상</v>
      </c>
      <c r="E566" s="17"/>
      <c r="F566" s="17" t="s">
        <v>367</v>
      </c>
      <c r="G566" s="18">
        <v>35000.0</v>
      </c>
      <c r="H566" s="19" t="s">
        <v>3948</v>
      </c>
      <c r="I566" s="20"/>
      <c r="J566" s="20"/>
      <c r="K566" s="20"/>
      <c r="L566" s="21"/>
      <c r="M566" s="22"/>
      <c r="N566" s="22"/>
      <c r="O566" s="22"/>
      <c r="P566" s="22"/>
      <c r="Q566" s="22"/>
      <c r="R566" s="22"/>
      <c r="S566" s="22"/>
      <c r="T566" s="23"/>
    </row>
    <row r="567">
      <c r="A567" s="24" t="s">
        <v>3955</v>
      </c>
      <c r="B567" s="25" t="s">
        <v>3935</v>
      </c>
      <c r="C567" s="25" t="s">
        <v>368</v>
      </c>
      <c r="D567" s="17" t="str">
        <f>vlookup(C567,'1. 신청자리스트'!J:N,2,false)</f>
        <v>정상</v>
      </c>
      <c r="E567" s="25"/>
      <c r="F567" s="25" t="s">
        <v>3512</v>
      </c>
      <c r="G567" s="26">
        <v>35000.0</v>
      </c>
      <c r="H567" s="27" t="s">
        <v>3948</v>
      </c>
      <c r="I567" s="28"/>
      <c r="J567" s="28"/>
      <c r="K567" s="28"/>
      <c r="L567" s="29"/>
      <c r="M567" s="22"/>
      <c r="N567" s="22"/>
      <c r="O567" s="22"/>
      <c r="P567" s="22"/>
      <c r="Q567" s="22"/>
      <c r="R567" s="22"/>
      <c r="S567" s="22"/>
      <c r="T567" s="23"/>
    </row>
    <row r="568">
      <c r="A568" s="16" t="s">
        <v>3942</v>
      </c>
      <c r="B568" s="17" t="s">
        <v>3935</v>
      </c>
      <c r="C568" s="17" t="s">
        <v>369</v>
      </c>
      <c r="D568" s="17" t="str">
        <f>vlookup(C568,'1. 신청자리스트'!J:N,2,false)</f>
        <v>정상</v>
      </c>
      <c r="E568" s="17"/>
      <c r="F568" s="17" t="s">
        <v>369</v>
      </c>
      <c r="G568" s="18">
        <v>35000.0</v>
      </c>
      <c r="H568" s="19" t="s">
        <v>3983</v>
      </c>
      <c r="I568" s="20"/>
      <c r="J568" s="20"/>
      <c r="K568" s="20"/>
      <c r="L568" s="21"/>
      <c r="M568" s="22"/>
      <c r="N568" s="22"/>
      <c r="O568" s="22"/>
      <c r="P568" s="22"/>
      <c r="Q568" s="22"/>
      <c r="R568" s="22"/>
      <c r="S568" s="22"/>
      <c r="T568" s="23"/>
    </row>
    <row r="569">
      <c r="A569" s="16" t="s">
        <v>3989</v>
      </c>
      <c r="B569" s="17" t="s">
        <v>3935</v>
      </c>
      <c r="C569" s="17" t="s">
        <v>370</v>
      </c>
      <c r="D569" s="17" t="str">
        <f>vlookup(C569,'1. 신청자리스트'!J:N,2,false)</f>
        <v>정상</v>
      </c>
      <c r="E569" s="17"/>
      <c r="F569" s="17" t="s">
        <v>370</v>
      </c>
      <c r="G569" s="18">
        <v>35000.0</v>
      </c>
      <c r="H569" s="19" t="s">
        <v>3948</v>
      </c>
      <c r="I569" s="20"/>
      <c r="J569" s="20"/>
      <c r="K569" s="20"/>
      <c r="L569" s="21"/>
      <c r="M569" s="22"/>
      <c r="N569" s="22"/>
      <c r="O569" s="22"/>
      <c r="P569" s="22"/>
      <c r="Q569" s="22"/>
      <c r="R569" s="22"/>
      <c r="S569" s="22"/>
      <c r="T569" s="23"/>
    </row>
    <row r="570">
      <c r="A570" s="24" t="s">
        <v>4150</v>
      </c>
      <c r="B570" s="25" t="s">
        <v>3935</v>
      </c>
      <c r="C570" s="25" t="s">
        <v>371</v>
      </c>
      <c r="D570" s="17" t="str">
        <f>vlookup(C570,'1. 신청자리스트'!J:N,2,false)</f>
        <v>정상</v>
      </c>
      <c r="E570" s="25"/>
      <c r="F570" s="25" t="s">
        <v>3518</v>
      </c>
      <c r="G570" s="26">
        <v>35000.0</v>
      </c>
      <c r="H570" s="27" t="s">
        <v>3948</v>
      </c>
      <c r="I570" s="28"/>
      <c r="J570" s="28"/>
      <c r="K570" s="28"/>
      <c r="L570" s="29"/>
      <c r="M570" s="22"/>
      <c r="N570" s="22"/>
      <c r="O570" s="22"/>
      <c r="P570" s="22"/>
      <c r="Q570" s="22"/>
      <c r="R570" s="22"/>
      <c r="S570" s="22"/>
      <c r="T570" s="23"/>
    </row>
    <row r="571">
      <c r="A571" s="16" t="s">
        <v>3940</v>
      </c>
      <c r="B571" s="17" t="s">
        <v>3935</v>
      </c>
      <c r="C571" s="17" t="s">
        <v>833</v>
      </c>
      <c r="D571" s="17" t="str">
        <f>vlookup(C571,'1. 신청자리스트'!J:N,2,false)</f>
        <v>정상</v>
      </c>
      <c r="E571" s="17"/>
      <c r="F571" s="17" t="s">
        <v>833</v>
      </c>
      <c r="G571" s="18">
        <v>70000.0</v>
      </c>
      <c r="H571" s="19" t="s">
        <v>4006</v>
      </c>
      <c r="I571" s="20"/>
      <c r="J571" s="20"/>
      <c r="K571" s="20"/>
      <c r="L571" s="21"/>
      <c r="M571" s="22"/>
      <c r="N571" s="22"/>
      <c r="O571" s="22"/>
      <c r="P571" s="22"/>
      <c r="Q571" s="22"/>
      <c r="R571" s="22"/>
      <c r="S571" s="22"/>
      <c r="T571" s="23"/>
    </row>
    <row r="572">
      <c r="A572" s="24" t="s">
        <v>3985</v>
      </c>
      <c r="B572" s="25" t="s">
        <v>3935</v>
      </c>
      <c r="C572" s="25" t="s">
        <v>834</v>
      </c>
      <c r="D572" s="17" t="str">
        <f>vlookup(C572,'1. 신청자리스트'!J:N,2,false)</f>
        <v>정상</v>
      </c>
      <c r="E572" s="25"/>
      <c r="F572" s="25" t="s">
        <v>1008</v>
      </c>
      <c r="G572" s="26">
        <v>70000.0</v>
      </c>
      <c r="H572" s="27" t="s">
        <v>3946</v>
      </c>
      <c r="I572" s="28"/>
      <c r="J572" s="28"/>
      <c r="K572" s="28"/>
      <c r="L572" s="29"/>
      <c r="M572" s="22"/>
      <c r="N572" s="22"/>
      <c r="O572" s="22"/>
      <c r="P572" s="22"/>
      <c r="Q572" s="22"/>
      <c r="R572" s="22"/>
      <c r="S572" s="22"/>
      <c r="T572" s="23"/>
    </row>
    <row r="573">
      <c r="A573" s="16" t="s">
        <v>3940</v>
      </c>
      <c r="B573" s="17" t="s">
        <v>3932</v>
      </c>
      <c r="C573" s="17" t="s">
        <v>372</v>
      </c>
      <c r="D573" s="17" t="str">
        <f>vlookup(C573,'1. 신청자리스트'!J:N,2,false)</f>
        <v>정상</v>
      </c>
      <c r="E573" s="17"/>
      <c r="F573" s="17" t="s">
        <v>372</v>
      </c>
      <c r="G573" s="18">
        <v>35000.0</v>
      </c>
      <c r="H573" s="19" t="s">
        <v>4253</v>
      </c>
      <c r="I573" s="20"/>
      <c r="J573" s="20"/>
      <c r="K573" s="20"/>
      <c r="L573" s="21"/>
      <c r="M573" s="22"/>
      <c r="N573" s="22"/>
      <c r="O573" s="22"/>
      <c r="P573" s="22"/>
      <c r="Q573" s="22"/>
      <c r="R573" s="22"/>
      <c r="S573" s="22"/>
      <c r="T573" s="23"/>
    </row>
    <row r="574">
      <c r="A574" s="24" t="s">
        <v>3945</v>
      </c>
      <c r="B574" s="25" t="s">
        <v>3935</v>
      </c>
      <c r="C574" s="25" t="s">
        <v>374</v>
      </c>
      <c r="D574" s="17" t="str">
        <f>vlookup(C574,'1. 신청자리스트'!J:N,2,false)</f>
        <v>중복</v>
      </c>
      <c r="E574" s="25"/>
      <c r="F574" s="25" t="s">
        <v>4254</v>
      </c>
      <c r="G574" s="26">
        <v>70000.0</v>
      </c>
      <c r="H574" s="27" t="s">
        <v>3948</v>
      </c>
      <c r="I574" s="28"/>
      <c r="J574" s="28"/>
      <c r="K574" s="28"/>
      <c r="L574" s="29"/>
      <c r="M574" s="22"/>
      <c r="N574" s="22"/>
      <c r="O574" s="22"/>
      <c r="P574" s="22"/>
      <c r="Q574" s="22"/>
      <c r="R574" s="22"/>
      <c r="S574" s="22"/>
      <c r="T574" s="23"/>
    </row>
    <row r="575">
      <c r="A575" s="24" t="s">
        <v>3938</v>
      </c>
      <c r="B575" s="25" t="s">
        <v>3935</v>
      </c>
      <c r="C575" s="25" t="s">
        <v>836</v>
      </c>
      <c r="D575" s="17" t="str">
        <f>vlookup(C575,'1. 신청자리스트'!J:N,2,false)</f>
        <v>정상</v>
      </c>
      <c r="E575" s="25"/>
      <c r="F575" s="25" t="s">
        <v>1889</v>
      </c>
      <c r="G575" s="26">
        <v>70000.0</v>
      </c>
      <c r="H575" s="27" t="s">
        <v>3983</v>
      </c>
      <c r="I575" s="28"/>
      <c r="J575" s="28"/>
      <c r="K575" s="28"/>
      <c r="L575" s="29"/>
      <c r="M575" s="22"/>
      <c r="N575" s="22"/>
      <c r="O575" s="22"/>
      <c r="P575" s="22"/>
      <c r="Q575" s="22"/>
      <c r="R575" s="22"/>
      <c r="S575" s="22"/>
      <c r="T575" s="23"/>
    </row>
    <row r="576">
      <c r="A576" s="16" t="s">
        <v>4255</v>
      </c>
      <c r="B576" s="17" t="s">
        <v>4032</v>
      </c>
      <c r="C576" s="17" t="s">
        <v>837</v>
      </c>
      <c r="D576" s="17" t="str">
        <f>vlookup(C576,'1. 신청자리스트'!J:N,2,false)</f>
        <v>정상</v>
      </c>
      <c r="E576" s="17"/>
      <c r="F576" s="17" t="s">
        <v>837</v>
      </c>
      <c r="G576" s="18">
        <v>70000.0</v>
      </c>
      <c r="H576" s="19" t="s">
        <v>4118</v>
      </c>
      <c r="I576" s="20"/>
      <c r="J576" s="20"/>
      <c r="K576" s="20"/>
      <c r="L576" s="21"/>
      <c r="M576" s="22"/>
      <c r="N576" s="22"/>
      <c r="O576" s="22"/>
      <c r="P576" s="22"/>
      <c r="Q576" s="22"/>
      <c r="R576" s="22"/>
      <c r="S576" s="22"/>
      <c r="T576" s="23"/>
    </row>
    <row r="577">
      <c r="A577" s="16" t="s">
        <v>3942</v>
      </c>
      <c r="B577" s="17" t="s">
        <v>3935</v>
      </c>
      <c r="C577" s="17" t="s">
        <v>375</v>
      </c>
      <c r="D577" s="17" t="str">
        <f>vlookup(C577,'1. 신청자리스트'!J:N,2,false)</f>
        <v>정상</v>
      </c>
      <c r="E577" s="17"/>
      <c r="F577" s="17" t="s">
        <v>375</v>
      </c>
      <c r="G577" s="18">
        <v>35000.0</v>
      </c>
      <c r="H577" s="19" t="s">
        <v>3941</v>
      </c>
      <c r="I577" s="20"/>
      <c r="J577" s="20"/>
      <c r="K577" s="20"/>
      <c r="L577" s="21"/>
      <c r="M577" s="22"/>
      <c r="N577" s="22"/>
      <c r="O577" s="22"/>
      <c r="P577" s="22"/>
      <c r="Q577" s="22"/>
      <c r="R577" s="22"/>
      <c r="S577" s="22"/>
      <c r="T577" s="23"/>
    </row>
    <row r="578">
      <c r="A578" s="16" t="s">
        <v>3940</v>
      </c>
      <c r="B578" s="17" t="s">
        <v>3935</v>
      </c>
      <c r="C578" s="17" t="s">
        <v>376</v>
      </c>
      <c r="D578" s="17" t="str">
        <f>vlookup(C578,'1. 신청자리스트'!J:N,2,false)</f>
        <v>정상</v>
      </c>
      <c r="E578" s="17"/>
      <c r="F578" s="17" t="s">
        <v>376</v>
      </c>
      <c r="G578" s="18">
        <v>35000.0</v>
      </c>
      <c r="H578" s="19" t="s">
        <v>3941</v>
      </c>
      <c r="I578" s="20"/>
      <c r="J578" s="20"/>
      <c r="K578" s="20"/>
      <c r="L578" s="21"/>
      <c r="M578" s="22"/>
      <c r="N578" s="22"/>
      <c r="O578" s="22"/>
      <c r="P578" s="22"/>
      <c r="Q578" s="22"/>
      <c r="R578" s="22"/>
      <c r="S578" s="22"/>
      <c r="T578" s="23"/>
    </row>
    <row r="579">
      <c r="A579" s="24" t="s">
        <v>3940</v>
      </c>
      <c r="B579" s="25" t="s">
        <v>3935</v>
      </c>
      <c r="C579" s="25" t="s">
        <v>839</v>
      </c>
      <c r="D579" s="17" t="str">
        <f>vlookup(C579,'1. 신청자리스트'!J:N,2,false)</f>
        <v>정상</v>
      </c>
      <c r="E579" s="25"/>
      <c r="F579" s="25" t="s">
        <v>1700</v>
      </c>
      <c r="G579" s="26">
        <v>70000.0</v>
      </c>
      <c r="H579" s="27" t="s">
        <v>3983</v>
      </c>
      <c r="I579" s="28"/>
      <c r="J579" s="28"/>
      <c r="K579" s="28"/>
      <c r="L579" s="29"/>
      <c r="M579" s="22"/>
      <c r="N579" s="22"/>
      <c r="O579" s="22"/>
      <c r="P579" s="22"/>
      <c r="Q579" s="22"/>
      <c r="R579" s="22"/>
      <c r="S579" s="22"/>
      <c r="T579" s="23"/>
    </row>
    <row r="580">
      <c r="A580" s="16" t="s">
        <v>3942</v>
      </c>
      <c r="B580" s="17" t="s">
        <v>3935</v>
      </c>
      <c r="C580" s="17" t="s">
        <v>378</v>
      </c>
      <c r="D580" s="17" t="str">
        <f>vlookup(C580,'1. 신청자리스트'!J:N,2,false)</f>
        <v>정상</v>
      </c>
      <c r="E580" s="17"/>
      <c r="F580" s="17" t="s">
        <v>378</v>
      </c>
      <c r="G580" s="18">
        <v>35000.0</v>
      </c>
      <c r="H580" s="19" t="s">
        <v>3948</v>
      </c>
      <c r="I580" s="20"/>
      <c r="J580" s="20"/>
      <c r="K580" s="20"/>
      <c r="L580" s="21"/>
      <c r="M580" s="22"/>
      <c r="N580" s="22"/>
      <c r="O580" s="22"/>
      <c r="P580" s="22"/>
      <c r="Q580" s="22"/>
      <c r="R580" s="22"/>
      <c r="S580" s="22"/>
      <c r="T580" s="23"/>
    </row>
    <row r="581">
      <c r="A581" s="30" t="s">
        <v>4170</v>
      </c>
      <c r="B581" s="31" t="s">
        <v>3935</v>
      </c>
      <c r="C581" s="31" t="s">
        <v>4256</v>
      </c>
      <c r="D581" s="17" t="str">
        <f>vlookup(C581,'1. 신청자리스트'!J:N,2,false)</f>
        <v>정상</v>
      </c>
      <c r="E581" s="31"/>
      <c r="F581" s="31" t="s">
        <v>3859</v>
      </c>
      <c r="G581" s="32">
        <v>70000.0</v>
      </c>
      <c r="H581" s="33" t="s">
        <v>3983</v>
      </c>
      <c r="I581" s="34" t="str">
        <f>VLOOKUP(C581, '문의'!D:E, 2, FALSE)</f>
        <v>[기타문의] 09시32분에 7만원 입금했는데 이름뒤에 전화 뒷자리를 못 썼어요 이재민2527입니다 
 동반자는 최수남(010,3382,3313)입니다</v>
      </c>
      <c r="J581" s="34">
        <v>1.090112527E9</v>
      </c>
      <c r="K581" s="36" t="s">
        <v>3957</v>
      </c>
      <c r="L581" s="37" t="s">
        <v>4257</v>
      </c>
      <c r="M581" s="42"/>
      <c r="N581" s="42"/>
      <c r="O581" s="42"/>
      <c r="P581" s="42"/>
      <c r="Q581" s="42"/>
      <c r="R581" s="44"/>
      <c r="S581" s="42"/>
      <c r="T581" s="41"/>
    </row>
    <row r="582">
      <c r="A582" s="24" t="s">
        <v>3945</v>
      </c>
      <c r="B582" s="25" t="s">
        <v>3935</v>
      </c>
      <c r="C582" s="25" t="s">
        <v>840</v>
      </c>
      <c r="D582" s="17" t="str">
        <f>vlookup(C582,'1. 신청자리스트'!J:N,2,false)</f>
        <v>정상</v>
      </c>
      <c r="E582" s="25"/>
      <c r="F582" s="25" t="s">
        <v>2670</v>
      </c>
      <c r="G582" s="26">
        <v>70000.0</v>
      </c>
      <c r="H582" s="27" t="s">
        <v>3946</v>
      </c>
      <c r="I582" s="28"/>
      <c r="J582" s="28"/>
      <c r="K582" s="28"/>
      <c r="L582" s="29"/>
      <c r="M582" s="22"/>
      <c r="N582" s="22"/>
      <c r="O582" s="22"/>
      <c r="P582" s="22"/>
      <c r="Q582" s="22"/>
      <c r="R582" s="22"/>
      <c r="S582" s="22"/>
      <c r="T582" s="23"/>
    </row>
    <row r="583">
      <c r="A583" s="24" t="s">
        <v>3945</v>
      </c>
      <c r="B583" s="25" t="s">
        <v>3932</v>
      </c>
      <c r="C583" s="25" t="s">
        <v>841</v>
      </c>
      <c r="D583" s="17" t="str">
        <f>vlookup(C583,'1. 신청자리스트'!J:N,2,false)</f>
        <v>정상</v>
      </c>
      <c r="E583" s="25"/>
      <c r="F583" s="25" t="s">
        <v>2639</v>
      </c>
      <c r="G583" s="26">
        <v>70000.0</v>
      </c>
      <c r="H583" s="27" t="s">
        <v>4258</v>
      </c>
      <c r="I583" s="28"/>
      <c r="J583" s="28"/>
      <c r="K583" s="28"/>
      <c r="L583" s="29"/>
      <c r="M583" s="22"/>
      <c r="N583" s="22"/>
      <c r="O583" s="22"/>
      <c r="P583" s="22"/>
      <c r="Q583" s="22"/>
      <c r="R583" s="22"/>
      <c r="S583" s="22"/>
      <c r="T583" s="23"/>
    </row>
    <row r="584">
      <c r="A584" s="24" t="s">
        <v>3949</v>
      </c>
      <c r="B584" s="25" t="s">
        <v>3935</v>
      </c>
      <c r="C584" s="25" t="s">
        <v>380</v>
      </c>
      <c r="D584" s="17" t="str">
        <f>vlookup(C584,'1. 신청자리스트'!J:N,2,false)</f>
        <v>정상</v>
      </c>
      <c r="E584" s="25"/>
      <c r="F584" s="25" t="s">
        <v>3528</v>
      </c>
      <c r="G584" s="26">
        <v>35000.0</v>
      </c>
      <c r="H584" s="27" t="s">
        <v>3946</v>
      </c>
      <c r="I584" s="28"/>
      <c r="J584" s="28"/>
      <c r="K584" s="28"/>
      <c r="L584" s="29"/>
      <c r="M584" s="22"/>
      <c r="N584" s="22"/>
      <c r="O584" s="22"/>
      <c r="P584" s="22"/>
      <c r="Q584" s="22"/>
      <c r="R584" s="22"/>
      <c r="S584" s="22"/>
      <c r="T584" s="23"/>
    </row>
    <row r="585">
      <c r="A585" s="16" t="s">
        <v>3940</v>
      </c>
      <c r="B585" s="17" t="s">
        <v>3932</v>
      </c>
      <c r="C585" s="17" t="s">
        <v>381</v>
      </c>
      <c r="D585" s="17" t="str">
        <f>vlookup(C585,'1. 신청자리스트'!J:N,2,false)</f>
        <v>정상</v>
      </c>
      <c r="E585" s="17"/>
      <c r="F585" s="17" t="s">
        <v>381</v>
      </c>
      <c r="G585" s="18">
        <v>35000.0</v>
      </c>
      <c r="H585" s="19" t="s">
        <v>4214</v>
      </c>
      <c r="I585" s="20"/>
      <c r="J585" s="20"/>
      <c r="K585" s="20"/>
      <c r="L585" s="21"/>
      <c r="M585" s="22"/>
      <c r="N585" s="22"/>
      <c r="O585" s="22"/>
      <c r="P585" s="22"/>
      <c r="Q585" s="22"/>
      <c r="R585" s="22"/>
      <c r="S585" s="22"/>
      <c r="T585" s="23"/>
    </row>
    <row r="586">
      <c r="A586" s="16" t="s">
        <v>3931</v>
      </c>
      <c r="B586" s="17" t="s">
        <v>3935</v>
      </c>
      <c r="C586" s="17" t="s">
        <v>382</v>
      </c>
      <c r="D586" s="17" t="str">
        <f>vlookup(C586,'1. 신청자리스트'!J:N,2,false)</f>
        <v>정상</v>
      </c>
      <c r="E586" s="17"/>
      <c r="F586" s="17" t="s">
        <v>382</v>
      </c>
      <c r="G586" s="18">
        <v>35000.0</v>
      </c>
      <c r="H586" s="19" t="s">
        <v>3939</v>
      </c>
      <c r="I586" s="20"/>
      <c r="J586" s="20"/>
      <c r="K586" s="20"/>
      <c r="L586" s="21"/>
      <c r="M586" s="22"/>
      <c r="N586" s="22"/>
      <c r="O586" s="22"/>
      <c r="P586" s="22"/>
      <c r="Q586" s="22"/>
      <c r="R586" s="22"/>
      <c r="S586" s="22"/>
      <c r="T586" s="23"/>
    </row>
    <row r="587">
      <c r="A587" s="24" t="s">
        <v>3945</v>
      </c>
      <c r="B587" s="25" t="s">
        <v>3935</v>
      </c>
      <c r="C587" s="25" t="s">
        <v>843</v>
      </c>
      <c r="D587" s="17" t="str">
        <f>vlookup(C587,'1. 신청자리스트'!J:N,2,false)</f>
        <v>정상</v>
      </c>
      <c r="E587" s="25"/>
      <c r="F587" s="25" t="s">
        <v>2132</v>
      </c>
      <c r="G587" s="26">
        <v>70000.0</v>
      </c>
      <c r="H587" s="27" t="s">
        <v>3946</v>
      </c>
      <c r="I587" s="28"/>
      <c r="J587" s="28"/>
      <c r="K587" s="28"/>
      <c r="L587" s="29"/>
      <c r="M587" s="22"/>
      <c r="N587" s="22"/>
      <c r="O587" s="22"/>
      <c r="P587" s="22"/>
      <c r="Q587" s="22"/>
      <c r="R587" s="22"/>
      <c r="S587" s="22"/>
      <c r="T587" s="23"/>
    </row>
    <row r="588">
      <c r="A588" s="16" t="s">
        <v>3962</v>
      </c>
      <c r="B588" s="17" t="s">
        <v>3935</v>
      </c>
      <c r="C588" s="17" t="s">
        <v>845</v>
      </c>
      <c r="D588" s="17" t="str">
        <f>vlookup(C588,'1. 신청자리스트'!J:N,2,false)</f>
        <v>정상</v>
      </c>
      <c r="E588" s="17"/>
      <c r="F588" s="17" t="s">
        <v>4259</v>
      </c>
      <c r="G588" s="18">
        <v>70000.0</v>
      </c>
      <c r="H588" s="19" t="s">
        <v>3995</v>
      </c>
      <c r="I588" s="20"/>
      <c r="J588" s="20"/>
      <c r="K588" s="20"/>
      <c r="L588" s="21"/>
      <c r="M588" s="22"/>
      <c r="N588" s="22"/>
      <c r="O588" s="22"/>
      <c r="P588" s="22"/>
      <c r="Q588" s="22"/>
      <c r="R588" s="22"/>
      <c r="S588" s="22"/>
      <c r="T588" s="23"/>
    </row>
    <row r="589">
      <c r="A589" s="24" t="s">
        <v>3945</v>
      </c>
      <c r="B589" s="25" t="s">
        <v>3935</v>
      </c>
      <c r="C589" s="25" t="s">
        <v>846</v>
      </c>
      <c r="D589" s="17" t="str">
        <f>vlookup(C589,'1. 신청자리스트'!J:N,2,false)</f>
        <v>정상</v>
      </c>
      <c r="E589" s="25"/>
      <c r="F589" s="25" t="s">
        <v>1731</v>
      </c>
      <c r="G589" s="26">
        <v>70000.0</v>
      </c>
      <c r="H589" s="27" t="s">
        <v>3948</v>
      </c>
      <c r="I589" s="28"/>
      <c r="J589" s="28"/>
      <c r="K589" s="28"/>
      <c r="L589" s="29"/>
      <c r="M589" s="22"/>
      <c r="N589" s="22"/>
      <c r="O589" s="22"/>
      <c r="P589" s="22"/>
      <c r="Q589" s="22"/>
      <c r="R589" s="22"/>
      <c r="S589" s="22"/>
      <c r="T589" s="23"/>
    </row>
    <row r="590">
      <c r="A590" s="16" t="s">
        <v>3955</v>
      </c>
      <c r="B590" s="17" t="s">
        <v>3935</v>
      </c>
      <c r="C590" s="17" t="s">
        <v>847</v>
      </c>
      <c r="D590" s="17" t="str">
        <f>vlookup(C590,'1. 신청자리스트'!J:N,2,false)</f>
        <v>정상</v>
      </c>
      <c r="E590" s="17"/>
      <c r="F590" s="17" t="s">
        <v>847</v>
      </c>
      <c r="G590" s="18">
        <v>70000.0</v>
      </c>
      <c r="H590" s="19" t="s">
        <v>3983</v>
      </c>
      <c r="I590" s="20"/>
      <c r="J590" s="20"/>
      <c r="K590" s="20"/>
      <c r="L590" s="21"/>
      <c r="M590" s="22"/>
      <c r="N590" s="22"/>
      <c r="O590" s="22"/>
      <c r="P590" s="22"/>
      <c r="Q590" s="22"/>
      <c r="R590" s="22"/>
      <c r="S590" s="22"/>
      <c r="T590" s="23"/>
    </row>
    <row r="591">
      <c r="A591" s="16" t="s">
        <v>4260</v>
      </c>
      <c r="B591" s="17" t="s">
        <v>3935</v>
      </c>
      <c r="C591" s="17" t="s">
        <v>848</v>
      </c>
      <c r="D591" s="17" t="str">
        <f>vlookup(C591,'1. 신청자리스트'!J:N,2,false)</f>
        <v>정상</v>
      </c>
      <c r="E591" s="17"/>
      <c r="F591" s="17" t="s">
        <v>4261</v>
      </c>
      <c r="G591" s="18">
        <v>70000.0</v>
      </c>
      <c r="H591" s="19" t="s">
        <v>3983</v>
      </c>
      <c r="I591" s="20"/>
      <c r="J591" s="20"/>
      <c r="K591" s="20"/>
      <c r="L591" s="21"/>
      <c r="M591" s="22"/>
      <c r="N591" s="22"/>
      <c r="O591" s="22"/>
      <c r="P591" s="22"/>
      <c r="Q591" s="22"/>
      <c r="R591" s="22"/>
      <c r="S591" s="22"/>
      <c r="T591" s="23"/>
    </row>
    <row r="592">
      <c r="A592" s="16" t="s">
        <v>3931</v>
      </c>
      <c r="B592" s="17" t="s">
        <v>3935</v>
      </c>
      <c r="C592" s="17" t="s">
        <v>849</v>
      </c>
      <c r="D592" s="17" t="str">
        <f>vlookup(C592,'1. 신청자리스트'!J:N,2,false)</f>
        <v>정상</v>
      </c>
      <c r="E592" s="17"/>
      <c r="F592" s="17" t="s">
        <v>849</v>
      </c>
      <c r="G592" s="18">
        <v>70000.0</v>
      </c>
      <c r="H592" s="19" t="s">
        <v>3948</v>
      </c>
      <c r="I592" s="20"/>
      <c r="J592" s="20"/>
      <c r="K592" s="20"/>
      <c r="L592" s="21"/>
      <c r="M592" s="22"/>
      <c r="N592" s="22"/>
      <c r="O592" s="22"/>
      <c r="P592" s="22"/>
      <c r="Q592" s="22"/>
      <c r="R592" s="22"/>
      <c r="S592" s="22"/>
      <c r="T592" s="23"/>
    </row>
    <row r="593">
      <c r="A593" s="16" t="s">
        <v>4262</v>
      </c>
      <c r="B593" s="17" t="s">
        <v>3935</v>
      </c>
      <c r="C593" s="17" t="s">
        <v>384</v>
      </c>
      <c r="D593" s="17" t="str">
        <f>vlookup(C593,'1. 신청자리스트'!J:N,2,false)</f>
        <v>정상</v>
      </c>
      <c r="E593" s="17"/>
      <c r="F593" s="17" t="s">
        <v>384</v>
      </c>
      <c r="G593" s="18">
        <v>35000.0</v>
      </c>
      <c r="H593" s="19" t="s">
        <v>3948</v>
      </c>
      <c r="I593" s="20"/>
      <c r="J593" s="20"/>
      <c r="K593" s="20"/>
      <c r="L593" s="21"/>
      <c r="M593" s="22"/>
      <c r="N593" s="22"/>
      <c r="O593" s="22"/>
      <c r="P593" s="22"/>
      <c r="Q593" s="22"/>
      <c r="R593" s="22"/>
      <c r="S593" s="22"/>
      <c r="T593" s="23"/>
    </row>
    <row r="594">
      <c r="A594" s="24" t="s">
        <v>3962</v>
      </c>
      <c r="B594" s="25" t="s">
        <v>3935</v>
      </c>
      <c r="C594" s="25" t="s">
        <v>850</v>
      </c>
      <c r="D594" s="17" t="str">
        <f>vlookup(C594,'1. 신청자리스트'!J:N,2,false)</f>
        <v>정상</v>
      </c>
      <c r="E594" s="25"/>
      <c r="F594" s="25" t="s">
        <v>4263</v>
      </c>
      <c r="G594" s="26">
        <v>70000.0</v>
      </c>
      <c r="H594" s="27" t="s">
        <v>3948</v>
      </c>
      <c r="I594" s="28"/>
      <c r="J594" s="28"/>
      <c r="K594" s="28"/>
      <c r="L594" s="29"/>
      <c r="M594" s="22"/>
      <c r="N594" s="22"/>
      <c r="O594" s="22"/>
      <c r="P594" s="22"/>
      <c r="Q594" s="22"/>
      <c r="R594" s="22"/>
      <c r="S594" s="22"/>
      <c r="T594" s="23"/>
    </row>
    <row r="595">
      <c r="A595" s="24" t="s">
        <v>3945</v>
      </c>
      <c r="B595" s="25" t="s">
        <v>3935</v>
      </c>
      <c r="C595" s="25" t="s">
        <v>851</v>
      </c>
      <c r="D595" s="17" t="str">
        <f>vlookup(C595,'1. 신청자리스트'!J:N,2,false)</f>
        <v>정상</v>
      </c>
      <c r="E595" s="25"/>
      <c r="F595" s="25" t="s">
        <v>2503</v>
      </c>
      <c r="G595" s="26">
        <v>70000.0</v>
      </c>
      <c r="H595" s="27" t="s">
        <v>3948</v>
      </c>
      <c r="I595" s="28"/>
      <c r="J595" s="28"/>
      <c r="K595" s="28"/>
      <c r="L595" s="29"/>
      <c r="M595" s="22"/>
      <c r="N595" s="22"/>
      <c r="O595" s="22"/>
      <c r="P595" s="22"/>
      <c r="Q595" s="22"/>
      <c r="R595" s="22"/>
      <c r="S595" s="22"/>
      <c r="T595" s="23"/>
    </row>
    <row r="596">
      <c r="A596" s="16" t="s">
        <v>3985</v>
      </c>
      <c r="B596" s="17" t="s">
        <v>3935</v>
      </c>
      <c r="C596" s="17" t="s">
        <v>852</v>
      </c>
      <c r="D596" s="17" t="str">
        <f>vlookup(C596,'1. 신청자리스트'!J:N,2,false)</f>
        <v>정상</v>
      </c>
      <c r="E596" s="17"/>
      <c r="F596" s="17" t="s">
        <v>852</v>
      </c>
      <c r="G596" s="18">
        <v>70000.0</v>
      </c>
      <c r="H596" s="19" t="s">
        <v>3990</v>
      </c>
      <c r="I596" s="20"/>
      <c r="J596" s="20"/>
      <c r="K596" s="20"/>
      <c r="L596" s="21"/>
      <c r="M596" s="22"/>
      <c r="N596" s="22"/>
      <c r="O596" s="22"/>
      <c r="P596" s="22"/>
      <c r="Q596" s="22"/>
      <c r="R596" s="22"/>
      <c r="S596" s="22"/>
      <c r="T596" s="23"/>
    </row>
    <row r="597">
      <c r="A597" s="16" t="s">
        <v>3945</v>
      </c>
      <c r="B597" s="17" t="s">
        <v>3935</v>
      </c>
      <c r="C597" s="17" t="s">
        <v>853</v>
      </c>
      <c r="D597" s="17" t="str">
        <f>vlookup(C597,'1. 신청자리스트'!J:N,2,false)</f>
        <v>정상</v>
      </c>
      <c r="E597" s="17"/>
      <c r="F597" s="17" t="s">
        <v>853</v>
      </c>
      <c r="G597" s="18">
        <v>70000.0</v>
      </c>
      <c r="H597" s="19" t="s">
        <v>3983</v>
      </c>
      <c r="I597" s="20"/>
      <c r="J597" s="20"/>
      <c r="K597" s="20"/>
      <c r="L597" s="21"/>
      <c r="M597" s="22"/>
      <c r="N597" s="22"/>
      <c r="O597" s="22"/>
      <c r="P597" s="22"/>
      <c r="Q597" s="22"/>
      <c r="R597" s="22"/>
      <c r="S597" s="22"/>
      <c r="T597" s="23"/>
    </row>
    <row r="598">
      <c r="A598" s="16" t="s">
        <v>3989</v>
      </c>
      <c r="B598" s="17" t="s">
        <v>3932</v>
      </c>
      <c r="C598" s="17" t="s">
        <v>854</v>
      </c>
      <c r="D598" s="17" t="str">
        <f>vlookup(C598,'1. 신청자리스트'!J:N,2,false)</f>
        <v>정상</v>
      </c>
      <c r="E598" s="17"/>
      <c r="F598" s="17" t="s">
        <v>854</v>
      </c>
      <c r="G598" s="18">
        <v>70000.0</v>
      </c>
      <c r="H598" s="19" t="s">
        <v>4054</v>
      </c>
      <c r="I598" s="20"/>
      <c r="J598" s="20"/>
      <c r="K598" s="20"/>
      <c r="L598" s="21"/>
      <c r="M598" s="22"/>
      <c r="N598" s="22"/>
      <c r="O598" s="22"/>
      <c r="P598" s="22"/>
      <c r="Q598" s="22"/>
      <c r="R598" s="22"/>
      <c r="S598" s="22"/>
      <c r="T598" s="23"/>
    </row>
    <row r="599">
      <c r="A599" s="16" t="s">
        <v>3962</v>
      </c>
      <c r="B599" s="17" t="s">
        <v>3935</v>
      </c>
      <c r="C599" s="17" t="s">
        <v>386</v>
      </c>
      <c r="D599" s="17" t="str">
        <f>vlookup(C599,'1. 신청자리스트'!J:N,2,false)</f>
        <v>정상</v>
      </c>
      <c r="E599" s="17"/>
      <c r="F599" s="17" t="s">
        <v>386</v>
      </c>
      <c r="G599" s="18">
        <v>35000.0</v>
      </c>
      <c r="H599" s="19" t="s">
        <v>3946</v>
      </c>
      <c r="I599" s="20"/>
      <c r="J599" s="20"/>
      <c r="K599" s="20"/>
      <c r="L599" s="21"/>
      <c r="M599" s="22"/>
      <c r="N599" s="22"/>
      <c r="O599" s="22"/>
      <c r="P599" s="22"/>
      <c r="Q599" s="22"/>
      <c r="R599" s="22"/>
      <c r="S599" s="22"/>
      <c r="T599" s="23"/>
    </row>
    <row r="600">
      <c r="A600" s="24" t="s">
        <v>3962</v>
      </c>
      <c r="B600" s="25" t="s">
        <v>3932</v>
      </c>
      <c r="C600" s="25" t="s">
        <v>387</v>
      </c>
      <c r="D600" s="17" t="str">
        <f>vlookup(C600,'1. 신청자리스트'!J:N,2,false)</f>
        <v>정상</v>
      </c>
      <c r="E600" s="25"/>
      <c r="F600" s="25" t="s">
        <v>2744</v>
      </c>
      <c r="G600" s="26">
        <v>35000.0</v>
      </c>
      <c r="H600" s="27" t="s">
        <v>4264</v>
      </c>
      <c r="I600" s="28"/>
      <c r="J600" s="28"/>
      <c r="K600" s="28"/>
      <c r="L600" s="29"/>
      <c r="M600" s="22"/>
      <c r="N600" s="22"/>
      <c r="O600" s="22"/>
      <c r="P600" s="22"/>
      <c r="Q600" s="22"/>
      <c r="R600" s="22"/>
      <c r="S600" s="22"/>
      <c r="T600" s="23"/>
    </row>
    <row r="601">
      <c r="A601" s="16" t="s">
        <v>3942</v>
      </c>
      <c r="B601" s="17" t="s">
        <v>3935</v>
      </c>
      <c r="C601" s="17" t="s">
        <v>856</v>
      </c>
      <c r="D601" s="17" t="str">
        <f>vlookup(C601,'1. 신청자리스트'!J:N,2,false)</f>
        <v>정상</v>
      </c>
      <c r="E601" s="17"/>
      <c r="F601" s="17" t="s">
        <v>856</v>
      </c>
      <c r="G601" s="18">
        <v>70000.0</v>
      </c>
      <c r="H601" s="19" t="s">
        <v>3983</v>
      </c>
      <c r="I601" s="20"/>
      <c r="J601" s="20"/>
      <c r="K601" s="20"/>
      <c r="L601" s="21"/>
      <c r="M601" s="22"/>
      <c r="N601" s="22"/>
      <c r="O601" s="22"/>
      <c r="P601" s="22"/>
      <c r="Q601" s="22"/>
      <c r="R601" s="22"/>
      <c r="S601" s="22"/>
      <c r="T601" s="23"/>
    </row>
    <row r="602">
      <c r="A602" s="16" t="s">
        <v>4002</v>
      </c>
      <c r="B602" s="17" t="s">
        <v>3935</v>
      </c>
      <c r="C602" s="17" t="s">
        <v>388</v>
      </c>
      <c r="D602" s="17" t="str">
        <f>vlookup(C602,'1. 신청자리스트'!J:N,2,false)</f>
        <v>정상</v>
      </c>
      <c r="E602" s="17"/>
      <c r="F602" s="17" t="s">
        <v>388</v>
      </c>
      <c r="G602" s="18">
        <v>35000.0</v>
      </c>
      <c r="H602" s="19" t="s">
        <v>3948</v>
      </c>
      <c r="I602" s="20"/>
      <c r="J602" s="20"/>
      <c r="K602" s="20"/>
      <c r="L602" s="21"/>
      <c r="M602" s="22"/>
      <c r="N602" s="22"/>
      <c r="O602" s="22"/>
      <c r="P602" s="22"/>
      <c r="Q602" s="22"/>
      <c r="R602" s="22"/>
      <c r="S602" s="22"/>
      <c r="T602" s="23"/>
    </row>
    <row r="603">
      <c r="A603" s="24" t="s">
        <v>3942</v>
      </c>
      <c r="B603" s="25" t="s">
        <v>3935</v>
      </c>
      <c r="C603" s="25" t="s">
        <v>859</v>
      </c>
      <c r="D603" s="17" t="str">
        <f>vlookup(C603,'1. 신청자리스트'!J:N,2,false)</f>
        <v>정상</v>
      </c>
      <c r="E603" s="25"/>
      <c r="F603" s="25" t="s">
        <v>2747</v>
      </c>
      <c r="G603" s="26">
        <v>70000.0</v>
      </c>
      <c r="H603" s="27" t="s">
        <v>3946</v>
      </c>
      <c r="I603" s="28"/>
      <c r="J603" s="28"/>
      <c r="K603" s="28"/>
      <c r="L603" s="29"/>
      <c r="M603" s="22"/>
      <c r="N603" s="22"/>
      <c r="O603" s="22"/>
      <c r="P603" s="22"/>
      <c r="Q603" s="22"/>
      <c r="R603" s="22"/>
      <c r="S603" s="22"/>
      <c r="T603" s="23"/>
    </row>
    <row r="604">
      <c r="A604" s="30" t="s">
        <v>4071</v>
      </c>
      <c r="B604" s="31" t="s">
        <v>3935</v>
      </c>
      <c r="C604" s="31" t="s">
        <v>4265</v>
      </c>
      <c r="D604" s="17" t="str">
        <f>vlookup(C604,'1. 신청자리스트'!J:N,2,false)</f>
        <v>정상</v>
      </c>
      <c r="E604" s="31"/>
      <c r="F604" s="31" t="s">
        <v>4265</v>
      </c>
      <c r="G604" s="32">
        <v>70000.0</v>
      </c>
      <c r="H604" s="33" t="s">
        <v>3948</v>
      </c>
      <c r="I604" s="34" t="str">
        <f>VLOOKUP(C604, '문의'!D:E, 2, FALSE)</f>
        <v>[입금/결제] 신청내역확인이 되지 않습니다. 
 성함 : 이혜은
 연락처 : 010 2313 2027
 입금시점 : 2025/12/07
 입금자명 : 이혜은 2027</v>
      </c>
      <c r="J604" s="34">
        <f t="array" ref="J604">INDEX('문의'!C:C, MATCH(C604, '문의'!D:D, 0))</f>
        <v>1023132027</v>
      </c>
      <c r="K604" s="34" t="s">
        <v>3957</v>
      </c>
      <c r="L604" s="37" t="s">
        <v>4266</v>
      </c>
      <c r="M604" s="42"/>
      <c r="N604" s="42"/>
      <c r="O604" s="42"/>
      <c r="P604" s="42"/>
      <c r="Q604" s="42"/>
      <c r="R604" s="44"/>
      <c r="S604" s="42"/>
      <c r="T604" s="41"/>
    </row>
    <row r="605">
      <c r="A605" s="16" t="s">
        <v>3989</v>
      </c>
      <c r="B605" s="17" t="s">
        <v>3943</v>
      </c>
      <c r="C605" s="17" t="s">
        <v>389</v>
      </c>
      <c r="D605" s="17" t="str">
        <f>vlookup(C605,'1. 신청자리스트'!J:N,2,false)</f>
        <v>정상</v>
      </c>
      <c r="E605" s="17"/>
      <c r="F605" s="17" t="s">
        <v>389</v>
      </c>
      <c r="G605" s="18">
        <v>35000.0</v>
      </c>
      <c r="H605" s="19" t="s">
        <v>3944</v>
      </c>
      <c r="I605" s="20"/>
      <c r="J605" s="20"/>
      <c r="K605" s="20"/>
      <c r="L605" s="21"/>
      <c r="M605" s="22"/>
      <c r="N605" s="22"/>
      <c r="O605" s="22"/>
      <c r="P605" s="22"/>
      <c r="Q605" s="22"/>
      <c r="R605" s="22"/>
      <c r="S605" s="22"/>
      <c r="T605" s="23"/>
    </row>
    <row r="606">
      <c r="A606" s="16" t="s">
        <v>3940</v>
      </c>
      <c r="B606" s="17" t="s">
        <v>3935</v>
      </c>
      <c r="C606" s="17" t="s">
        <v>861</v>
      </c>
      <c r="D606" s="17" t="str">
        <f>vlookup(C606,'1. 신청자리스트'!J:N,2,false)</f>
        <v>정상</v>
      </c>
      <c r="E606" s="17"/>
      <c r="F606" s="17" t="s">
        <v>861</v>
      </c>
      <c r="G606" s="18">
        <v>70000.0</v>
      </c>
      <c r="H606" s="19" t="s">
        <v>3948</v>
      </c>
      <c r="I606" s="20"/>
      <c r="J606" s="20"/>
      <c r="K606" s="20"/>
      <c r="L606" s="21"/>
      <c r="M606" s="22"/>
      <c r="N606" s="22"/>
      <c r="O606" s="22"/>
      <c r="P606" s="22"/>
      <c r="Q606" s="22"/>
      <c r="R606" s="22"/>
      <c r="S606" s="22"/>
      <c r="T606" s="23"/>
    </row>
    <row r="607">
      <c r="A607" s="16" t="s">
        <v>3942</v>
      </c>
      <c r="B607" s="17" t="s">
        <v>3935</v>
      </c>
      <c r="C607" s="17" t="s">
        <v>862</v>
      </c>
      <c r="D607" s="17" t="str">
        <f>vlookup(C607,'1. 신청자리스트'!J:N,2,false)</f>
        <v>정상</v>
      </c>
      <c r="E607" s="17"/>
      <c r="F607" s="17" t="s">
        <v>862</v>
      </c>
      <c r="G607" s="18">
        <v>70000.0</v>
      </c>
      <c r="H607" s="19" t="s">
        <v>3946</v>
      </c>
      <c r="I607" s="20"/>
      <c r="J607" s="20"/>
      <c r="K607" s="20"/>
      <c r="L607" s="21"/>
      <c r="M607" s="22"/>
      <c r="N607" s="22"/>
      <c r="O607" s="22"/>
      <c r="P607" s="22"/>
      <c r="Q607" s="22"/>
      <c r="R607" s="22"/>
      <c r="S607" s="22"/>
      <c r="T607" s="23"/>
    </row>
    <row r="608">
      <c r="A608" s="24" t="s">
        <v>3931</v>
      </c>
      <c r="B608" s="25" t="s">
        <v>3935</v>
      </c>
      <c r="C608" s="25" t="s">
        <v>864</v>
      </c>
      <c r="D608" s="17" t="str">
        <f>vlookup(C608,'1. 신청자리스트'!J:N,2,false)</f>
        <v>정상</v>
      </c>
      <c r="E608" s="25"/>
      <c r="F608" s="25" t="s">
        <v>4267</v>
      </c>
      <c r="G608" s="26">
        <v>70000.0</v>
      </c>
      <c r="H608" s="27" t="s">
        <v>3983</v>
      </c>
      <c r="I608" s="28"/>
      <c r="J608" s="28"/>
      <c r="K608" s="28"/>
      <c r="L608" s="29"/>
      <c r="M608" s="22"/>
      <c r="N608" s="22"/>
      <c r="O608" s="22"/>
      <c r="P608" s="22"/>
      <c r="Q608" s="22"/>
      <c r="R608" s="22"/>
      <c r="S608" s="22"/>
      <c r="T608" s="23"/>
    </row>
    <row r="609">
      <c r="A609" s="16" t="s">
        <v>3942</v>
      </c>
      <c r="B609" s="17" t="s">
        <v>3935</v>
      </c>
      <c r="C609" s="17" t="s">
        <v>390</v>
      </c>
      <c r="D609" s="17" t="str">
        <f>vlookup(C609,'1. 신청자리스트'!J:N,2,false)</f>
        <v>정상</v>
      </c>
      <c r="E609" s="17"/>
      <c r="F609" s="17" t="s">
        <v>390</v>
      </c>
      <c r="G609" s="18">
        <v>35000.0</v>
      </c>
      <c r="H609" s="19" t="s">
        <v>3990</v>
      </c>
      <c r="I609" s="20"/>
      <c r="J609" s="20"/>
      <c r="K609" s="20"/>
      <c r="L609" s="21"/>
      <c r="M609" s="22"/>
      <c r="N609" s="22"/>
      <c r="O609" s="22"/>
      <c r="P609" s="22"/>
      <c r="Q609" s="22"/>
      <c r="R609" s="22"/>
      <c r="S609" s="22"/>
      <c r="T609" s="23"/>
    </row>
    <row r="610">
      <c r="A610" s="16" t="s">
        <v>3989</v>
      </c>
      <c r="B610" s="17" t="s">
        <v>3935</v>
      </c>
      <c r="C610" s="17" t="s">
        <v>865</v>
      </c>
      <c r="D610" s="17" t="str">
        <f>vlookup(C610,'1. 신청자리스트'!J:N,2,false)</f>
        <v>정상</v>
      </c>
      <c r="E610" s="17"/>
      <c r="F610" s="17" t="s">
        <v>4268</v>
      </c>
      <c r="G610" s="18">
        <v>70000.0</v>
      </c>
      <c r="H610" s="19" t="s">
        <v>3983</v>
      </c>
      <c r="I610" s="20"/>
      <c r="J610" s="20"/>
      <c r="K610" s="20"/>
      <c r="L610" s="21"/>
      <c r="M610" s="22"/>
      <c r="N610" s="22"/>
      <c r="O610" s="22"/>
      <c r="P610" s="22"/>
      <c r="Q610" s="22"/>
      <c r="R610" s="22"/>
      <c r="S610" s="22"/>
      <c r="T610" s="23"/>
    </row>
    <row r="611">
      <c r="A611" s="24" t="s">
        <v>3940</v>
      </c>
      <c r="B611" s="25" t="s">
        <v>3935</v>
      </c>
      <c r="C611" s="25" t="s">
        <v>391</v>
      </c>
      <c r="D611" s="17" t="str">
        <f>vlookup(C611,'1. 신청자리스트'!J:N,2,false)</f>
        <v>정상</v>
      </c>
      <c r="E611" s="25"/>
      <c r="F611" s="25" t="s">
        <v>3543</v>
      </c>
      <c r="G611" s="26">
        <v>35000.0</v>
      </c>
      <c r="H611" s="27" t="s">
        <v>3990</v>
      </c>
      <c r="I611" s="28"/>
      <c r="J611" s="28"/>
      <c r="K611" s="28"/>
      <c r="L611" s="29"/>
      <c r="M611" s="22"/>
      <c r="N611" s="22"/>
      <c r="O611" s="22"/>
      <c r="P611" s="22"/>
      <c r="Q611" s="22"/>
      <c r="R611" s="22"/>
      <c r="S611" s="22"/>
      <c r="T611" s="23"/>
    </row>
    <row r="612">
      <c r="A612" s="16" t="s">
        <v>4238</v>
      </c>
      <c r="B612" s="17" t="s">
        <v>3935</v>
      </c>
      <c r="C612" s="17" t="s">
        <v>392</v>
      </c>
      <c r="D612" s="17" t="str">
        <f>vlookup(C612,'1. 신청자리스트'!J:N,2,false)</f>
        <v>정상</v>
      </c>
      <c r="E612" s="17"/>
      <c r="F612" s="17" t="s">
        <v>392</v>
      </c>
      <c r="G612" s="18">
        <v>35000.0</v>
      </c>
      <c r="H612" s="19" t="s">
        <v>3939</v>
      </c>
      <c r="I612" s="20"/>
      <c r="J612" s="20"/>
      <c r="K612" s="20"/>
      <c r="L612" s="21"/>
      <c r="M612" s="22"/>
      <c r="N612" s="22"/>
      <c r="O612" s="22"/>
      <c r="P612" s="22"/>
      <c r="Q612" s="22"/>
      <c r="R612" s="22"/>
      <c r="S612" s="22"/>
      <c r="T612" s="23"/>
    </row>
    <row r="613">
      <c r="A613" s="16" t="s">
        <v>3962</v>
      </c>
      <c r="B613" s="17" t="s">
        <v>3935</v>
      </c>
      <c r="C613" s="17" t="s">
        <v>393</v>
      </c>
      <c r="D613" s="17" t="str">
        <f>vlookup(C613,'1. 신청자리스트'!J:N,2,false)</f>
        <v>정상</v>
      </c>
      <c r="E613" s="17"/>
      <c r="F613" s="17" t="s">
        <v>393</v>
      </c>
      <c r="G613" s="18">
        <v>35000.0</v>
      </c>
      <c r="H613" s="19" t="s">
        <v>3946</v>
      </c>
      <c r="I613" s="20"/>
      <c r="J613" s="20"/>
      <c r="K613" s="20"/>
      <c r="L613" s="21"/>
      <c r="M613" s="22"/>
      <c r="N613" s="22"/>
      <c r="O613" s="22"/>
      <c r="P613" s="22"/>
      <c r="Q613" s="22"/>
      <c r="R613" s="22"/>
      <c r="S613" s="22"/>
      <c r="T613" s="23"/>
    </row>
    <row r="614">
      <c r="A614" s="16" t="s">
        <v>3945</v>
      </c>
      <c r="B614" s="17" t="s">
        <v>3935</v>
      </c>
      <c r="C614" s="17" t="s">
        <v>394</v>
      </c>
      <c r="D614" s="17" t="str">
        <f>vlookup(C614,'1. 신청자리스트'!J:N,2,false)</f>
        <v>정상</v>
      </c>
      <c r="E614" s="17"/>
      <c r="F614" s="17" t="s">
        <v>394</v>
      </c>
      <c r="G614" s="18">
        <v>35000.0</v>
      </c>
      <c r="H614" s="19" t="s">
        <v>3946</v>
      </c>
      <c r="I614" s="20"/>
      <c r="J614" s="20"/>
      <c r="K614" s="20"/>
      <c r="L614" s="21"/>
      <c r="M614" s="22"/>
      <c r="N614" s="22"/>
      <c r="O614" s="22"/>
      <c r="P614" s="22"/>
      <c r="Q614" s="22"/>
      <c r="R614" s="22"/>
      <c r="S614" s="22"/>
      <c r="T614" s="23"/>
    </row>
    <row r="615">
      <c r="A615" s="16" t="s">
        <v>4012</v>
      </c>
      <c r="B615" s="17" t="s">
        <v>3935</v>
      </c>
      <c r="C615" s="17" t="s">
        <v>866</v>
      </c>
      <c r="D615" s="17" t="str">
        <f>vlookup(C615,'1. 신청자리스트'!J:N,2,false)</f>
        <v>정상</v>
      </c>
      <c r="E615" s="17"/>
      <c r="F615" s="17" t="s">
        <v>866</v>
      </c>
      <c r="G615" s="18">
        <v>70000.0</v>
      </c>
      <c r="H615" s="19" t="s">
        <v>3983</v>
      </c>
      <c r="I615" s="20"/>
      <c r="J615" s="20"/>
      <c r="K615" s="20"/>
      <c r="L615" s="21"/>
      <c r="M615" s="22"/>
      <c r="N615" s="22"/>
      <c r="O615" s="22"/>
      <c r="P615" s="22"/>
      <c r="Q615" s="22"/>
      <c r="R615" s="22"/>
      <c r="S615" s="22"/>
      <c r="T615" s="23"/>
    </row>
    <row r="616">
      <c r="A616" s="30" t="s">
        <v>4018</v>
      </c>
      <c r="B616" s="31" t="s">
        <v>3935</v>
      </c>
      <c r="C616" s="31" t="s">
        <v>4269</v>
      </c>
      <c r="D616" s="17" t="str">
        <f>vlookup(C616,'1. 신청자리스트'!J:N,2,false)</f>
        <v>정상</v>
      </c>
      <c r="E616" s="31"/>
      <c r="F616" s="31" t="s">
        <v>4269</v>
      </c>
      <c r="G616" s="32">
        <v>35000.0</v>
      </c>
      <c r="H616" s="33" t="s">
        <v>4270</v>
      </c>
      <c r="I616" s="34" t="str">
        <f>VLOOKUP(C616, '문의'!D:E, 2, FALSE)</f>
        <v>[취소/환불] 요청하신대로 작성했습니다.
 입금시각은 12/7 09:28:58 입니다
 [환불정보]
 금액: 35000원
 은행: SC제일은행
 계좌: 10020221890
 예금주: 임순빈</v>
      </c>
      <c r="J616" s="34">
        <f t="array" ref="J616">INDEX('문의'!C:C, MATCH(C616, '문의'!D:D, 0))</f>
        <v>1050334525</v>
      </c>
      <c r="K616" s="34" t="s">
        <v>3957</v>
      </c>
      <c r="L616" s="37" t="s">
        <v>4271</v>
      </c>
      <c r="M616" s="42"/>
      <c r="N616" s="42"/>
      <c r="O616" s="42"/>
      <c r="P616" s="42"/>
      <c r="Q616" s="42"/>
      <c r="R616" s="44"/>
      <c r="S616" s="42"/>
      <c r="T616" s="41"/>
    </row>
    <row r="617">
      <c r="A617" s="16" t="s">
        <v>3972</v>
      </c>
      <c r="B617" s="17" t="s">
        <v>3935</v>
      </c>
      <c r="C617" s="17" t="s">
        <v>867</v>
      </c>
      <c r="D617" s="17" t="str">
        <f>vlookup(C617,'1. 신청자리스트'!J:N,2,false)</f>
        <v>정상</v>
      </c>
      <c r="E617" s="17"/>
      <c r="F617" s="17" t="s">
        <v>867</v>
      </c>
      <c r="G617" s="18">
        <v>70000.0</v>
      </c>
      <c r="H617" s="19" t="s">
        <v>3952</v>
      </c>
      <c r="I617" s="20"/>
      <c r="J617" s="20"/>
      <c r="K617" s="20"/>
      <c r="L617" s="21"/>
      <c r="M617" s="22"/>
      <c r="N617" s="22"/>
      <c r="O617" s="22"/>
      <c r="P617" s="22"/>
      <c r="Q617" s="22"/>
      <c r="R617" s="22"/>
      <c r="S617" s="22"/>
      <c r="T617" s="23"/>
    </row>
    <row r="618">
      <c r="A618" s="16" t="s">
        <v>3940</v>
      </c>
      <c r="B618" s="17" t="s">
        <v>3935</v>
      </c>
      <c r="C618" s="17" t="s">
        <v>396</v>
      </c>
      <c r="D618" s="17" t="str">
        <f>vlookup(C618,'1. 신청자리스트'!J:N,2,false)</f>
        <v>정상</v>
      </c>
      <c r="E618" s="17"/>
      <c r="F618" s="17" t="s">
        <v>396</v>
      </c>
      <c r="G618" s="18">
        <v>35000.0</v>
      </c>
      <c r="H618" s="19" t="s">
        <v>3937</v>
      </c>
      <c r="I618" s="20"/>
      <c r="J618" s="20"/>
      <c r="K618" s="20"/>
      <c r="L618" s="21"/>
      <c r="M618" s="22"/>
      <c r="N618" s="22"/>
      <c r="O618" s="22"/>
      <c r="P618" s="22"/>
      <c r="Q618" s="22"/>
      <c r="R618" s="22"/>
      <c r="S618" s="22"/>
      <c r="T618" s="23"/>
    </row>
    <row r="619">
      <c r="A619" s="16" t="s">
        <v>3962</v>
      </c>
      <c r="B619" s="17" t="s">
        <v>3932</v>
      </c>
      <c r="C619" s="17" t="s">
        <v>397</v>
      </c>
      <c r="D619" s="17" t="str">
        <f>vlookup(C619,'1. 신청자리스트'!J:N,2,false)</f>
        <v>정상</v>
      </c>
      <c r="E619" s="17"/>
      <c r="F619" s="17" t="s">
        <v>397</v>
      </c>
      <c r="G619" s="18">
        <v>35000.0</v>
      </c>
      <c r="H619" s="19" t="s">
        <v>4272</v>
      </c>
      <c r="I619" s="20"/>
      <c r="J619" s="20"/>
      <c r="K619" s="20"/>
      <c r="L619" s="21"/>
      <c r="M619" s="22"/>
      <c r="N619" s="22"/>
      <c r="O619" s="22"/>
      <c r="P619" s="22"/>
      <c r="Q619" s="22"/>
      <c r="R619" s="22"/>
      <c r="S619" s="22"/>
      <c r="T619" s="23"/>
    </row>
    <row r="620">
      <c r="A620" s="24" t="s">
        <v>4002</v>
      </c>
      <c r="B620" s="25" t="s">
        <v>3935</v>
      </c>
      <c r="C620" s="25" t="s">
        <v>398</v>
      </c>
      <c r="D620" s="17" t="str">
        <f>vlookup(C620,'1. 신청자리스트'!J:N,2,false)</f>
        <v>정상</v>
      </c>
      <c r="E620" s="25"/>
      <c r="F620" s="25" t="s">
        <v>3554</v>
      </c>
      <c r="G620" s="26">
        <v>35000.0</v>
      </c>
      <c r="H620" s="27" t="s">
        <v>3948</v>
      </c>
      <c r="I620" s="28"/>
      <c r="J620" s="28"/>
      <c r="K620" s="28"/>
      <c r="L620" s="29"/>
      <c r="M620" s="22"/>
      <c r="N620" s="22"/>
      <c r="O620" s="22"/>
      <c r="P620" s="22"/>
      <c r="Q620" s="22"/>
      <c r="R620" s="22"/>
      <c r="S620" s="22"/>
      <c r="T620" s="23"/>
    </row>
    <row r="621">
      <c r="A621" s="24" t="s">
        <v>4002</v>
      </c>
      <c r="B621" s="25" t="s">
        <v>3932</v>
      </c>
      <c r="C621" s="25" t="s">
        <v>399</v>
      </c>
      <c r="D621" s="17" t="str">
        <f>vlookup(C621,'1. 신청자리스트'!J:N,2,false)</f>
        <v>정상</v>
      </c>
      <c r="E621" s="25"/>
      <c r="F621" s="25" t="s">
        <v>3554</v>
      </c>
      <c r="G621" s="26">
        <v>35000.0</v>
      </c>
      <c r="H621" s="27" t="s">
        <v>4087</v>
      </c>
      <c r="I621" s="28"/>
      <c r="J621" s="28"/>
      <c r="K621" s="28"/>
      <c r="L621" s="29"/>
      <c r="M621" s="22"/>
      <c r="N621" s="22"/>
      <c r="O621" s="22"/>
      <c r="P621" s="22"/>
      <c r="Q621" s="22"/>
      <c r="R621" s="22"/>
      <c r="S621" s="22"/>
      <c r="T621" s="23"/>
    </row>
    <row r="622">
      <c r="A622" s="16" t="s">
        <v>3942</v>
      </c>
      <c r="B622" s="17" t="s">
        <v>3932</v>
      </c>
      <c r="C622" s="17" t="s">
        <v>868</v>
      </c>
      <c r="D622" s="17" t="str">
        <f>vlookup(C622,'1. 신청자리스트'!J:N,2,false)</f>
        <v>정상</v>
      </c>
      <c r="E622" s="17"/>
      <c r="F622" s="17" t="s">
        <v>868</v>
      </c>
      <c r="G622" s="18">
        <v>70000.0</v>
      </c>
      <c r="H622" s="19" t="s">
        <v>4273</v>
      </c>
      <c r="I622" s="20"/>
      <c r="J622" s="20"/>
      <c r="K622" s="20"/>
      <c r="L622" s="21"/>
      <c r="M622" s="22"/>
      <c r="N622" s="22"/>
      <c r="O622" s="22"/>
      <c r="P622" s="22"/>
      <c r="Q622" s="22"/>
      <c r="R622" s="22"/>
      <c r="S622" s="22"/>
      <c r="T622" s="23"/>
    </row>
    <row r="623">
      <c r="A623" s="16" t="s">
        <v>3945</v>
      </c>
      <c r="B623" s="17" t="s">
        <v>3935</v>
      </c>
      <c r="C623" s="17" t="s">
        <v>400</v>
      </c>
      <c r="D623" s="17" t="str">
        <f>vlookup(C623,'1. 신청자리스트'!J:N,2,false)</f>
        <v>정상</v>
      </c>
      <c r="E623" s="17"/>
      <c r="F623" s="17" t="s">
        <v>400</v>
      </c>
      <c r="G623" s="18">
        <v>35000.0</v>
      </c>
      <c r="H623" s="19" t="s">
        <v>3983</v>
      </c>
      <c r="I623" s="20"/>
      <c r="J623" s="20"/>
      <c r="K623" s="20"/>
      <c r="L623" s="21"/>
      <c r="M623" s="22"/>
      <c r="N623" s="22"/>
      <c r="O623" s="22"/>
      <c r="P623" s="22"/>
      <c r="Q623" s="22"/>
      <c r="R623" s="22"/>
      <c r="S623" s="22"/>
      <c r="T623" s="23"/>
    </row>
    <row r="624">
      <c r="A624" s="16" t="s">
        <v>3962</v>
      </c>
      <c r="B624" s="17" t="s">
        <v>3932</v>
      </c>
      <c r="C624" s="17" t="s">
        <v>401</v>
      </c>
      <c r="D624" s="17" t="str">
        <f>vlookup(C624,'1. 신청자리스트'!J:N,2,false)</f>
        <v>정상</v>
      </c>
      <c r="E624" s="17"/>
      <c r="F624" s="17" t="s">
        <v>401</v>
      </c>
      <c r="G624" s="18">
        <v>35000.0</v>
      </c>
      <c r="H624" s="19" t="s">
        <v>4274</v>
      </c>
      <c r="I624" s="20"/>
      <c r="J624" s="20"/>
      <c r="K624" s="20"/>
      <c r="L624" s="21"/>
      <c r="M624" s="22"/>
      <c r="N624" s="22"/>
      <c r="O624" s="22"/>
      <c r="P624" s="22"/>
      <c r="Q624" s="22"/>
      <c r="R624" s="22"/>
      <c r="S624" s="22"/>
      <c r="T624" s="23"/>
    </row>
    <row r="625">
      <c r="A625" s="24" t="s">
        <v>3962</v>
      </c>
      <c r="B625" s="25" t="s">
        <v>3935</v>
      </c>
      <c r="C625" s="25" t="s">
        <v>402</v>
      </c>
      <c r="D625" s="17" t="str">
        <f>vlookup(C625,'1. 신청자리스트'!J:N,2,false)</f>
        <v>정상</v>
      </c>
      <c r="E625" s="25"/>
      <c r="F625" s="25" t="s">
        <v>3560</v>
      </c>
      <c r="G625" s="26">
        <v>35000.0</v>
      </c>
      <c r="H625" s="27" t="s">
        <v>4041</v>
      </c>
      <c r="I625" s="28"/>
      <c r="J625" s="28"/>
      <c r="K625" s="28"/>
      <c r="L625" s="29"/>
      <c r="M625" s="22"/>
      <c r="N625" s="22"/>
      <c r="O625" s="22"/>
      <c r="P625" s="22"/>
      <c r="Q625" s="22"/>
      <c r="R625" s="22"/>
      <c r="S625" s="22"/>
      <c r="T625" s="23"/>
    </row>
    <row r="626">
      <c r="A626" s="24" t="s">
        <v>3940</v>
      </c>
      <c r="B626" s="25" t="s">
        <v>3935</v>
      </c>
      <c r="C626" s="25" t="s">
        <v>870</v>
      </c>
      <c r="D626" s="17" t="str">
        <f>vlookup(C626,'1. 신청자리스트'!J:N,2,false)</f>
        <v>정상</v>
      </c>
      <c r="E626" s="25"/>
      <c r="F626" s="25" t="s">
        <v>2582</v>
      </c>
      <c r="G626" s="26">
        <v>70000.0</v>
      </c>
      <c r="H626" s="27" t="s">
        <v>3983</v>
      </c>
      <c r="I626" s="28"/>
      <c r="J626" s="28"/>
      <c r="K626" s="28"/>
      <c r="L626" s="29"/>
      <c r="M626" s="22"/>
      <c r="N626" s="22"/>
      <c r="O626" s="22"/>
      <c r="P626" s="22"/>
      <c r="Q626" s="22"/>
      <c r="R626" s="22"/>
      <c r="S626" s="22"/>
      <c r="T626" s="23"/>
    </row>
    <row r="627">
      <c r="A627" s="16" t="s">
        <v>3931</v>
      </c>
      <c r="B627" s="17" t="s">
        <v>3935</v>
      </c>
      <c r="C627" s="17" t="s">
        <v>404</v>
      </c>
      <c r="D627" s="17" t="str">
        <f>vlookup(C627,'1. 신청자리스트'!J:N,2,false)</f>
        <v>정상</v>
      </c>
      <c r="E627" s="17"/>
      <c r="F627" s="17" t="s">
        <v>404</v>
      </c>
      <c r="G627" s="18">
        <v>35000.0</v>
      </c>
      <c r="H627" s="19" t="s">
        <v>3948</v>
      </c>
      <c r="I627" s="20"/>
      <c r="J627" s="20"/>
      <c r="K627" s="20"/>
      <c r="L627" s="21"/>
      <c r="M627" s="22"/>
      <c r="N627" s="22"/>
      <c r="O627" s="22"/>
      <c r="P627" s="22"/>
      <c r="Q627" s="22"/>
      <c r="R627" s="22"/>
      <c r="S627" s="22"/>
      <c r="T627" s="23"/>
    </row>
    <row r="628">
      <c r="A628" s="24" t="s">
        <v>3980</v>
      </c>
      <c r="B628" s="25" t="s">
        <v>3935</v>
      </c>
      <c r="C628" s="25" t="s">
        <v>871</v>
      </c>
      <c r="D628" s="17" t="str">
        <f>vlookup(C628,'1. 신청자리스트'!J:N,2,false)</f>
        <v>정상</v>
      </c>
      <c r="E628" s="25"/>
      <c r="F628" s="25" t="s">
        <v>1597</v>
      </c>
      <c r="G628" s="26">
        <v>70000.0</v>
      </c>
      <c r="H628" s="27" t="s">
        <v>3948</v>
      </c>
      <c r="I628" s="28"/>
      <c r="J628" s="28"/>
      <c r="K628" s="28"/>
      <c r="L628" s="29"/>
      <c r="M628" s="22"/>
      <c r="N628" s="22"/>
      <c r="O628" s="22"/>
      <c r="P628" s="22"/>
      <c r="Q628" s="22"/>
      <c r="R628" s="22"/>
      <c r="S628" s="22"/>
      <c r="T628" s="23"/>
    </row>
    <row r="629">
      <c r="A629" s="24" t="s">
        <v>4275</v>
      </c>
      <c r="B629" s="25" t="s">
        <v>3935</v>
      </c>
      <c r="C629" s="25" t="s">
        <v>872</v>
      </c>
      <c r="D629" s="17" t="str">
        <f>vlookup(C629,'1. 신청자리스트'!J:N,2,false)</f>
        <v>정상</v>
      </c>
      <c r="E629" s="25"/>
      <c r="F629" s="25" t="s">
        <v>4276</v>
      </c>
      <c r="G629" s="26">
        <v>70000.0</v>
      </c>
      <c r="H629" s="27" t="s">
        <v>3939</v>
      </c>
      <c r="I629" s="28"/>
      <c r="J629" s="28"/>
      <c r="K629" s="28"/>
      <c r="L629" s="29"/>
      <c r="M629" s="22"/>
      <c r="N629" s="22"/>
      <c r="O629" s="22"/>
      <c r="P629" s="22"/>
      <c r="Q629" s="22"/>
      <c r="R629" s="22"/>
      <c r="S629" s="22"/>
      <c r="T629" s="23"/>
    </row>
    <row r="630">
      <c r="A630" s="16" t="s">
        <v>3945</v>
      </c>
      <c r="B630" s="17" t="s">
        <v>3935</v>
      </c>
      <c r="C630" s="17" t="s">
        <v>873</v>
      </c>
      <c r="D630" s="17" t="str">
        <f>vlookup(C630,'1. 신청자리스트'!J:N,2,false)</f>
        <v>정상</v>
      </c>
      <c r="E630" s="17"/>
      <c r="F630" s="17" t="s">
        <v>873</v>
      </c>
      <c r="G630" s="18">
        <v>70000.0</v>
      </c>
      <c r="H630" s="19" t="s">
        <v>3948</v>
      </c>
      <c r="I630" s="20"/>
      <c r="J630" s="20"/>
      <c r="K630" s="20"/>
      <c r="L630" s="21"/>
      <c r="M630" s="22"/>
      <c r="N630" s="22"/>
      <c r="O630" s="22"/>
      <c r="P630" s="22"/>
      <c r="Q630" s="22"/>
      <c r="R630" s="22"/>
      <c r="S630" s="22"/>
      <c r="T630" s="23"/>
    </row>
    <row r="631">
      <c r="A631" s="16" t="s">
        <v>3942</v>
      </c>
      <c r="B631" s="17" t="s">
        <v>3935</v>
      </c>
      <c r="C631" s="17" t="s">
        <v>405</v>
      </c>
      <c r="D631" s="17" t="str">
        <f>vlookup(C631,'1. 신청자리스트'!J:N,2,false)</f>
        <v>정상</v>
      </c>
      <c r="E631" s="17"/>
      <c r="F631" s="17" t="s">
        <v>405</v>
      </c>
      <c r="G631" s="18">
        <v>35000.0</v>
      </c>
      <c r="H631" s="19" t="s">
        <v>3983</v>
      </c>
      <c r="I631" s="20"/>
      <c r="J631" s="20"/>
      <c r="K631" s="20"/>
      <c r="L631" s="21"/>
      <c r="M631" s="22"/>
      <c r="N631" s="22"/>
      <c r="O631" s="22"/>
      <c r="P631" s="22"/>
      <c r="Q631" s="22"/>
      <c r="R631" s="22"/>
      <c r="S631" s="22"/>
      <c r="T631" s="23"/>
    </row>
    <row r="632">
      <c r="A632" s="16" t="s">
        <v>4071</v>
      </c>
      <c r="B632" s="17" t="s">
        <v>3932</v>
      </c>
      <c r="C632" s="17" t="s">
        <v>406</v>
      </c>
      <c r="D632" s="17" t="str">
        <f>vlookup(C632,'1. 신청자리스트'!J:N,2,false)</f>
        <v>정상</v>
      </c>
      <c r="E632" s="17"/>
      <c r="F632" s="17" t="s">
        <v>406</v>
      </c>
      <c r="G632" s="18">
        <v>35000.0</v>
      </c>
      <c r="H632" s="19" t="s">
        <v>4273</v>
      </c>
      <c r="I632" s="20"/>
      <c r="J632" s="20"/>
      <c r="K632" s="20"/>
      <c r="L632" s="21"/>
      <c r="M632" s="22"/>
      <c r="N632" s="22"/>
      <c r="O632" s="22"/>
      <c r="P632" s="22"/>
      <c r="Q632" s="22"/>
      <c r="R632" s="22"/>
      <c r="S632" s="22"/>
      <c r="T632" s="23"/>
    </row>
    <row r="633">
      <c r="A633" s="16" t="s">
        <v>4277</v>
      </c>
      <c r="B633" s="17" t="s">
        <v>3935</v>
      </c>
      <c r="C633" s="17" t="s">
        <v>874</v>
      </c>
      <c r="D633" s="17" t="str">
        <f>vlookup(C633,'1. 신청자리스트'!J:N,2,false)</f>
        <v>정상</v>
      </c>
      <c r="E633" s="17"/>
      <c r="F633" s="17" t="s">
        <v>874</v>
      </c>
      <c r="G633" s="18">
        <v>70000.0</v>
      </c>
      <c r="H633" s="19" t="s">
        <v>3948</v>
      </c>
      <c r="I633" s="20"/>
      <c r="J633" s="20"/>
      <c r="K633" s="20"/>
      <c r="L633" s="21"/>
      <c r="M633" s="22"/>
      <c r="N633" s="22"/>
      <c r="O633" s="22"/>
      <c r="P633" s="22"/>
      <c r="Q633" s="22"/>
      <c r="R633" s="22"/>
      <c r="S633" s="22"/>
      <c r="T633" s="23"/>
    </row>
    <row r="634">
      <c r="A634" s="16" t="s">
        <v>3945</v>
      </c>
      <c r="B634" s="17" t="s">
        <v>3932</v>
      </c>
      <c r="C634" s="17" t="s">
        <v>875</v>
      </c>
      <c r="D634" s="17" t="str">
        <f>vlookup(C634,'1. 신청자리스트'!J:N,2,false)</f>
        <v>정상</v>
      </c>
      <c r="E634" s="17"/>
      <c r="F634" s="17" t="s">
        <v>875</v>
      </c>
      <c r="G634" s="18">
        <v>70000.0</v>
      </c>
      <c r="H634" s="19" t="s">
        <v>4243</v>
      </c>
      <c r="I634" s="20"/>
      <c r="J634" s="20"/>
      <c r="K634" s="20"/>
      <c r="L634" s="21"/>
      <c r="M634" s="22"/>
      <c r="N634" s="22"/>
      <c r="O634" s="22"/>
      <c r="P634" s="22"/>
      <c r="Q634" s="22"/>
      <c r="R634" s="22"/>
      <c r="S634" s="22"/>
      <c r="T634" s="23"/>
    </row>
    <row r="635">
      <c r="A635" s="16" t="s">
        <v>3940</v>
      </c>
      <c r="B635" s="17" t="s">
        <v>3935</v>
      </c>
      <c r="C635" s="17" t="s">
        <v>407</v>
      </c>
      <c r="D635" s="17" t="str">
        <f>vlookup(C635,'1. 신청자리스트'!J:N,2,false)</f>
        <v>정상</v>
      </c>
      <c r="E635" s="17"/>
      <c r="F635" s="17" t="s">
        <v>407</v>
      </c>
      <c r="G635" s="18">
        <v>35000.0</v>
      </c>
      <c r="H635" s="19" t="s">
        <v>3948</v>
      </c>
      <c r="I635" s="20"/>
      <c r="J635" s="20"/>
      <c r="K635" s="20"/>
      <c r="L635" s="21"/>
      <c r="M635" s="22"/>
      <c r="N635" s="22"/>
      <c r="O635" s="22"/>
      <c r="P635" s="22"/>
      <c r="Q635" s="22"/>
      <c r="R635" s="22"/>
      <c r="S635" s="22"/>
      <c r="T635" s="23"/>
    </row>
    <row r="636">
      <c r="A636" s="16" t="s">
        <v>3985</v>
      </c>
      <c r="B636" s="17" t="s">
        <v>3935</v>
      </c>
      <c r="C636" s="17" t="s">
        <v>876</v>
      </c>
      <c r="D636" s="17" t="str">
        <f>vlookup(C636,'1. 신청자리스트'!J:N,2,false)</f>
        <v>정상</v>
      </c>
      <c r="E636" s="17"/>
      <c r="F636" s="17" t="s">
        <v>876</v>
      </c>
      <c r="G636" s="18">
        <v>70000.0</v>
      </c>
      <c r="H636" s="19" t="s">
        <v>3983</v>
      </c>
      <c r="I636" s="20"/>
      <c r="J636" s="20"/>
      <c r="K636" s="20"/>
      <c r="L636" s="21"/>
      <c r="M636" s="22"/>
      <c r="N636" s="22"/>
      <c r="O636" s="22"/>
      <c r="P636" s="22"/>
      <c r="Q636" s="22"/>
      <c r="R636" s="22"/>
      <c r="S636" s="22"/>
      <c r="T636" s="23"/>
    </row>
    <row r="637">
      <c r="A637" s="24" t="s">
        <v>3989</v>
      </c>
      <c r="B637" s="25" t="s">
        <v>3935</v>
      </c>
      <c r="C637" s="25" t="s">
        <v>877</v>
      </c>
      <c r="D637" s="17" t="str">
        <f>vlookup(C637,'1. 신청자리스트'!J:N,2,false)</f>
        <v>정상</v>
      </c>
      <c r="E637" s="25"/>
      <c r="F637" s="25" t="s">
        <v>1934</v>
      </c>
      <c r="G637" s="26">
        <v>70000.0</v>
      </c>
      <c r="H637" s="27" t="s">
        <v>3946</v>
      </c>
      <c r="I637" s="28"/>
      <c r="J637" s="28"/>
      <c r="K637" s="28"/>
      <c r="L637" s="29"/>
      <c r="M637" s="22"/>
      <c r="N637" s="22"/>
      <c r="O637" s="22"/>
      <c r="P637" s="22"/>
      <c r="Q637" s="22"/>
      <c r="R637" s="22"/>
      <c r="S637" s="22"/>
      <c r="T637" s="23"/>
    </row>
    <row r="638">
      <c r="A638" s="16" t="s">
        <v>3942</v>
      </c>
      <c r="B638" s="17" t="s">
        <v>3935</v>
      </c>
      <c r="C638" s="17" t="s">
        <v>408</v>
      </c>
      <c r="D638" s="17" t="str">
        <f>vlookup(C638,'1. 신청자리스트'!J:N,2,false)</f>
        <v>정상</v>
      </c>
      <c r="E638" s="17"/>
      <c r="F638" s="17" t="s">
        <v>408</v>
      </c>
      <c r="G638" s="18">
        <v>35000.0</v>
      </c>
      <c r="H638" s="19" t="s">
        <v>3983</v>
      </c>
      <c r="I638" s="20"/>
      <c r="J638" s="20"/>
      <c r="K638" s="20"/>
      <c r="L638" s="21"/>
      <c r="M638" s="22"/>
      <c r="N638" s="22"/>
      <c r="O638" s="22"/>
      <c r="P638" s="22"/>
      <c r="Q638" s="22"/>
      <c r="R638" s="22"/>
      <c r="S638" s="22"/>
      <c r="T638" s="23"/>
    </row>
    <row r="639">
      <c r="A639" s="16" t="s">
        <v>4278</v>
      </c>
      <c r="B639" s="17" t="s">
        <v>3935</v>
      </c>
      <c r="C639" s="17" t="s">
        <v>409</v>
      </c>
      <c r="D639" s="17" t="str">
        <f>vlookup(C639,'1. 신청자리스트'!J:N,2,false)</f>
        <v>정상</v>
      </c>
      <c r="E639" s="17"/>
      <c r="F639" s="17" t="s">
        <v>4279</v>
      </c>
      <c r="G639" s="18">
        <v>35000.0</v>
      </c>
      <c r="H639" s="19" t="s">
        <v>3937</v>
      </c>
      <c r="I639" s="20"/>
      <c r="J639" s="20"/>
      <c r="K639" s="20"/>
      <c r="L639" s="21"/>
      <c r="M639" s="22"/>
      <c r="N639" s="22"/>
      <c r="O639" s="22"/>
      <c r="P639" s="22"/>
      <c r="Q639" s="22"/>
      <c r="R639" s="22"/>
      <c r="S639" s="22"/>
      <c r="T639" s="23"/>
    </row>
    <row r="640">
      <c r="A640" s="16" t="s">
        <v>3945</v>
      </c>
      <c r="B640" s="17" t="s">
        <v>3935</v>
      </c>
      <c r="C640" s="17" t="s">
        <v>411</v>
      </c>
      <c r="D640" s="17" t="str">
        <f>vlookup(C640,'1. 신청자리스트'!J:N,2,false)</f>
        <v>정상</v>
      </c>
      <c r="E640" s="17"/>
      <c r="F640" s="17" t="s">
        <v>411</v>
      </c>
      <c r="G640" s="18">
        <v>35000.0</v>
      </c>
      <c r="H640" s="19" t="s">
        <v>3939</v>
      </c>
      <c r="I640" s="20"/>
      <c r="J640" s="20"/>
      <c r="K640" s="20"/>
      <c r="L640" s="21"/>
      <c r="M640" s="22"/>
      <c r="N640" s="22"/>
      <c r="O640" s="22"/>
      <c r="P640" s="22"/>
      <c r="Q640" s="22"/>
      <c r="R640" s="22"/>
      <c r="S640" s="22"/>
      <c r="T640" s="23"/>
    </row>
    <row r="641">
      <c r="A641" s="16" t="s">
        <v>3962</v>
      </c>
      <c r="B641" s="17" t="s">
        <v>3935</v>
      </c>
      <c r="C641" s="17" t="s">
        <v>413</v>
      </c>
      <c r="D641" s="17" t="str">
        <f>vlookup(C641,'1. 신청자리스트'!J:N,2,false)</f>
        <v>정상</v>
      </c>
      <c r="E641" s="17"/>
      <c r="F641" s="17" t="s">
        <v>413</v>
      </c>
      <c r="G641" s="18">
        <v>35000.0</v>
      </c>
      <c r="H641" s="19" t="s">
        <v>3941</v>
      </c>
      <c r="I641" s="20"/>
      <c r="J641" s="20"/>
      <c r="K641" s="20"/>
      <c r="L641" s="21"/>
      <c r="M641" s="22"/>
      <c r="N641" s="22"/>
      <c r="O641" s="22"/>
      <c r="P641" s="22"/>
      <c r="Q641" s="22"/>
      <c r="R641" s="22"/>
      <c r="S641" s="22"/>
      <c r="T641" s="23"/>
    </row>
    <row r="642">
      <c r="A642" s="16" t="s">
        <v>3980</v>
      </c>
      <c r="B642" s="17" t="s">
        <v>3935</v>
      </c>
      <c r="C642" s="17" t="s">
        <v>878</v>
      </c>
      <c r="D642" s="17" t="str">
        <f>vlookup(C642,'1. 신청자리스트'!J:N,2,false)</f>
        <v>정상</v>
      </c>
      <c r="E642" s="17"/>
      <c r="F642" s="17" t="s">
        <v>878</v>
      </c>
      <c r="G642" s="18">
        <v>70000.0</v>
      </c>
      <c r="H642" s="19" t="s">
        <v>3941</v>
      </c>
      <c r="I642" s="20"/>
      <c r="J642" s="20"/>
      <c r="K642" s="20"/>
      <c r="L642" s="21"/>
      <c r="M642" s="22"/>
      <c r="N642" s="22"/>
      <c r="O642" s="22"/>
      <c r="P642" s="22"/>
      <c r="Q642" s="22"/>
      <c r="R642" s="22"/>
      <c r="S642" s="22"/>
      <c r="T642" s="23"/>
    </row>
    <row r="643">
      <c r="A643" s="16" t="s">
        <v>4280</v>
      </c>
      <c r="B643" s="17" t="s">
        <v>4032</v>
      </c>
      <c r="C643" s="17" t="s">
        <v>414</v>
      </c>
      <c r="D643" s="17" t="str">
        <f>vlookup(C643,'1. 신청자리스트'!J:N,2,false)</f>
        <v>정상</v>
      </c>
      <c r="E643" s="17"/>
      <c r="F643" s="17" t="s">
        <v>414</v>
      </c>
      <c r="G643" s="18">
        <v>35000.0</v>
      </c>
      <c r="H643" s="19" t="s">
        <v>4045</v>
      </c>
      <c r="I643" s="20"/>
      <c r="J643" s="20"/>
      <c r="K643" s="20"/>
      <c r="L643" s="21"/>
      <c r="M643" s="22"/>
      <c r="N643" s="22"/>
      <c r="O643" s="22"/>
      <c r="P643" s="22"/>
      <c r="Q643" s="22"/>
      <c r="R643" s="22"/>
      <c r="S643" s="22"/>
      <c r="T643" s="23"/>
    </row>
    <row r="644">
      <c r="A644" s="16" t="s">
        <v>3989</v>
      </c>
      <c r="B644" s="17" t="s">
        <v>3935</v>
      </c>
      <c r="C644" s="17" t="s">
        <v>879</v>
      </c>
      <c r="D644" s="17" t="str">
        <f>vlookup(C644,'1. 신청자리스트'!J:N,2,false)</f>
        <v>정상</v>
      </c>
      <c r="E644" s="17"/>
      <c r="F644" s="17" t="s">
        <v>879</v>
      </c>
      <c r="G644" s="18">
        <v>70000.0</v>
      </c>
      <c r="H644" s="19" t="s">
        <v>3968</v>
      </c>
      <c r="I644" s="20"/>
      <c r="J644" s="20"/>
      <c r="K644" s="20"/>
      <c r="L644" s="21"/>
      <c r="M644" s="22"/>
      <c r="N644" s="22"/>
      <c r="O644" s="22"/>
      <c r="P644" s="22"/>
      <c r="Q644" s="22"/>
      <c r="R644" s="22"/>
      <c r="S644" s="22"/>
      <c r="T644" s="23"/>
    </row>
    <row r="645">
      <c r="A645" s="24" t="s">
        <v>3942</v>
      </c>
      <c r="B645" s="25" t="s">
        <v>3935</v>
      </c>
      <c r="C645" s="25" t="s">
        <v>880</v>
      </c>
      <c r="D645" s="17" t="str">
        <f>vlookup(C645,'1. 신청자리스트'!J:N,2,false)</f>
        <v>정상</v>
      </c>
      <c r="E645" s="25"/>
      <c r="F645" s="25" t="s">
        <v>2418</v>
      </c>
      <c r="G645" s="26">
        <v>70000.0</v>
      </c>
      <c r="H645" s="27" t="s">
        <v>3990</v>
      </c>
      <c r="I645" s="28"/>
      <c r="J645" s="28"/>
      <c r="K645" s="28"/>
      <c r="L645" s="29"/>
      <c r="M645" s="22"/>
      <c r="N645" s="22"/>
      <c r="O645" s="22"/>
      <c r="P645" s="22"/>
      <c r="Q645" s="22"/>
      <c r="R645" s="22"/>
      <c r="S645" s="22"/>
      <c r="T645" s="23"/>
    </row>
    <row r="646">
      <c r="A646" s="16" t="s">
        <v>3940</v>
      </c>
      <c r="B646" s="17" t="s">
        <v>3932</v>
      </c>
      <c r="C646" s="17" t="s">
        <v>416</v>
      </c>
      <c r="D646" s="17" t="str">
        <f>vlookup(C646,'1. 신청자리스트'!J:N,2,false)</f>
        <v>정상</v>
      </c>
      <c r="E646" s="17"/>
      <c r="F646" s="17" t="s">
        <v>416</v>
      </c>
      <c r="G646" s="18">
        <v>35000.0</v>
      </c>
      <c r="H646" s="19" t="s">
        <v>4281</v>
      </c>
      <c r="I646" s="20"/>
      <c r="J646" s="20"/>
      <c r="K646" s="20"/>
      <c r="L646" s="21"/>
      <c r="M646" s="22"/>
      <c r="N646" s="22"/>
      <c r="O646" s="22"/>
      <c r="P646" s="22"/>
      <c r="Q646" s="22"/>
      <c r="R646" s="22"/>
      <c r="S646" s="22"/>
      <c r="T646" s="23"/>
    </row>
    <row r="647">
      <c r="A647" s="16" t="s">
        <v>3931</v>
      </c>
      <c r="B647" s="17" t="s">
        <v>3935</v>
      </c>
      <c r="C647" s="17" t="s">
        <v>881</v>
      </c>
      <c r="D647" s="17" t="str">
        <f>vlookup(C647,'1. 신청자리스트'!J:N,2,false)</f>
        <v>정상</v>
      </c>
      <c r="E647" s="17"/>
      <c r="F647" s="17" t="s">
        <v>881</v>
      </c>
      <c r="G647" s="18">
        <v>70000.0</v>
      </c>
      <c r="H647" s="19" t="s">
        <v>3946</v>
      </c>
      <c r="I647" s="20"/>
      <c r="J647" s="20"/>
      <c r="K647" s="20"/>
      <c r="L647" s="21"/>
      <c r="M647" s="22"/>
      <c r="N647" s="22"/>
      <c r="O647" s="22"/>
      <c r="P647" s="22"/>
      <c r="Q647" s="22"/>
      <c r="R647" s="22"/>
      <c r="S647" s="22"/>
      <c r="T647" s="23"/>
    </row>
    <row r="648">
      <c r="A648" s="16" t="s">
        <v>3940</v>
      </c>
      <c r="B648" s="17" t="s">
        <v>3935</v>
      </c>
      <c r="C648" s="17" t="s">
        <v>417</v>
      </c>
      <c r="D648" s="17" t="str">
        <f>vlookup(C648,'1. 신청자리스트'!J:N,2,false)</f>
        <v>정상</v>
      </c>
      <c r="E648" s="17"/>
      <c r="F648" s="17" t="s">
        <v>417</v>
      </c>
      <c r="G648" s="18">
        <v>35000.0</v>
      </c>
      <c r="H648" s="19" t="s">
        <v>3946</v>
      </c>
      <c r="I648" s="20"/>
      <c r="J648" s="20"/>
      <c r="K648" s="20"/>
      <c r="L648" s="21"/>
      <c r="M648" s="22"/>
      <c r="N648" s="22"/>
      <c r="O648" s="22"/>
      <c r="P648" s="22"/>
      <c r="Q648" s="22"/>
      <c r="R648" s="22"/>
      <c r="S648" s="22"/>
      <c r="T648" s="23"/>
    </row>
    <row r="649">
      <c r="A649" s="16" t="s">
        <v>3955</v>
      </c>
      <c r="B649" s="17" t="s">
        <v>3935</v>
      </c>
      <c r="C649" s="17" t="s">
        <v>418</v>
      </c>
      <c r="D649" s="17" t="str">
        <f>vlookup(C649,'1. 신청자리스트'!J:N,2,false)</f>
        <v>정상</v>
      </c>
      <c r="E649" s="17"/>
      <c r="F649" s="17" t="s">
        <v>418</v>
      </c>
      <c r="G649" s="18">
        <v>35000.0</v>
      </c>
      <c r="H649" s="19" t="s">
        <v>3946</v>
      </c>
      <c r="I649" s="20"/>
      <c r="J649" s="20"/>
      <c r="K649" s="20"/>
      <c r="L649" s="21"/>
      <c r="M649" s="22"/>
      <c r="N649" s="22"/>
      <c r="O649" s="22"/>
      <c r="P649" s="22"/>
      <c r="Q649" s="22"/>
      <c r="R649" s="22"/>
      <c r="S649" s="22"/>
      <c r="T649" s="23"/>
    </row>
    <row r="650">
      <c r="A650" s="24" t="s">
        <v>4282</v>
      </c>
      <c r="B650" s="25" t="s">
        <v>3935</v>
      </c>
      <c r="C650" s="25" t="s">
        <v>419</v>
      </c>
      <c r="D650" s="17" t="str">
        <f>vlookup(C650,'1. 신청자리스트'!J:N,2,false)</f>
        <v>정상</v>
      </c>
      <c r="E650" s="25"/>
      <c r="F650" s="25" t="s">
        <v>3586</v>
      </c>
      <c r="G650" s="26">
        <v>35000.0</v>
      </c>
      <c r="H650" s="27" t="s">
        <v>3983</v>
      </c>
      <c r="I650" s="28"/>
      <c r="J650" s="28"/>
      <c r="K650" s="28"/>
      <c r="L650" s="29"/>
      <c r="M650" s="22"/>
      <c r="N650" s="22"/>
      <c r="O650" s="22"/>
      <c r="P650" s="22"/>
      <c r="Q650" s="22"/>
      <c r="R650" s="22"/>
      <c r="S650" s="22"/>
      <c r="T650" s="23"/>
    </row>
    <row r="651">
      <c r="A651" s="16" t="s">
        <v>4008</v>
      </c>
      <c r="B651" s="17" t="s">
        <v>3932</v>
      </c>
      <c r="C651" s="17" t="s">
        <v>420</v>
      </c>
      <c r="D651" s="17" t="str">
        <f>vlookup(C651,'1. 신청자리스트'!J:N,2,false)</f>
        <v>정상</v>
      </c>
      <c r="E651" s="17"/>
      <c r="F651" s="17" t="s">
        <v>420</v>
      </c>
      <c r="G651" s="18">
        <v>35000.0</v>
      </c>
      <c r="H651" s="19" t="s">
        <v>4283</v>
      </c>
      <c r="I651" s="20"/>
      <c r="J651" s="20"/>
      <c r="K651" s="20"/>
      <c r="L651" s="21"/>
      <c r="M651" s="22"/>
      <c r="N651" s="22"/>
      <c r="O651" s="22"/>
      <c r="P651" s="22"/>
      <c r="Q651" s="22"/>
      <c r="R651" s="22"/>
      <c r="S651" s="22"/>
      <c r="T651" s="23"/>
    </row>
    <row r="652">
      <c r="A652" s="16" t="s">
        <v>3940</v>
      </c>
      <c r="B652" s="17" t="s">
        <v>3935</v>
      </c>
      <c r="C652" s="17" t="s">
        <v>882</v>
      </c>
      <c r="D652" s="17" t="str">
        <f>vlookup(C652,'1. 신청자리스트'!J:N,2,false)</f>
        <v>정상</v>
      </c>
      <c r="E652" s="17"/>
      <c r="F652" s="17" t="s">
        <v>882</v>
      </c>
      <c r="G652" s="18">
        <v>70000.0</v>
      </c>
      <c r="H652" s="19" t="s">
        <v>3983</v>
      </c>
      <c r="I652" s="20"/>
      <c r="J652" s="20"/>
      <c r="K652" s="20"/>
      <c r="L652" s="21"/>
      <c r="M652" s="22"/>
      <c r="N652" s="22"/>
      <c r="O652" s="22"/>
      <c r="P652" s="22"/>
      <c r="Q652" s="22"/>
      <c r="R652" s="22"/>
      <c r="S652" s="22"/>
      <c r="T652" s="23"/>
    </row>
    <row r="653">
      <c r="A653" s="16" t="s">
        <v>4284</v>
      </c>
      <c r="B653" s="17" t="s">
        <v>3935</v>
      </c>
      <c r="C653" s="17" t="s">
        <v>421</v>
      </c>
      <c r="D653" s="17" t="str">
        <f>vlookup(C653,'1. 신청자리스트'!J:N,2,false)</f>
        <v>정상</v>
      </c>
      <c r="E653" s="17"/>
      <c r="F653" s="17" t="s">
        <v>4285</v>
      </c>
      <c r="G653" s="18">
        <v>35000.0</v>
      </c>
      <c r="H653" s="19" t="s">
        <v>3961</v>
      </c>
      <c r="I653" s="20"/>
      <c r="J653" s="20"/>
      <c r="K653" s="20"/>
      <c r="L653" s="21"/>
      <c r="M653" s="22"/>
      <c r="N653" s="22"/>
      <c r="O653" s="22"/>
      <c r="P653" s="22"/>
      <c r="Q653" s="22"/>
      <c r="R653" s="22"/>
      <c r="S653" s="22"/>
      <c r="T653" s="23"/>
    </row>
    <row r="654">
      <c r="A654" s="16" t="s">
        <v>3989</v>
      </c>
      <c r="B654" s="17" t="s">
        <v>3935</v>
      </c>
      <c r="C654" s="17" t="s">
        <v>883</v>
      </c>
      <c r="D654" s="17" t="str">
        <f>vlookup(C654,'1. 신청자리스트'!J:N,2,false)</f>
        <v>정상</v>
      </c>
      <c r="E654" s="17"/>
      <c r="F654" s="17" t="s">
        <v>4286</v>
      </c>
      <c r="G654" s="18">
        <v>70000.0</v>
      </c>
      <c r="H654" s="19" t="s">
        <v>3946</v>
      </c>
      <c r="I654" s="20"/>
      <c r="J654" s="20"/>
      <c r="K654" s="20"/>
      <c r="L654" s="21"/>
      <c r="M654" s="22"/>
      <c r="N654" s="22"/>
      <c r="O654" s="22"/>
      <c r="P654" s="22"/>
      <c r="Q654" s="22"/>
      <c r="R654" s="22"/>
      <c r="S654" s="22"/>
      <c r="T654" s="23"/>
    </row>
    <row r="655">
      <c r="A655" s="16" t="s">
        <v>3953</v>
      </c>
      <c r="B655" s="17" t="s">
        <v>3935</v>
      </c>
      <c r="C655" s="17" t="s">
        <v>884</v>
      </c>
      <c r="D655" s="17" t="str">
        <f>vlookup(C655,'1. 신청자리스트'!J:N,2,false)</f>
        <v>정상</v>
      </c>
      <c r="E655" s="17"/>
      <c r="F655" s="17" t="s">
        <v>884</v>
      </c>
      <c r="G655" s="18">
        <v>70000.0</v>
      </c>
      <c r="H655" s="19" t="s">
        <v>3941</v>
      </c>
      <c r="I655" s="20"/>
      <c r="J655" s="20"/>
      <c r="K655" s="20"/>
      <c r="L655" s="21"/>
      <c r="M655" s="22"/>
      <c r="N655" s="22"/>
      <c r="O655" s="22"/>
      <c r="P655" s="22"/>
      <c r="Q655" s="22"/>
      <c r="R655" s="22"/>
      <c r="S655" s="22"/>
      <c r="T655" s="23"/>
    </row>
    <row r="656">
      <c r="A656" s="24" t="s">
        <v>3940</v>
      </c>
      <c r="B656" s="25" t="s">
        <v>3932</v>
      </c>
      <c r="C656" s="25" t="s">
        <v>422</v>
      </c>
      <c r="D656" s="17" t="str">
        <f>vlookup(C656,'1. 신청자리스트'!J:N,2,false)</f>
        <v>정상</v>
      </c>
      <c r="E656" s="25"/>
      <c r="F656" s="25" t="s">
        <v>3592</v>
      </c>
      <c r="G656" s="26">
        <v>35000.0</v>
      </c>
      <c r="H656" s="27" t="s">
        <v>4287</v>
      </c>
      <c r="I656" s="28"/>
      <c r="J656" s="28"/>
      <c r="K656" s="28"/>
      <c r="L656" s="29"/>
      <c r="M656" s="22"/>
      <c r="N656" s="22"/>
      <c r="O656" s="22"/>
      <c r="P656" s="22"/>
      <c r="Q656" s="22"/>
      <c r="R656" s="22"/>
      <c r="S656" s="22"/>
      <c r="T656" s="23"/>
    </row>
    <row r="657">
      <c r="A657" s="16" t="s">
        <v>3962</v>
      </c>
      <c r="B657" s="17" t="s">
        <v>3935</v>
      </c>
      <c r="C657" s="17" t="s">
        <v>423</v>
      </c>
      <c r="D657" s="17" t="str">
        <f>vlookup(C657,'1. 신청자리스트'!J:N,2,false)</f>
        <v>정상</v>
      </c>
      <c r="E657" s="17"/>
      <c r="F657" s="17" t="s">
        <v>423</v>
      </c>
      <c r="G657" s="18">
        <v>35000.0</v>
      </c>
      <c r="H657" s="19" t="s">
        <v>4041</v>
      </c>
      <c r="I657" s="20"/>
      <c r="J657" s="20"/>
      <c r="K657" s="20"/>
      <c r="L657" s="21"/>
      <c r="M657" s="22"/>
      <c r="N657" s="22"/>
      <c r="O657" s="22"/>
      <c r="P657" s="22"/>
      <c r="Q657" s="22"/>
      <c r="R657" s="22"/>
      <c r="S657" s="22"/>
      <c r="T657" s="23"/>
    </row>
    <row r="658">
      <c r="A658" s="16" t="s">
        <v>4288</v>
      </c>
      <c r="B658" s="17" t="s">
        <v>3932</v>
      </c>
      <c r="C658" s="17" t="s">
        <v>424</v>
      </c>
      <c r="D658" s="17" t="str">
        <f>vlookup(C658,'1. 신청자리스트'!J:N,2,false)</f>
        <v>정상</v>
      </c>
      <c r="E658" s="17"/>
      <c r="F658" s="17" t="s">
        <v>424</v>
      </c>
      <c r="G658" s="18">
        <v>35000.0</v>
      </c>
      <c r="H658" s="19" t="s">
        <v>4253</v>
      </c>
      <c r="I658" s="20"/>
      <c r="J658" s="20"/>
      <c r="K658" s="20"/>
      <c r="L658" s="21"/>
      <c r="M658" s="22"/>
      <c r="N658" s="22"/>
      <c r="O658" s="22"/>
      <c r="P658" s="22"/>
      <c r="Q658" s="22"/>
      <c r="R658" s="22"/>
      <c r="S658" s="22"/>
      <c r="T658" s="23"/>
    </row>
    <row r="659">
      <c r="A659" s="16" t="s">
        <v>4071</v>
      </c>
      <c r="B659" s="17" t="s">
        <v>3935</v>
      </c>
      <c r="C659" s="17" t="s">
        <v>425</v>
      </c>
      <c r="D659" s="17" t="str">
        <f>vlookup(C659,'1. 신청자리스트'!J:N,2,false)</f>
        <v>정상</v>
      </c>
      <c r="E659" s="17"/>
      <c r="F659" s="17" t="s">
        <v>425</v>
      </c>
      <c r="G659" s="18">
        <v>35000.0</v>
      </c>
      <c r="H659" s="19" t="s">
        <v>3983</v>
      </c>
      <c r="I659" s="20"/>
      <c r="J659" s="20"/>
      <c r="K659" s="20"/>
      <c r="L659" s="21"/>
      <c r="M659" s="22"/>
      <c r="N659" s="22"/>
      <c r="O659" s="22"/>
      <c r="P659" s="22"/>
      <c r="Q659" s="22"/>
      <c r="R659" s="22"/>
      <c r="S659" s="22"/>
      <c r="T659" s="23"/>
    </row>
    <row r="660">
      <c r="A660" s="16" t="s">
        <v>4002</v>
      </c>
      <c r="B660" s="17" t="s">
        <v>3935</v>
      </c>
      <c r="C660" s="17" t="s">
        <v>885</v>
      </c>
      <c r="D660" s="17" t="str">
        <f>vlookup(C660,'1. 신청자리스트'!J:N,2,false)</f>
        <v>정상</v>
      </c>
      <c r="E660" s="17"/>
      <c r="F660" s="17" t="s">
        <v>885</v>
      </c>
      <c r="G660" s="18">
        <v>70000.0</v>
      </c>
      <c r="H660" s="19" t="s">
        <v>3983</v>
      </c>
      <c r="I660" s="20"/>
      <c r="J660" s="20"/>
      <c r="K660" s="20"/>
      <c r="L660" s="21"/>
      <c r="M660" s="22"/>
      <c r="N660" s="22"/>
      <c r="O660" s="22"/>
      <c r="P660" s="22"/>
      <c r="Q660" s="22"/>
      <c r="R660" s="22"/>
      <c r="S660" s="22"/>
      <c r="T660" s="23"/>
    </row>
    <row r="661">
      <c r="A661" s="16" t="s">
        <v>4289</v>
      </c>
      <c r="B661" s="17" t="s">
        <v>4290</v>
      </c>
      <c r="C661" s="17" t="s">
        <v>426</v>
      </c>
      <c r="D661" s="17" t="str">
        <f>vlookup(C661,'1. 신청자리스트'!J:N,2,false)</f>
        <v>정상</v>
      </c>
      <c r="E661" s="17"/>
      <c r="F661" s="17" t="s">
        <v>426</v>
      </c>
      <c r="G661" s="18">
        <v>35000.0</v>
      </c>
      <c r="H661" s="19" t="s">
        <v>3948</v>
      </c>
      <c r="I661" s="20"/>
      <c r="J661" s="20"/>
      <c r="K661" s="20"/>
      <c r="L661" s="21"/>
      <c r="M661" s="22"/>
      <c r="N661" s="22"/>
      <c r="O661" s="22"/>
      <c r="P661" s="22"/>
      <c r="Q661" s="22"/>
      <c r="R661" s="22"/>
      <c r="S661" s="22"/>
      <c r="T661" s="23"/>
    </row>
    <row r="662">
      <c r="A662" s="16" t="s">
        <v>3942</v>
      </c>
      <c r="B662" s="17" t="s">
        <v>3935</v>
      </c>
      <c r="C662" s="17" t="s">
        <v>886</v>
      </c>
      <c r="D662" s="17" t="str">
        <f>vlookup(C662,'1. 신청자리스트'!J:N,2,false)</f>
        <v>정상</v>
      </c>
      <c r="E662" s="17"/>
      <c r="F662" s="17" t="s">
        <v>886</v>
      </c>
      <c r="G662" s="18">
        <v>70000.0</v>
      </c>
      <c r="H662" s="19" t="s">
        <v>3968</v>
      </c>
      <c r="I662" s="20"/>
      <c r="J662" s="20"/>
      <c r="K662" s="20"/>
      <c r="L662" s="21"/>
      <c r="M662" s="22"/>
      <c r="N662" s="22"/>
      <c r="O662" s="22"/>
      <c r="P662" s="22"/>
      <c r="Q662" s="22"/>
      <c r="R662" s="22"/>
      <c r="S662" s="22"/>
      <c r="T662" s="23"/>
    </row>
    <row r="663">
      <c r="A663" s="24" t="s">
        <v>3989</v>
      </c>
      <c r="B663" s="25" t="s">
        <v>3935</v>
      </c>
      <c r="C663" s="25" t="s">
        <v>887</v>
      </c>
      <c r="D663" s="17" t="str">
        <f>vlookup(C663,'1. 신청자리스트'!J:N,2,false)</f>
        <v>정상</v>
      </c>
      <c r="E663" s="25"/>
      <c r="F663" s="25" t="s">
        <v>1539</v>
      </c>
      <c r="G663" s="26">
        <v>70000.0</v>
      </c>
      <c r="H663" s="27" t="s">
        <v>3941</v>
      </c>
      <c r="I663" s="28"/>
      <c r="J663" s="28"/>
      <c r="K663" s="28"/>
      <c r="L663" s="29"/>
      <c r="M663" s="22"/>
      <c r="N663" s="22"/>
      <c r="O663" s="22"/>
      <c r="P663" s="22"/>
      <c r="Q663" s="22"/>
      <c r="R663" s="22"/>
      <c r="S663" s="22"/>
      <c r="T663" s="23"/>
    </row>
    <row r="664">
      <c r="A664" s="16" t="s">
        <v>3962</v>
      </c>
      <c r="B664" s="17" t="s">
        <v>3935</v>
      </c>
      <c r="C664" s="17" t="s">
        <v>427</v>
      </c>
      <c r="D664" s="17" t="str">
        <f>vlookup(C664,'1. 신청자리스트'!J:N,2,false)</f>
        <v>정상</v>
      </c>
      <c r="E664" s="17"/>
      <c r="F664" s="17" t="s">
        <v>427</v>
      </c>
      <c r="G664" s="18">
        <v>35000.0</v>
      </c>
      <c r="H664" s="19" t="s">
        <v>3941</v>
      </c>
      <c r="I664" s="20"/>
      <c r="J664" s="20"/>
      <c r="K664" s="20"/>
      <c r="L664" s="21"/>
      <c r="M664" s="22"/>
      <c r="N664" s="22"/>
      <c r="O664" s="22"/>
      <c r="P664" s="22"/>
      <c r="Q664" s="22"/>
      <c r="R664" s="22"/>
      <c r="S664" s="22"/>
      <c r="T664" s="23"/>
    </row>
    <row r="665">
      <c r="A665" s="16" t="s">
        <v>3942</v>
      </c>
      <c r="B665" s="17" t="s">
        <v>3935</v>
      </c>
      <c r="C665" s="17" t="s">
        <v>428</v>
      </c>
      <c r="D665" s="17" t="str">
        <f>vlookup(C665,'1. 신청자리스트'!J:N,2,false)</f>
        <v>정상</v>
      </c>
      <c r="E665" s="17"/>
      <c r="F665" s="17" t="s">
        <v>428</v>
      </c>
      <c r="G665" s="18">
        <v>35000.0</v>
      </c>
      <c r="H665" s="19" t="s">
        <v>3952</v>
      </c>
      <c r="I665" s="20"/>
      <c r="J665" s="20"/>
      <c r="K665" s="20"/>
      <c r="L665" s="21"/>
      <c r="M665" s="22"/>
      <c r="N665" s="22"/>
      <c r="O665" s="22"/>
      <c r="P665" s="22"/>
      <c r="Q665" s="22"/>
      <c r="R665" s="22"/>
      <c r="S665" s="22"/>
      <c r="T665" s="23"/>
    </row>
    <row r="666">
      <c r="A666" s="16" t="s">
        <v>3940</v>
      </c>
      <c r="B666" s="17" t="s">
        <v>3935</v>
      </c>
      <c r="C666" s="17" t="s">
        <v>429</v>
      </c>
      <c r="D666" s="17" t="str">
        <f>vlookup(C666,'1. 신청자리스트'!J:N,2,false)</f>
        <v>정상</v>
      </c>
      <c r="E666" s="17"/>
      <c r="F666" s="17" t="s">
        <v>429</v>
      </c>
      <c r="G666" s="18">
        <v>35000.0</v>
      </c>
      <c r="H666" s="19" t="s">
        <v>3941</v>
      </c>
      <c r="I666" s="20"/>
      <c r="J666" s="20"/>
      <c r="K666" s="20"/>
      <c r="L666" s="21"/>
      <c r="M666" s="22"/>
      <c r="N666" s="22"/>
      <c r="O666" s="22"/>
      <c r="P666" s="22"/>
      <c r="Q666" s="22"/>
      <c r="R666" s="22"/>
      <c r="S666" s="22"/>
      <c r="T666" s="23"/>
    </row>
    <row r="667">
      <c r="A667" s="16" t="s">
        <v>3942</v>
      </c>
      <c r="B667" s="17" t="s">
        <v>3935</v>
      </c>
      <c r="C667" s="17" t="s">
        <v>430</v>
      </c>
      <c r="D667" s="17" t="str">
        <f>vlookup(C667,'1. 신청자리스트'!J:N,2,false)</f>
        <v>정상</v>
      </c>
      <c r="E667" s="17"/>
      <c r="F667" s="17" t="s">
        <v>430</v>
      </c>
      <c r="G667" s="18">
        <v>35000.0</v>
      </c>
      <c r="H667" s="19" t="s">
        <v>3948</v>
      </c>
      <c r="I667" s="20"/>
      <c r="J667" s="20"/>
      <c r="K667" s="20"/>
      <c r="L667" s="21"/>
      <c r="M667" s="22"/>
      <c r="N667" s="22"/>
      <c r="O667" s="22"/>
      <c r="P667" s="22"/>
      <c r="Q667" s="22"/>
      <c r="R667" s="22"/>
      <c r="S667" s="22"/>
      <c r="T667" s="23"/>
    </row>
    <row r="668">
      <c r="A668" s="16" t="s">
        <v>3945</v>
      </c>
      <c r="B668" s="17" t="s">
        <v>3935</v>
      </c>
      <c r="C668" s="17" t="s">
        <v>431</v>
      </c>
      <c r="D668" s="17" t="str">
        <f>vlookup(C668,'1. 신청자리스트'!J:N,2,false)</f>
        <v>정상</v>
      </c>
      <c r="E668" s="17"/>
      <c r="F668" s="17" t="s">
        <v>431</v>
      </c>
      <c r="G668" s="18">
        <v>35000.0</v>
      </c>
      <c r="H668" s="19" t="s">
        <v>3939</v>
      </c>
      <c r="I668" s="20"/>
      <c r="J668" s="20"/>
      <c r="K668" s="20"/>
      <c r="L668" s="21"/>
      <c r="M668" s="22"/>
      <c r="N668" s="22"/>
      <c r="O668" s="22"/>
      <c r="P668" s="22"/>
      <c r="Q668" s="22"/>
      <c r="R668" s="22"/>
      <c r="S668" s="22"/>
      <c r="T668" s="23"/>
    </row>
    <row r="669">
      <c r="A669" s="24" t="s">
        <v>3945</v>
      </c>
      <c r="B669" s="25" t="s">
        <v>3935</v>
      </c>
      <c r="C669" s="25" t="s">
        <v>888</v>
      </c>
      <c r="D669" s="17" t="str">
        <f>vlookup(C669,'1. 신청자리스트'!J:N,2,false)</f>
        <v>정상</v>
      </c>
      <c r="E669" s="25"/>
      <c r="F669" s="25" t="s">
        <v>1959</v>
      </c>
      <c r="G669" s="26">
        <v>70000.0</v>
      </c>
      <c r="H669" s="27" t="s">
        <v>3983</v>
      </c>
      <c r="I669" s="28"/>
      <c r="J669" s="28"/>
      <c r="K669" s="28"/>
      <c r="L669" s="29"/>
      <c r="M669" s="22"/>
      <c r="N669" s="22"/>
      <c r="O669" s="22"/>
      <c r="P669" s="22"/>
      <c r="Q669" s="22"/>
      <c r="R669" s="22"/>
      <c r="S669" s="22"/>
      <c r="T669" s="23"/>
    </row>
    <row r="670">
      <c r="A670" s="16" t="s">
        <v>3985</v>
      </c>
      <c r="B670" s="17" t="s">
        <v>3935</v>
      </c>
      <c r="C670" s="17" t="s">
        <v>433</v>
      </c>
      <c r="D670" s="17" t="str">
        <f>vlookup(C670,'1. 신청자리스트'!J:N,2,false)</f>
        <v>정상</v>
      </c>
      <c r="E670" s="17"/>
      <c r="F670" s="17" t="s">
        <v>433</v>
      </c>
      <c r="G670" s="18">
        <v>35000.0</v>
      </c>
      <c r="H670" s="19" t="s">
        <v>3952</v>
      </c>
      <c r="I670" s="20"/>
      <c r="J670" s="20"/>
      <c r="K670" s="20"/>
      <c r="L670" s="21"/>
      <c r="M670" s="22"/>
      <c r="N670" s="22"/>
      <c r="O670" s="22"/>
      <c r="P670" s="22"/>
      <c r="Q670" s="22"/>
      <c r="R670" s="22"/>
      <c r="S670" s="22"/>
      <c r="T670" s="23"/>
    </row>
    <row r="671">
      <c r="A671" s="24" t="s">
        <v>3931</v>
      </c>
      <c r="B671" s="25" t="s">
        <v>3935</v>
      </c>
      <c r="C671" s="25" t="s">
        <v>434</v>
      </c>
      <c r="D671" s="17" t="str">
        <f>vlookup(C671,'1. 신청자리스트'!J:N,2,false)</f>
        <v>정상</v>
      </c>
      <c r="E671" s="25"/>
      <c r="F671" s="25" t="s">
        <v>3614</v>
      </c>
      <c r="G671" s="26">
        <v>35000.0</v>
      </c>
      <c r="H671" s="27" t="s">
        <v>3983</v>
      </c>
      <c r="I671" s="28"/>
      <c r="J671" s="28"/>
      <c r="K671" s="28"/>
      <c r="L671" s="29"/>
      <c r="M671" s="22"/>
      <c r="N671" s="22"/>
      <c r="O671" s="22"/>
      <c r="P671" s="22"/>
      <c r="Q671" s="22"/>
      <c r="R671" s="22"/>
      <c r="S671" s="22"/>
      <c r="T671" s="23"/>
    </row>
    <row r="672">
      <c r="A672" s="16" t="s">
        <v>3989</v>
      </c>
      <c r="B672" s="17" t="s">
        <v>3935</v>
      </c>
      <c r="C672" s="17" t="s">
        <v>889</v>
      </c>
      <c r="D672" s="17" t="str">
        <f>vlookup(C672,'1. 신청자리스트'!J:N,2,false)</f>
        <v>정상</v>
      </c>
      <c r="E672" s="17"/>
      <c r="F672" s="17" t="s">
        <v>889</v>
      </c>
      <c r="G672" s="18">
        <v>70000.0</v>
      </c>
      <c r="H672" s="19" t="s">
        <v>3948</v>
      </c>
      <c r="I672" s="20"/>
      <c r="J672" s="20"/>
      <c r="K672" s="20"/>
      <c r="L672" s="21"/>
      <c r="M672" s="22"/>
      <c r="N672" s="22"/>
      <c r="O672" s="22"/>
      <c r="P672" s="22"/>
      <c r="Q672" s="22"/>
      <c r="R672" s="22"/>
      <c r="S672" s="22"/>
      <c r="T672" s="23"/>
    </row>
    <row r="673">
      <c r="A673" s="16" t="s">
        <v>4071</v>
      </c>
      <c r="B673" s="17" t="s">
        <v>3932</v>
      </c>
      <c r="C673" s="17" t="s">
        <v>435</v>
      </c>
      <c r="D673" s="17" t="str">
        <f>vlookup(C673,'1. 신청자리스트'!J:N,2,false)</f>
        <v>정상</v>
      </c>
      <c r="E673" s="17"/>
      <c r="F673" s="17" t="s">
        <v>435</v>
      </c>
      <c r="G673" s="18">
        <v>35000.0</v>
      </c>
      <c r="H673" s="19" t="s">
        <v>4291</v>
      </c>
      <c r="I673" s="20"/>
      <c r="J673" s="20"/>
      <c r="K673" s="20"/>
      <c r="L673" s="21"/>
      <c r="M673" s="22"/>
      <c r="N673" s="22"/>
      <c r="O673" s="22"/>
      <c r="P673" s="22"/>
      <c r="Q673" s="22"/>
      <c r="R673" s="22"/>
      <c r="S673" s="22"/>
      <c r="T673" s="23"/>
    </row>
    <row r="674">
      <c r="A674" s="16" t="s">
        <v>3940</v>
      </c>
      <c r="B674" s="17" t="s">
        <v>3935</v>
      </c>
      <c r="C674" s="17" t="s">
        <v>436</v>
      </c>
      <c r="D674" s="17" t="str">
        <f>vlookup(C674,'1. 신청자리스트'!J:N,2,false)</f>
        <v>정상</v>
      </c>
      <c r="E674" s="17"/>
      <c r="F674" s="17" t="s">
        <v>436</v>
      </c>
      <c r="G674" s="18">
        <v>35000.0</v>
      </c>
      <c r="H674" s="19" t="s">
        <v>3983</v>
      </c>
      <c r="I674" s="20"/>
      <c r="J674" s="20"/>
      <c r="K674" s="20"/>
      <c r="L674" s="21"/>
      <c r="M674" s="22"/>
      <c r="N674" s="22"/>
      <c r="O674" s="22"/>
      <c r="P674" s="22"/>
      <c r="Q674" s="22"/>
      <c r="R674" s="22"/>
      <c r="S674" s="22"/>
      <c r="T674" s="23"/>
    </row>
    <row r="675">
      <c r="A675" s="24" t="s">
        <v>4292</v>
      </c>
      <c r="B675" s="25" t="s">
        <v>3932</v>
      </c>
      <c r="C675" s="25" t="s">
        <v>437</v>
      </c>
      <c r="D675" s="17" t="str">
        <f>vlookup(C675,'1. 신청자리스트'!J:N,2,false)</f>
        <v>정상</v>
      </c>
      <c r="E675" s="25"/>
      <c r="F675" s="25" t="s">
        <v>3620</v>
      </c>
      <c r="G675" s="26">
        <v>35000.0</v>
      </c>
      <c r="H675" s="27" t="s">
        <v>4293</v>
      </c>
      <c r="I675" s="28"/>
      <c r="J675" s="28"/>
      <c r="K675" s="28"/>
      <c r="L675" s="29"/>
      <c r="M675" s="22"/>
      <c r="N675" s="22"/>
      <c r="O675" s="22"/>
      <c r="P675" s="22"/>
      <c r="Q675" s="22"/>
      <c r="R675" s="22"/>
      <c r="S675" s="22"/>
      <c r="T675" s="23"/>
    </row>
    <row r="676">
      <c r="A676" s="16" t="s">
        <v>4002</v>
      </c>
      <c r="B676" s="17" t="s">
        <v>3935</v>
      </c>
      <c r="C676" s="17" t="s">
        <v>890</v>
      </c>
      <c r="D676" s="17" t="str">
        <f>vlookup(C676,'1. 신청자리스트'!J:N,2,false)</f>
        <v>정상</v>
      </c>
      <c r="E676" s="17"/>
      <c r="F676" s="17" t="s">
        <v>890</v>
      </c>
      <c r="G676" s="18">
        <v>70000.0</v>
      </c>
      <c r="H676" s="19" t="s">
        <v>3952</v>
      </c>
      <c r="I676" s="20"/>
      <c r="J676" s="20"/>
      <c r="K676" s="20"/>
      <c r="L676" s="21"/>
      <c r="M676" s="22"/>
      <c r="N676" s="22"/>
      <c r="O676" s="22"/>
      <c r="P676" s="22"/>
      <c r="Q676" s="22"/>
      <c r="R676" s="22"/>
      <c r="S676" s="22"/>
      <c r="T676" s="23"/>
    </row>
    <row r="677">
      <c r="A677" s="16" t="s">
        <v>3940</v>
      </c>
      <c r="B677" s="17" t="s">
        <v>3935</v>
      </c>
      <c r="C677" s="17" t="s">
        <v>438</v>
      </c>
      <c r="D677" s="17" t="str">
        <f>vlookup(C677,'1. 신청자리스트'!J:N,2,false)</f>
        <v>정상</v>
      </c>
      <c r="E677" s="17"/>
      <c r="F677" s="17" t="s">
        <v>4294</v>
      </c>
      <c r="G677" s="18">
        <v>35000.0</v>
      </c>
      <c r="H677" s="19" t="s">
        <v>3946</v>
      </c>
      <c r="I677" s="20"/>
      <c r="J677" s="20"/>
      <c r="K677" s="20"/>
      <c r="L677" s="21"/>
      <c r="M677" s="22"/>
      <c r="N677" s="22"/>
      <c r="O677" s="22"/>
      <c r="P677" s="22"/>
      <c r="Q677" s="22"/>
      <c r="R677" s="22"/>
      <c r="S677" s="22"/>
      <c r="T677" s="23"/>
    </row>
    <row r="678">
      <c r="A678" s="16" t="s">
        <v>3949</v>
      </c>
      <c r="B678" s="17" t="s">
        <v>3935</v>
      </c>
      <c r="C678" s="17" t="s">
        <v>891</v>
      </c>
      <c r="D678" s="17" t="str">
        <f>vlookup(C678,'1. 신청자리스트'!J:N,2,false)</f>
        <v>정상</v>
      </c>
      <c r="E678" s="17"/>
      <c r="F678" s="17" t="s">
        <v>891</v>
      </c>
      <c r="G678" s="18">
        <v>70000.0</v>
      </c>
      <c r="H678" s="19" t="s">
        <v>3939</v>
      </c>
      <c r="I678" s="20"/>
      <c r="J678" s="20"/>
      <c r="K678" s="20"/>
      <c r="L678" s="21"/>
      <c r="M678" s="22"/>
      <c r="N678" s="22"/>
      <c r="O678" s="22"/>
      <c r="P678" s="22"/>
      <c r="Q678" s="22"/>
      <c r="R678" s="22"/>
      <c r="S678" s="22"/>
      <c r="T678" s="23"/>
    </row>
    <row r="679">
      <c r="A679" s="16" t="s">
        <v>3945</v>
      </c>
      <c r="B679" s="17" t="s">
        <v>3935</v>
      </c>
      <c r="C679" s="17" t="s">
        <v>439</v>
      </c>
      <c r="D679" s="17" t="str">
        <f>vlookup(C679,'1. 신청자리스트'!J:N,2,false)</f>
        <v>정상</v>
      </c>
      <c r="E679" s="17"/>
      <c r="F679" s="17" t="s">
        <v>439</v>
      </c>
      <c r="G679" s="18">
        <v>35000.0</v>
      </c>
      <c r="H679" s="19" t="s">
        <v>3948</v>
      </c>
      <c r="I679" s="20"/>
      <c r="J679" s="20"/>
      <c r="K679" s="20"/>
      <c r="L679" s="21"/>
      <c r="M679" s="22"/>
      <c r="N679" s="22"/>
      <c r="O679" s="22"/>
      <c r="P679" s="22"/>
      <c r="Q679" s="22"/>
      <c r="R679" s="22"/>
      <c r="S679" s="22"/>
      <c r="T679" s="23"/>
    </row>
    <row r="680">
      <c r="A680" s="24" t="s">
        <v>3945</v>
      </c>
      <c r="B680" s="25" t="s">
        <v>3932</v>
      </c>
      <c r="C680" s="25" t="s">
        <v>838</v>
      </c>
      <c r="D680" s="17" t="str">
        <f>vlookup(C680,'1. 신청자리스트'!J:N,2,false)</f>
        <v>정상</v>
      </c>
      <c r="E680" s="17" t="str">
        <f>if(vlookup(C680,'문의'!D:D,1,false)=C680,"있음")</f>
        <v>있음</v>
      </c>
      <c r="F680" s="25" t="s">
        <v>4295</v>
      </c>
      <c r="G680" s="26">
        <v>70000.0</v>
      </c>
      <c r="H680" s="27" t="s">
        <v>4296</v>
      </c>
      <c r="I680" s="28"/>
      <c r="J680" s="28"/>
      <c r="K680" s="28"/>
      <c r="L680" s="29"/>
      <c r="M680" s="22"/>
      <c r="N680" s="22"/>
      <c r="O680" s="22"/>
      <c r="P680" s="22"/>
      <c r="Q680" s="22"/>
      <c r="R680" s="22"/>
      <c r="S680" s="22"/>
      <c r="T680" s="23"/>
    </row>
    <row r="681">
      <c r="A681" s="16" t="s">
        <v>3945</v>
      </c>
      <c r="B681" s="17" t="s">
        <v>3935</v>
      </c>
      <c r="C681" s="17" t="s">
        <v>440</v>
      </c>
      <c r="D681" s="17" t="str">
        <f>vlookup(C681,'1. 신청자리스트'!J:N,2,false)</f>
        <v>정상</v>
      </c>
      <c r="E681" s="17"/>
      <c r="F681" s="17" t="s">
        <v>440</v>
      </c>
      <c r="G681" s="18">
        <v>35000.0</v>
      </c>
      <c r="H681" s="19" t="s">
        <v>3983</v>
      </c>
      <c r="I681" s="20"/>
      <c r="J681" s="20"/>
      <c r="K681" s="20"/>
      <c r="L681" s="21"/>
      <c r="M681" s="22"/>
      <c r="N681" s="22"/>
      <c r="O681" s="22"/>
      <c r="P681" s="22"/>
      <c r="Q681" s="22"/>
      <c r="R681" s="22"/>
      <c r="S681" s="22"/>
      <c r="T681" s="23"/>
    </row>
    <row r="682">
      <c r="A682" s="16" t="s">
        <v>3931</v>
      </c>
      <c r="B682" s="17" t="s">
        <v>3935</v>
      </c>
      <c r="C682" s="17" t="s">
        <v>442</v>
      </c>
      <c r="D682" s="17" t="str">
        <f>vlookup(C682,'1. 신청자리스트'!J:N,2,false)</f>
        <v>정상</v>
      </c>
      <c r="E682" s="17"/>
      <c r="F682" s="17" t="s">
        <v>4297</v>
      </c>
      <c r="G682" s="18">
        <v>35000.0</v>
      </c>
      <c r="H682" s="19" t="s">
        <v>3941</v>
      </c>
      <c r="I682" s="20"/>
      <c r="J682" s="20"/>
      <c r="K682" s="20"/>
      <c r="L682" s="21"/>
      <c r="M682" s="22"/>
      <c r="N682" s="22"/>
      <c r="O682" s="22"/>
      <c r="P682" s="22"/>
      <c r="Q682" s="22"/>
      <c r="R682" s="22"/>
      <c r="S682" s="22"/>
      <c r="T682" s="23"/>
    </row>
    <row r="683">
      <c r="A683" s="30" t="s">
        <v>3998</v>
      </c>
      <c r="B683" s="31" t="s">
        <v>3935</v>
      </c>
      <c r="C683" s="31" t="s">
        <v>4298</v>
      </c>
      <c r="D683" s="17" t="str">
        <f>vlookup(C683,'1. 신청자리스트'!J:N,2,false)</f>
        <v>정상</v>
      </c>
      <c r="E683" s="31"/>
      <c r="F683" s="31" t="s">
        <v>4298</v>
      </c>
      <c r="G683" s="32">
        <v>35000.0</v>
      </c>
      <c r="H683" s="33" t="s">
        <v>3990</v>
      </c>
      <c r="I683" s="36" t="str">
        <f>VLOOKUP(C683, '문의'!D:E, 2, FALSE)</f>
        <v>[입금/결제] 입금계좌가 안나와서 입금을 못했으니 계좌 알려주십시오</v>
      </c>
      <c r="J683" s="36">
        <f t="array" ref="J683">INDEX('문의'!C:C, MATCH(C683, '문의'!D:D, 0))</f>
        <v>1093368291</v>
      </c>
      <c r="K683" s="36" t="s">
        <v>3957</v>
      </c>
      <c r="L683" s="49" t="s">
        <v>4299</v>
      </c>
      <c r="M683" s="42"/>
      <c r="N683" s="42"/>
      <c r="O683" s="42"/>
      <c r="P683" s="42"/>
      <c r="Q683" s="42"/>
      <c r="R683" s="44"/>
      <c r="S683" s="42"/>
      <c r="T683" s="41"/>
    </row>
    <row r="684">
      <c r="A684" s="24" t="s">
        <v>3942</v>
      </c>
      <c r="B684" s="25" t="s">
        <v>3932</v>
      </c>
      <c r="C684" s="25" t="s">
        <v>443</v>
      </c>
      <c r="D684" s="17" t="str">
        <f>vlookup(C684,'1. 신청자리스트'!J:N,2,false)</f>
        <v>정상</v>
      </c>
      <c r="E684" s="25"/>
      <c r="F684" s="25" t="s">
        <v>3630</v>
      </c>
      <c r="G684" s="26">
        <v>35000.0</v>
      </c>
      <c r="H684" s="27" t="s">
        <v>4300</v>
      </c>
      <c r="I684" s="28"/>
      <c r="J684" s="28"/>
      <c r="K684" s="28"/>
      <c r="L684" s="29"/>
      <c r="M684" s="22"/>
      <c r="N684" s="22"/>
      <c r="O684" s="22"/>
      <c r="P684" s="22"/>
      <c r="Q684" s="22"/>
      <c r="R684" s="22"/>
      <c r="S684" s="22"/>
      <c r="T684" s="23"/>
    </row>
    <row r="685">
      <c r="A685" s="16" t="s">
        <v>3942</v>
      </c>
      <c r="B685" s="17" t="s">
        <v>3935</v>
      </c>
      <c r="C685" s="17" t="s">
        <v>444</v>
      </c>
      <c r="D685" s="17" t="str">
        <f>vlookup(C685,'1. 신청자리스트'!J:N,2,false)</f>
        <v>정상</v>
      </c>
      <c r="E685" s="17"/>
      <c r="F685" s="17" t="s">
        <v>444</v>
      </c>
      <c r="G685" s="18">
        <v>35000.0</v>
      </c>
      <c r="H685" s="19" t="s">
        <v>3990</v>
      </c>
      <c r="I685" s="20"/>
      <c r="J685" s="20"/>
      <c r="K685" s="20"/>
      <c r="L685" s="21"/>
      <c r="M685" s="22"/>
      <c r="N685" s="22"/>
      <c r="O685" s="22"/>
      <c r="P685" s="22"/>
      <c r="Q685" s="22"/>
      <c r="R685" s="22"/>
      <c r="S685" s="22"/>
      <c r="T685" s="23"/>
    </row>
    <row r="686">
      <c r="A686" s="16" t="s">
        <v>3942</v>
      </c>
      <c r="B686" s="17" t="s">
        <v>3935</v>
      </c>
      <c r="C686" s="17" t="s">
        <v>895</v>
      </c>
      <c r="D686" s="17" t="str">
        <f>vlookup(C686,'1. 신청자리스트'!J:N,2,false)</f>
        <v>정상</v>
      </c>
      <c r="E686" s="17"/>
      <c r="F686" s="17" t="s">
        <v>895</v>
      </c>
      <c r="G686" s="18">
        <v>70000.0</v>
      </c>
      <c r="H686" s="19" t="s">
        <v>3939</v>
      </c>
      <c r="I686" s="20"/>
      <c r="J686" s="20"/>
      <c r="K686" s="20"/>
      <c r="L686" s="21"/>
      <c r="M686" s="22"/>
      <c r="N686" s="22"/>
      <c r="O686" s="22"/>
      <c r="P686" s="22"/>
      <c r="Q686" s="22"/>
      <c r="R686" s="22"/>
      <c r="S686" s="22"/>
      <c r="T686" s="23"/>
    </row>
    <row r="687">
      <c r="A687" s="16" t="s">
        <v>3985</v>
      </c>
      <c r="B687" s="17" t="s">
        <v>3935</v>
      </c>
      <c r="C687" s="17" t="s">
        <v>445</v>
      </c>
      <c r="D687" s="17" t="str">
        <f>vlookup(C687,'1. 신청자리스트'!J:N,2,false)</f>
        <v>정상</v>
      </c>
      <c r="E687" s="17"/>
      <c r="F687" s="17" t="s">
        <v>4301</v>
      </c>
      <c r="G687" s="18">
        <v>35000.0</v>
      </c>
      <c r="H687" s="19" t="s">
        <v>4041</v>
      </c>
      <c r="I687" s="20"/>
      <c r="J687" s="20"/>
      <c r="K687" s="20"/>
      <c r="L687" s="21"/>
      <c r="M687" s="22"/>
      <c r="N687" s="22"/>
      <c r="O687" s="22"/>
      <c r="P687" s="22"/>
      <c r="Q687" s="22"/>
      <c r="R687" s="22"/>
      <c r="S687" s="22"/>
      <c r="T687" s="23"/>
    </row>
    <row r="688">
      <c r="A688" s="16" t="s">
        <v>3945</v>
      </c>
      <c r="B688" s="17" t="s">
        <v>3935</v>
      </c>
      <c r="C688" s="17" t="s">
        <v>446</v>
      </c>
      <c r="D688" s="17" t="str">
        <f>vlookup(C688,'1. 신청자리스트'!J:N,2,false)</f>
        <v>정상</v>
      </c>
      <c r="E688" s="17"/>
      <c r="F688" s="17" t="s">
        <v>4302</v>
      </c>
      <c r="G688" s="18">
        <v>35000.0</v>
      </c>
      <c r="H688" s="19" t="s">
        <v>3941</v>
      </c>
      <c r="I688" s="20"/>
      <c r="J688" s="20"/>
      <c r="K688" s="20"/>
      <c r="L688" s="21"/>
      <c r="M688" s="22"/>
      <c r="N688" s="22"/>
      <c r="O688" s="22"/>
      <c r="P688" s="22"/>
      <c r="Q688" s="22"/>
      <c r="R688" s="22"/>
      <c r="S688" s="22"/>
      <c r="T688" s="23"/>
    </row>
    <row r="689">
      <c r="A689" s="16" t="s">
        <v>4002</v>
      </c>
      <c r="B689" s="17" t="s">
        <v>3935</v>
      </c>
      <c r="C689" s="17" t="s">
        <v>447</v>
      </c>
      <c r="D689" s="17" t="str">
        <f>vlookup(C689,'1. 신청자리스트'!J:N,2,false)</f>
        <v>정상</v>
      </c>
      <c r="E689" s="17"/>
      <c r="F689" s="17" t="s">
        <v>447</v>
      </c>
      <c r="G689" s="18">
        <v>35000.0</v>
      </c>
      <c r="H689" s="19" t="s">
        <v>3948</v>
      </c>
      <c r="I689" s="20"/>
      <c r="J689" s="20"/>
      <c r="K689" s="20"/>
      <c r="L689" s="21"/>
      <c r="M689" s="22"/>
      <c r="N689" s="22"/>
      <c r="O689" s="22"/>
      <c r="P689" s="22"/>
      <c r="Q689" s="22"/>
      <c r="R689" s="22"/>
      <c r="S689" s="22"/>
      <c r="T689" s="23"/>
    </row>
    <row r="690">
      <c r="A690" s="16" t="s">
        <v>3940</v>
      </c>
      <c r="B690" s="17" t="s">
        <v>3932</v>
      </c>
      <c r="C690" s="17" t="s">
        <v>448</v>
      </c>
      <c r="D690" s="17" t="str">
        <f>vlookup(C690,'1. 신청자리스트'!J:N,2,false)</f>
        <v>정상</v>
      </c>
      <c r="E690" s="17"/>
      <c r="F690" s="17" t="s">
        <v>448</v>
      </c>
      <c r="G690" s="18">
        <v>35000.0</v>
      </c>
      <c r="H690" s="19" t="s">
        <v>4303</v>
      </c>
      <c r="I690" s="20"/>
      <c r="J690" s="20"/>
      <c r="K690" s="20"/>
      <c r="L690" s="21"/>
      <c r="M690" s="22"/>
      <c r="N690" s="22"/>
      <c r="O690" s="22"/>
      <c r="P690" s="22"/>
      <c r="Q690" s="22"/>
      <c r="R690" s="22"/>
      <c r="S690" s="22"/>
      <c r="T690" s="23"/>
    </row>
    <row r="691">
      <c r="A691" s="16" t="s">
        <v>3989</v>
      </c>
      <c r="B691" s="17" t="s">
        <v>3935</v>
      </c>
      <c r="C691" s="17" t="s">
        <v>449</v>
      </c>
      <c r="D691" s="17" t="str">
        <f>vlookup(C691,'1. 신청자리스트'!J:N,2,false)</f>
        <v>정상</v>
      </c>
      <c r="E691" s="17"/>
      <c r="F691" s="17" t="s">
        <v>449</v>
      </c>
      <c r="G691" s="18">
        <v>35000.0</v>
      </c>
      <c r="H691" s="19" t="s">
        <v>3952</v>
      </c>
      <c r="I691" s="20"/>
      <c r="J691" s="20"/>
      <c r="K691" s="20"/>
      <c r="L691" s="21"/>
      <c r="M691" s="22"/>
      <c r="N691" s="22"/>
      <c r="O691" s="22"/>
      <c r="P691" s="22"/>
      <c r="Q691" s="22"/>
      <c r="R691" s="22"/>
      <c r="S691" s="22"/>
      <c r="T691" s="23"/>
    </row>
    <row r="692">
      <c r="A692" s="16" t="s">
        <v>3940</v>
      </c>
      <c r="B692" s="17" t="s">
        <v>3935</v>
      </c>
      <c r="C692" s="17" t="s">
        <v>450</v>
      </c>
      <c r="D692" s="17" t="str">
        <f>vlookup(C692,'1. 신청자리스트'!J:N,2,false)</f>
        <v>정상</v>
      </c>
      <c r="E692" s="17"/>
      <c r="F692" s="17" t="s">
        <v>450</v>
      </c>
      <c r="G692" s="18">
        <v>35000.0</v>
      </c>
      <c r="H692" s="19" t="s">
        <v>3990</v>
      </c>
      <c r="I692" s="20"/>
      <c r="J692" s="20"/>
      <c r="K692" s="20"/>
      <c r="L692" s="21"/>
      <c r="M692" s="22"/>
      <c r="N692" s="22"/>
      <c r="O692" s="22"/>
      <c r="P692" s="22"/>
      <c r="Q692" s="22"/>
      <c r="R692" s="22"/>
      <c r="S692" s="22"/>
      <c r="T692" s="23"/>
    </row>
    <row r="693">
      <c r="A693" s="16" t="s">
        <v>4071</v>
      </c>
      <c r="B693" s="17" t="s">
        <v>3935</v>
      </c>
      <c r="C693" s="17" t="s">
        <v>897</v>
      </c>
      <c r="D693" s="17" t="str">
        <f>vlookup(C693,'1. 신청자리스트'!J:N,2,false)</f>
        <v>중복</v>
      </c>
      <c r="E693" s="17"/>
      <c r="F693" s="17" t="s">
        <v>897</v>
      </c>
      <c r="G693" s="18">
        <v>70000.0</v>
      </c>
      <c r="H693" s="19" t="s">
        <v>3946</v>
      </c>
      <c r="I693" s="20"/>
      <c r="J693" s="20"/>
      <c r="K693" s="20"/>
      <c r="L693" s="21"/>
      <c r="M693" s="22"/>
      <c r="N693" s="22"/>
      <c r="O693" s="22"/>
      <c r="P693" s="22"/>
      <c r="Q693" s="22"/>
      <c r="R693" s="22"/>
      <c r="S693" s="22"/>
      <c r="T693" s="23"/>
    </row>
    <row r="694">
      <c r="A694" s="16" t="s">
        <v>3942</v>
      </c>
      <c r="B694" s="17" t="s">
        <v>3935</v>
      </c>
      <c r="C694" s="17" t="s">
        <v>898</v>
      </c>
      <c r="D694" s="17" t="str">
        <f>vlookup(C694,'1. 신청자리스트'!J:N,2,false)</f>
        <v>정상</v>
      </c>
      <c r="E694" s="17"/>
      <c r="F694" s="17" t="s">
        <v>898</v>
      </c>
      <c r="G694" s="18">
        <v>70000.0</v>
      </c>
      <c r="H694" s="19" t="s">
        <v>3941</v>
      </c>
      <c r="I694" s="20"/>
      <c r="J694" s="20"/>
      <c r="K694" s="20"/>
      <c r="L694" s="21"/>
      <c r="M694" s="22"/>
      <c r="N694" s="22"/>
      <c r="O694" s="22"/>
      <c r="P694" s="22"/>
      <c r="Q694" s="22"/>
      <c r="R694" s="22"/>
      <c r="S694" s="22"/>
      <c r="T694" s="23"/>
    </row>
    <row r="695">
      <c r="A695" s="16" t="s">
        <v>3940</v>
      </c>
      <c r="B695" s="17" t="s">
        <v>3935</v>
      </c>
      <c r="C695" s="17" t="s">
        <v>451</v>
      </c>
      <c r="D695" s="17" t="str">
        <f>vlookup(C695,'1. 신청자리스트'!J:N,2,false)</f>
        <v>정상</v>
      </c>
      <c r="E695" s="17"/>
      <c r="F695" s="17" t="s">
        <v>451</v>
      </c>
      <c r="G695" s="18">
        <v>35000.0</v>
      </c>
      <c r="H695" s="19" t="s">
        <v>3983</v>
      </c>
      <c r="I695" s="20"/>
      <c r="J695" s="20"/>
      <c r="K695" s="20"/>
      <c r="L695" s="21"/>
      <c r="M695" s="22"/>
      <c r="N695" s="22"/>
      <c r="O695" s="22"/>
      <c r="P695" s="22"/>
      <c r="Q695" s="22"/>
      <c r="R695" s="22"/>
      <c r="S695" s="22"/>
      <c r="T695" s="23"/>
    </row>
    <row r="696">
      <c r="A696" s="16" t="s">
        <v>3931</v>
      </c>
      <c r="B696" s="17" t="s">
        <v>3935</v>
      </c>
      <c r="C696" s="17" t="s">
        <v>452</v>
      </c>
      <c r="D696" s="17" t="str">
        <f>vlookup(C696,'1. 신청자리스트'!J:N,2,false)</f>
        <v>정상</v>
      </c>
      <c r="E696" s="17"/>
      <c r="F696" s="17" t="s">
        <v>4304</v>
      </c>
      <c r="G696" s="18">
        <v>35000.0</v>
      </c>
      <c r="H696" s="19" t="s">
        <v>3983</v>
      </c>
      <c r="I696" s="20"/>
      <c r="J696" s="20"/>
      <c r="K696" s="20"/>
      <c r="L696" s="21"/>
      <c r="M696" s="22"/>
      <c r="N696" s="22"/>
      <c r="O696" s="22"/>
      <c r="P696" s="22"/>
      <c r="Q696" s="22"/>
      <c r="R696" s="22"/>
      <c r="S696" s="22"/>
      <c r="T696" s="23"/>
    </row>
    <row r="697">
      <c r="A697" s="16" t="s">
        <v>3962</v>
      </c>
      <c r="B697" s="17" t="s">
        <v>3935</v>
      </c>
      <c r="C697" s="17" t="s">
        <v>453</v>
      </c>
      <c r="D697" s="17" t="str">
        <f>vlookup(C697,'1. 신청자리스트'!J:N,2,false)</f>
        <v>정상</v>
      </c>
      <c r="E697" s="17"/>
      <c r="F697" s="17" t="s">
        <v>453</v>
      </c>
      <c r="G697" s="18">
        <v>35000.0</v>
      </c>
      <c r="H697" s="19" t="s">
        <v>3941</v>
      </c>
      <c r="I697" s="20"/>
      <c r="J697" s="20"/>
      <c r="K697" s="20"/>
      <c r="L697" s="21"/>
      <c r="M697" s="22"/>
      <c r="N697" s="22"/>
      <c r="O697" s="22"/>
      <c r="P697" s="22"/>
      <c r="Q697" s="22"/>
      <c r="R697" s="22"/>
      <c r="S697" s="22"/>
      <c r="T697" s="23"/>
    </row>
    <row r="698">
      <c r="A698" s="16" t="s">
        <v>3940</v>
      </c>
      <c r="B698" s="17" t="s">
        <v>3932</v>
      </c>
      <c r="C698" s="17" t="s">
        <v>899</v>
      </c>
      <c r="D698" s="17" t="str">
        <f>vlookup(C698,'1. 신청자리스트'!J:N,2,false)</f>
        <v>정상</v>
      </c>
      <c r="E698" s="17"/>
      <c r="F698" s="17" t="s">
        <v>899</v>
      </c>
      <c r="G698" s="18">
        <v>70000.0</v>
      </c>
      <c r="H698" s="19" t="s">
        <v>4305</v>
      </c>
      <c r="I698" s="20"/>
      <c r="J698" s="20"/>
      <c r="K698" s="20"/>
      <c r="L698" s="21"/>
      <c r="M698" s="22"/>
      <c r="N698" s="22"/>
      <c r="O698" s="22"/>
      <c r="P698" s="22"/>
      <c r="Q698" s="22"/>
      <c r="R698" s="22"/>
      <c r="S698" s="22"/>
      <c r="T698" s="23"/>
    </row>
    <row r="699">
      <c r="A699" s="24" t="s">
        <v>3962</v>
      </c>
      <c r="B699" s="25" t="s">
        <v>3935</v>
      </c>
      <c r="C699" s="25" t="s">
        <v>454</v>
      </c>
      <c r="D699" s="17" t="str">
        <f>vlookup(C699,'1. 신청자리스트'!J:N,2,false)</f>
        <v>정상</v>
      </c>
      <c r="E699" s="25"/>
      <c r="F699" s="25" t="s">
        <v>3650</v>
      </c>
      <c r="G699" s="26">
        <v>35000.0</v>
      </c>
      <c r="H699" s="27" t="s">
        <v>3941</v>
      </c>
      <c r="I699" s="28"/>
      <c r="J699" s="28"/>
      <c r="K699" s="28"/>
      <c r="L699" s="29"/>
      <c r="M699" s="22"/>
      <c r="N699" s="22"/>
      <c r="O699" s="22"/>
      <c r="P699" s="22"/>
      <c r="Q699" s="22"/>
      <c r="R699" s="22"/>
      <c r="S699" s="22"/>
      <c r="T699" s="23"/>
    </row>
    <row r="700">
      <c r="A700" s="16" t="s">
        <v>3989</v>
      </c>
      <c r="B700" s="17" t="s">
        <v>3935</v>
      </c>
      <c r="C700" s="17" t="s">
        <v>900</v>
      </c>
      <c r="D700" s="17" t="str">
        <f>vlookup(C700,'1. 신청자리스트'!J:N,2,false)</f>
        <v>정상</v>
      </c>
      <c r="E700" s="17"/>
      <c r="F700" s="17" t="s">
        <v>4306</v>
      </c>
      <c r="G700" s="18">
        <v>70000.0</v>
      </c>
      <c r="H700" s="19" t="s">
        <v>3952</v>
      </c>
      <c r="I700" s="20"/>
      <c r="J700" s="20"/>
      <c r="K700" s="20"/>
      <c r="L700" s="21"/>
      <c r="M700" s="22"/>
      <c r="N700" s="22"/>
      <c r="O700" s="22"/>
      <c r="P700" s="22"/>
      <c r="Q700" s="22"/>
      <c r="R700" s="22"/>
      <c r="S700" s="22"/>
      <c r="T700" s="23"/>
    </row>
    <row r="701">
      <c r="A701" s="24" t="s">
        <v>3940</v>
      </c>
      <c r="B701" s="25" t="s">
        <v>3935</v>
      </c>
      <c r="C701" s="25" t="s">
        <v>455</v>
      </c>
      <c r="D701" s="17" t="str">
        <f>vlookup(C701,'1. 신청자리스트'!J:N,2,false)</f>
        <v>정상</v>
      </c>
      <c r="E701" s="25"/>
      <c r="F701" s="25" t="s">
        <v>3652</v>
      </c>
      <c r="G701" s="26">
        <v>35000.0</v>
      </c>
      <c r="H701" s="27" t="s">
        <v>3941</v>
      </c>
      <c r="I701" s="28"/>
      <c r="J701" s="28"/>
      <c r="K701" s="28"/>
      <c r="L701" s="29"/>
      <c r="M701" s="22"/>
      <c r="N701" s="22"/>
      <c r="O701" s="22"/>
      <c r="P701" s="22"/>
      <c r="Q701" s="22"/>
      <c r="R701" s="22"/>
      <c r="S701" s="22"/>
      <c r="T701" s="23"/>
    </row>
    <row r="702">
      <c r="A702" s="16" t="s">
        <v>3940</v>
      </c>
      <c r="B702" s="17" t="s">
        <v>3935</v>
      </c>
      <c r="C702" s="17" t="s">
        <v>456</v>
      </c>
      <c r="D702" s="17" t="str">
        <f>vlookup(C702,'1. 신청자리스트'!J:N,2,false)</f>
        <v>정상</v>
      </c>
      <c r="E702" s="17"/>
      <c r="F702" s="17" t="s">
        <v>4307</v>
      </c>
      <c r="G702" s="18">
        <v>35000.0</v>
      </c>
      <c r="H702" s="19" t="s">
        <v>3983</v>
      </c>
      <c r="I702" s="20"/>
      <c r="J702" s="20"/>
      <c r="K702" s="20"/>
      <c r="L702" s="21"/>
      <c r="M702" s="22"/>
      <c r="N702" s="22"/>
      <c r="O702" s="22"/>
      <c r="P702" s="22"/>
      <c r="Q702" s="22"/>
      <c r="R702" s="22"/>
      <c r="S702" s="22"/>
      <c r="T702" s="23"/>
    </row>
    <row r="703">
      <c r="A703" s="16" t="s">
        <v>4308</v>
      </c>
      <c r="B703" s="17" t="s">
        <v>3935</v>
      </c>
      <c r="C703" s="17" t="s">
        <v>901</v>
      </c>
      <c r="D703" s="17" t="str">
        <f>vlookup(C703,'1. 신청자리스트'!J:N,2,false)</f>
        <v>정상</v>
      </c>
      <c r="E703" s="17"/>
      <c r="F703" s="17" t="s">
        <v>901</v>
      </c>
      <c r="G703" s="18">
        <v>70000.0</v>
      </c>
      <c r="H703" s="19" t="s">
        <v>3983</v>
      </c>
      <c r="I703" s="20"/>
      <c r="J703" s="20"/>
      <c r="K703" s="20"/>
      <c r="L703" s="21"/>
      <c r="M703" s="22"/>
      <c r="N703" s="22"/>
      <c r="O703" s="22"/>
      <c r="P703" s="22"/>
      <c r="Q703" s="22"/>
      <c r="R703" s="22"/>
      <c r="S703" s="22"/>
      <c r="T703" s="23"/>
    </row>
    <row r="704">
      <c r="A704" s="16" t="s">
        <v>3989</v>
      </c>
      <c r="B704" s="17" t="s">
        <v>3935</v>
      </c>
      <c r="C704" s="17" t="s">
        <v>458</v>
      </c>
      <c r="D704" s="17" t="str">
        <f>vlookup(C704,'1. 신청자리스트'!J:N,2,false)</f>
        <v>정상</v>
      </c>
      <c r="E704" s="17"/>
      <c r="F704" s="17" t="s">
        <v>458</v>
      </c>
      <c r="G704" s="18">
        <v>35000.0</v>
      </c>
      <c r="H704" s="19" t="s">
        <v>3941</v>
      </c>
      <c r="I704" s="20"/>
      <c r="J704" s="20"/>
      <c r="K704" s="20"/>
      <c r="L704" s="21"/>
      <c r="M704" s="22"/>
      <c r="N704" s="22"/>
      <c r="O704" s="22"/>
      <c r="P704" s="22"/>
      <c r="Q704" s="22"/>
      <c r="R704" s="22"/>
      <c r="S704" s="22"/>
      <c r="T704" s="23"/>
    </row>
    <row r="705">
      <c r="A705" s="16" t="s">
        <v>3940</v>
      </c>
      <c r="B705" s="17" t="s">
        <v>3935</v>
      </c>
      <c r="C705" s="17" t="s">
        <v>459</v>
      </c>
      <c r="D705" s="17" t="str">
        <f>vlookup(C705,'1. 신청자리스트'!J:N,2,false)</f>
        <v>정상</v>
      </c>
      <c r="E705" s="17"/>
      <c r="F705" s="17" t="s">
        <v>459</v>
      </c>
      <c r="G705" s="18">
        <v>35000.0</v>
      </c>
      <c r="H705" s="19" t="s">
        <v>3939</v>
      </c>
      <c r="I705" s="20"/>
      <c r="J705" s="20"/>
      <c r="K705" s="20"/>
      <c r="L705" s="21"/>
      <c r="M705" s="22"/>
      <c r="N705" s="22"/>
      <c r="O705" s="22"/>
      <c r="P705" s="22"/>
      <c r="Q705" s="22"/>
      <c r="R705" s="22"/>
      <c r="S705" s="22"/>
      <c r="T705" s="23"/>
    </row>
    <row r="706">
      <c r="A706" s="16" t="s">
        <v>3945</v>
      </c>
      <c r="B706" s="17" t="s">
        <v>3932</v>
      </c>
      <c r="C706" s="17" t="s">
        <v>902</v>
      </c>
      <c r="D706" s="17" t="str">
        <f>vlookup(C706,'1. 신청자리스트'!J:N,2,false)</f>
        <v>정상</v>
      </c>
      <c r="E706" s="17"/>
      <c r="F706" s="17" t="s">
        <v>902</v>
      </c>
      <c r="G706" s="18">
        <v>70000.0</v>
      </c>
      <c r="H706" s="19" t="s">
        <v>4309</v>
      </c>
      <c r="I706" s="20"/>
      <c r="J706" s="20"/>
      <c r="K706" s="20"/>
      <c r="L706" s="21"/>
      <c r="M706" s="22"/>
      <c r="N706" s="22"/>
      <c r="O706" s="22"/>
      <c r="P706" s="22"/>
      <c r="Q706" s="22"/>
      <c r="R706" s="22"/>
      <c r="S706" s="22"/>
      <c r="T706" s="23"/>
    </row>
    <row r="707">
      <c r="A707" s="16" t="s">
        <v>3942</v>
      </c>
      <c r="B707" s="17" t="s">
        <v>3935</v>
      </c>
      <c r="C707" s="17" t="s">
        <v>460</v>
      </c>
      <c r="D707" s="17" t="str">
        <f>vlookup(C707,'1. 신청자리스트'!J:N,2,false)</f>
        <v>정상</v>
      </c>
      <c r="E707" s="17"/>
      <c r="F707" s="17" t="s">
        <v>460</v>
      </c>
      <c r="G707" s="18">
        <v>35000.0</v>
      </c>
      <c r="H707" s="19" t="s">
        <v>3983</v>
      </c>
      <c r="I707" s="20"/>
      <c r="J707" s="20"/>
      <c r="K707" s="20"/>
      <c r="L707" s="21"/>
      <c r="M707" s="22"/>
      <c r="N707" s="22"/>
      <c r="O707" s="22"/>
      <c r="P707" s="22"/>
      <c r="Q707" s="22"/>
      <c r="R707" s="22"/>
      <c r="S707" s="22"/>
      <c r="T707" s="23"/>
    </row>
    <row r="708">
      <c r="A708" s="16" t="s">
        <v>3940</v>
      </c>
      <c r="B708" s="17" t="s">
        <v>3932</v>
      </c>
      <c r="C708" s="17" t="s">
        <v>461</v>
      </c>
      <c r="D708" s="17" t="str">
        <f>vlookup(C708,'1. 신청자리스트'!J:N,2,false)</f>
        <v>정상</v>
      </c>
      <c r="E708" s="17"/>
      <c r="F708" s="17" t="s">
        <v>461</v>
      </c>
      <c r="G708" s="18">
        <v>35000.0</v>
      </c>
      <c r="H708" s="19" t="s">
        <v>4310</v>
      </c>
      <c r="I708" s="20"/>
      <c r="J708" s="20"/>
      <c r="K708" s="20"/>
      <c r="L708" s="21"/>
      <c r="M708" s="22"/>
      <c r="N708" s="22"/>
      <c r="O708" s="22"/>
      <c r="P708" s="22"/>
      <c r="Q708" s="22"/>
      <c r="R708" s="22"/>
      <c r="S708" s="22"/>
      <c r="T708" s="23"/>
    </row>
    <row r="709">
      <c r="A709" s="16" t="s">
        <v>3985</v>
      </c>
      <c r="B709" s="17" t="s">
        <v>3935</v>
      </c>
      <c r="C709" s="17" t="s">
        <v>903</v>
      </c>
      <c r="D709" s="17" t="str">
        <f>vlookup(C709,'1. 신청자리스트'!J:N,2,false)</f>
        <v>정상</v>
      </c>
      <c r="E709" s="17"/>
      <c r="F709" s="17" t="s">
        <v>903</v>
      </c>
      <c r="G709" s="18">
        <v>70000.0</v>
      </c>
      <c r="H709" s="19" t="s">
        <v>3946</v>
      </c>
      <c r="I709" s="20"/>
      <c r="J709" s="20"/>
      <c r="K709" s="20"/>
      <c r="L709" s="21"/>
      <c r="M709" s="22"/>
      <c r="N709" s="22"/>
      <c r="O709" s="22"/>
      <c r="P709" s="22"/>
      <c r="Q709" s="22"/>
      <c r="R709" s="22"/>
      <c r="S709" s="22"/>
      <c r="T709" s="23"/>
    </row>
    <row r="710">
      <c r="A710" s="24" t="s">
        <v>4030</v>
      </c>
      <c r="B710" s="25" t="s">
        <v>3935</v>
      </c>
      <c r="C710" s="25" t="s">
        <v>904</v>
      </c>
      <c r="D710" s="17" t="str">
        <f>vlookup(C710,'1. 신청자리스트'!J:N,2,false)</f>
        <v>정상</v>
      </c>
      <c r="E710" s="25"/>
      <c r="F710" s="25" t="s">
        <v>1443</v>
      </c>
      <c r="G710" s="26">
        <v>70000.0</v>
      </c>
      <c r="H710" s="27" t="s">
        <v>3941</v>
      </c>
      <c r="I710" s="28"/>
      <c r="J710" s="28"/>
      <c r="K710" s="28"/>
      <c r="L710" s="29"/>
      <c r="M710" s="22"/>
      <c r="N710" s="22"/>
      <c r="O710" s="22"/>
      <c r="P710" s="22"/>
      <c r="Q710" s="22"/>
      <c r="R710" s="22"/>
      <c r="S710" s="22"/>
      <c r="T710" s="23"/>
    </row>
    <row r="711">
      <c r="A711" s="16" t="s">
        <v>3940</v>
      </c>
      <c r="B711" s="17" t="s">
        <v>3935</v>
      </c>
      <c r="C711" s="17" t="s">
        <v>905</v>
      </c>
      <c r="D711" s="17" t="str">
        <f>vlookup(C711,'1. 신청자리스트'!J:N,2,false)</f>
        <v>정상</v>
      </c>
      <c r="E711" s="17"/>
      <c r="F711" s="17" t="s">
        <v>4311</v>
      </c>
      <c r="G711" s="18">
        <v>70000.0</v>
      </c>
      <c r="H711" s="19" t="s">
        <v>3946</v>
      </c>
      <c r="I711" s="20"/>
      <c r="J711" s="20"/>
      <c r="K711" s="20"/>
      <c r="L711" s="21"/>
      <c r="M711" s="22"/>
      <c r="N711" s="22"/>
      <c r="O711" s="22"/>
      <c r="P711" s="22"/>
      <c r="Q711" s="22"/>
      <c r="R711" s="22"/>
      <c r="S711" s="22"/>
      <c r="T711" s="23"/>
    </row>
    <row r="712">
      <c r="A712" s="16" t="s">
        <v>4071</v>
      </c>
      <c r="B712" s="17" t="s">
        <v>4290</v>
      </c>
      <c r="C712" s="17" t="s">
        <v>462</v>
      </c>
      <c r="D712" s="17" t="str">
        <f>vlookup(C712,'1. 신청자리스트'!J:N,2,false)</f>
        <v>정상</v>
      </c>
      <c r="E712" s="17"/>
      <c r="F712" s="17" t="s">
        <v>462</v>
      </c>
      <c r="G712" s="18">
        <v>35000.0</v>
      </c>
      <c r="H712" s="19" t="s">
        <v>3948</v>
      </c>
      <c r="I712" s="20"/>
      <c r="J712" s="20"/>
      <c r="K712" s="20"/>
      <c r="L712" s="21"/>
      <c r="M712" s="22"/>
      <c r="N712" s="22"/>
      <c r="O712" s="22"/>
      <c r="P712" s="22"/>
      <c r="Q712" s="22"/>
      <c r="R712" s="22"/>
      <c r="S712" s="22"/>
      <c r="T712" s="23"/>
    </row>
    <row r="713">
      <c r="A713" s="24" t="s">
        <v>3931</v>
      </c>
      <c r="B713" s="25" t="s">
        <v>3935</v>
      </c>
      <c r="C713" s="25" t="s">
        <v>906</v>
      </c>
      <c r="D713" s="17" t="str">
        <f>vlookup(C713,'1. 신청자리스트'!J:N,2,false)</f>
        <v>정상</v>
      </c>
      <c r="E713" s="25"/>
      <c r="F713" s="25" t="s">
        <v>2643</v>
      </c>
      <c r="G713" s="26">
        <v>70000.0</v>
      </c>
      <c r="H713" s="27" t="s">
        <v>3948</v>
      </c>
      <c r="I713" s="28"/>
      <c r="J713" s="28"/>
      <c r="K713" s="28"/>
      <c r="L713" s="29"/>
      <c r="M713" s="22"/>
      <c r="N713" s="22"/>
      <c r="O713" s="22"/>
      <c r="P713" s="22"/>
      <c r="Q713" s="22"/>
      <c r="R713" s="22"/>
      <c r="S713" s="22"/>
      <c r="T713" s="23"/>
    </row>
    <row r="714">
      <c r="A714" s="16" t="s">
        <v>3940</v>
      </c>
      <c r="B714" s="17" t="s">
        <v>3935</v>
      </c>
      <c r="C714" s="17" t="s">
        <v>463</v>
      </c>
      <c r="D714" s="17" t="str">
        <f>vlookup(C714,'1. 신청자리스트'!J:N,2,false)</f>
        <v>정상</v>
      </c>
      <c r="E714" s="17"/>
      <c r="F714" s="17" t="s">
        <v>463</v>
      </c>
      <c r="G714" s="18">
        <v>35000.0</v>
      </c>
      <c r="H714" s="19" t="s">
        <v>3939</v>
      </c>
      <c r="I714" s="20"/>
      <c r="J714" s="20"/>
      <c r="K714" s="20"/>
      <c r="L714" s="21"/>
      <c r="M714" s="22"/>
      <c r="N714" s="22"/>
      <c r="O714" s="22"/>
      <c r="P714" s="22"/>
      <c r="Q714" s="22"/>
      <c r="R714" s="22"/>
      <c r="S714" s="22"/>
      <c r="T714" s="23"/>
    </row>
    <row r="715">
      <c r="A715" s="16" t="s">
        <v>3942</v>
      </c>
      <c r="B715" s="17" t="s">
        <v>3935</v>
      </c>
      <c r="C715" s="17" t="s">
        <v>464</v>
      </c>
      <c r="D715" s="17" t="str">
        <f>vlookup(C715,'1. 신청자리스트'!J:N,2,false)</f>
        <v>정상</v>
      </c>
      <c r="E715" s="17"/>
      <c r="F715" s="17" t="s">
        <v>464</v>
      </c>
      <c r="G715" s="18">
        <v>35000.0</v>
      </c>
      <c r="H715" s="19" t="s">
        <v>3946</v>
      </c>
      <c r="I715" s="20"/>
      <c r="J715" s="20"/>
      <c r="K715" s="20"/>
      <c r="L715" s="21"/>
      <c r="M715" s="22"/>
      <c r="N715" s="22"/>
      <c r="O715" s="22"/>
      <c r="P715" s="22"/>
      <c r="Q715" s="22"/>
      <c r="R715" s="22"/>
      <c r="S715" s="22"/>
      <c r="T715" s="23"/>
    </row>
    <row r="716">
      <c r="A716" s="24" t="s">
        <v>3940</v>
      </c>
      <c r="B716" s="25" t="s">
        <v>3935</v>
      </c>
      <c r="C716" s="25" t="s">
        <v>465</v>
      </c>
      <c r="D716" s="17" t="str">
        <f>vlookup(C716,'1. 신청자리스트'!J:N,2,false)</f>
        <v>정상</v>
      </c>
      <c r="E716" s="25"/>
      <c r="F716" s="25" t="s">
        <v>3670</v>
      </c>
      <c r="G716" s="26">
        <v>35000.0</v>
      </c>
      <c r="H716" s="27" t="s">
        <v>3983</v>
      </c>
      <c r="I716" s="28"/>
      <c r="J716" s="28"/>
      <c r="K716" s="28"/>
      <c r="L716" s="29"/>
      <c r="M716" s="22"/>
      <c r="N716" s="22"/>
      <c r="O716" s="22"/>
      <c r="P716" s="22"/>
      <c r="Q716" s="22"/>
      <c r="R716" s="22"/>
      <c r="S716" s="22"/>
      <c r="T716" s="23"/>
    </row>
    <row r="717">
      <c r="A717" s="24" t="s">
        <v>3962</v>
      </c>
      <c r="B717" s="25" t="s">
        <v>3932</v>
      </c>
      <c r="C717" s="25" t="s">
        <v>466</v>
      </c>
      <c r="D717" s="17" t="str">
        <f>vlookup(C717,'1. 신청자리스트'!J:N,2,false)</f>
        <v>정상</v>
      </c>
      <c r="E717" s="25"/>
      <c r="F717" s="25" t="s">
        <v>3672</v>
      </c>
      <c r="G717" s="26">
        <v>35000.0</v>
      </c>
      <c r="H717" s="27" t="s">
        <v>4312</v>
      </c>
      <c r="I717" s="28"/>
      <c r="J717" s="28"/>
      <c r="K717" s="28"/>
      <c r="L717" s="29"/>
      <c r="M717" s="22"/>
      <c r="N717" s="22"/>
      <c r="O717" s="22"/>
      <c r="P717" s="22"/>
      <c r="Q717" s="22"/>
      <c r="R717" s="22"/>
      <c r="S717" s="22"/>
      <c r="T717" s="23"/>
    </row>
    <row r="718">
      <c r="A718" s="16" t="s">
        <v>4313</v>
      </c>
      <c r="B718" s="17" t="s">
        <v>3935</v>
      </c>
      <c r="C718" s="17" t="s">
        <v>907</v>
      </c>
      <c r="D718" s="17" t="str">
        <f>vlookup(C718,'1. 신청자리스트'!J:N,2,false)</f>
        <v>정상</v>
      </c>
      <c r="E718" s="17"/>
      <c r="F718" s="17" t="s">
        <v>907</v>
      </c>
      <c r="G718" s="18">
        <v>70000.0</v>
      </c>
      <c r="H718" s="19" t="s">
        <v>3946</v>
      </c>
      <c r="I718" s="20"/>
      <c r="J718" s="20"/>
      <c r="K718" s="20"/>
      <c r="L718" s="21"/>
      <c r="M718" s="22"/>
      <c r="N718" s="22"/>
      <c r="O718" s="22"/>
      <c r="P718" s="22"/>
      <c r="Q718" s="22"/>
      <c r="R718" s="22"/>
      <c r="S718" s="22"/>
      <c r="T718" s="23"/>
    </row>
    <row r="719">
      <c r="A719" s="24" t="s">
        <v>3945</v>
      </c>
      <c r="B719" s="25" t="s">
        <v>3935</v>
      </c>
      <c r="C719" s="25" t="s">
        <v>908</v>
      </c>
      <c r="D719" s="17" t="str">
        <f>vlookup(C719,'1. 신청자리스트'!J:N,2,false)</f>
        <v>정상</v>
      </c>
      <c r="E719" s="25"/>
      <c r="F719" s="25" t="s">
        <v>1990</v>
      </c>
      <c r="G719" s="26">
        <v>70000.0</v>
      </c>
      <c r="H719" s="27" t="s">
        <v>3939</v>
      </c>
      <c r="I719" s="28"/>
      <c r="J719" s="28"/>
      <c r="K719" s="28"/>
      <c r="L719" s="29"/>
      <c r="M719" s="22"/>
      <c r="N719" s="22"/>
      <c r="O719" s="22"/>
      <c r="P719" s="22"/>
      <c r="Q719" s="22"/>
      <c r="R719" s="22"/>
      <c r="S719" s="22"/>
      <c r="T719" s="23"/>
    </row>
    <row r="720">
      <c r="A720" s="16" t="s">
        <v>3940</v>
      </c>
      <c r="B720" s="17" t="s">
        <v>3935</v>
      </c>
      <c r="C720" s="17" t="s">
        <v>467</v>
      </c>
      <c r="D720" s="17" t="str">
        <f>vlookup(C720,'1. 신청자리스트'!J:N,2,false)</f>
        <v>정상</v>
      </c>
      <c r="E720" s="17"/>
      <c r="F720" s="17" t="s">
        <v>467</v>
      </c>
      <c r="G720" s="18">
        <v>35000.0</v>
      </c>
      <c r="H720" s="19" t="s">
        <v>3990</v>
      </c>
      <c r="I720" s="20"/>
      <c r="J720" s="20"/>
      <c r="K720" s="20"/>
      <c r="L720" s="21"/>
      <c r="M720" s="22"/>
      <c r="N720" s="22"/>
      <c r="O720" s="22"/>
      <c r="P720" s="22"/>
      <c r="Q720" s="22"/>
      <c r="R720" s="22"/>
      <c r="S720" s="22"/>
      <c r="T720" s="23"/>
    </row>
    <row r="721">
      <c r="A721" s="16" t="s">
        <v>3942</v>
      </c>
      <c r="B721" s="17" t="s">
        <v>3935</v>
      </c>
      <c r="C721" s="17" t="s">
        <v>469</v>
      </c>
      <c r="D721" s="17" t="str">
        <f>vlookup(C721,'1. 신청자리스트'!J:N,2,false)</f>
        <v>정상</v>
      </c>
      <c r="E721" s="17"/>
      <c r="F721" s="17" t="s">
        <v>4314</v>
      </c>
      <c r="G721" s="18">
        <v>35000.0</v>
      </c>
      <c r="H721" s="19" t="s">
        <v>3946</v>
      </c>
      <c r="I721" s="20"/>
      <c r="J721" s="20"/>
      <c r="K721" s="20"/>
      <c r="L721" s="21"/>
      <c r="M721" s="22"/>
      <c r="N721" s="22"/>
      <c r="O721" s="22"/>
      <c r="P721" s="22"/>
      <c r="Q721" s="22"/>
      <c r="R721" s="22"/>
      <c r="S721" s="22"/>
      <c r="T721" s="23"/>
    </row>
    <row r="722">
      <c r="A722" s="16" t="s">
        <v>3942</v>
      </c>
      <c r="B722" s="17" t="s">
        <v>3932</v>
      </c>
      <c r="C722" s="17" t="s">
        <v>909</v>
      </c>
      <c r="D722" s="17" t="str">
        <f>vlookup(C722,'1. 신청자리스트'!J:N,2,false)</f>
        <v>정상</v>
      </c>
      <c r="E722" s="17"/>
      <c r="F722" s="17" t="s">
        <v>909</v>
      </c>
      <c r="G722" s="18">
        <v>70000.0</v>
      </c>
      <c r="H722" s="19" t="s">
        <v>4315</v>
      </c>
      <c r="I722" s="20"/>
      <c r="J722" s="20"/>
      <c r="K722" s="20"/>
      <c r="L722" s="21"/>
      <c r="M722" s="22"/>
      <c r="N722" s="22"/>
      <c r="O722" s="22"/>
      <c r="P722" s="22"/>
      <c r="Q722" s="22"/>
      <c r="R722" s="22"/>
      <c r="S722" s="22"/>
      <c r="T722" s="23"/>
    </row>
    <row r="723">
      <c r="A723" s="24" t="s">
        <v>3931</v>
      </c>
      <c r="B723" s="25" t="s">
        <v>3935</v>
      </c>
      <c r="C723" s="25" t="s">
        <v>470</v>
      </c>
      <c r="D723" s="17" t="str">
        <f>vlookup(C723,'1. 신청자리스트'!J:N,2,false)</f>
        <v>정상</v>
      </c>
      <c r="E723" s="25"/>
      <c r="F723" s="25" t="s">
        <v>3677</v>
      </c>
      <c r="G723" s="26">
        <v>35000.0</v>
      </c>
      <c r="H723" s="27" t="s">
        <v>3946</v>
      </c>
      <c r="I723" s="28"/>
      <c r="J723" s="28"/>
      <c r="K723" s="28"/>
      <c r="L723" s="29"/>
      <c r="M723" s="22"/>
      <c r="N723" s="22"/>
      <c r="O723" s="22"/>
      <c r="P723" s="22"/>
      <c r="Q723" s="22"/>
      <c r="R723" s="22"/>
      <c r="S723" s="22"/>
      <c r="T723" s="23"/>
    </row>
    <row r="724">
      <c r="A724" s="16" t="s">
        <v>3989</v>
      </c>
      <c r="B724" s="17" t="s">
        <v>3932</v>
      </c>
      <c r="C724" s="17" t="s">
        <v>472</v>
      </c>
      <c r="D724" s="17" t="str">
        <f>vlookup(C724,'1. 신청자리스트'!J:N,2,false)</f>
        <v>정상</v>
      </c>
      <c r="E724" s="17"/>
      <c r="F724" s="17" t="s">
        <v>472</v>
      </c>
      <c r="G724" s="18">
        <v>35000.0</v>
      </c>
      <c r="H724" s="19" t="s">
        <v>4316</v>
      </c>
      <c r="I724" s="20"/>
      <c r="J724" s="20"/>
      <c r="K724" s="20"/>
      <c r="L724" s="21"/>
      <c r="M724" s="22"/>
      <c r="N724" s="22"/>
      <c r="O724" s="22"/>
      <c r="P724" s="22"/>
      <c r="Q724" s="22"/>
      <c r="R724" s="22"/>
      <c r="S724" s="22"/>
      <c r="T724" s="23"/>
    </row>
    <row r="725">
      <c r="A725" s="24" t="s">
        <v>3955</v>
      </c>
      <c r="B725" s="25" t="s">
        <v>3935</v>
      </c>
      <c r="C725" s="25" t="s">
        <v>473</v>
      </c>
      <c r="D725" s="17" t="str">
        <f>vlookup(C725,'1. 신청자리스트'!J:N,2,false)</f>
        <v>정상</v>
      </c>
      <c r="E725" s="25"/>
      <c r="F725" s="25" t="s">
        <v>1521</v>
      </c>
      <c r="G725" s="26">
        <v>35000.0</v>
      </c>
      <c r="H725" s="27" t="s">
        <v>3946</v>
      </c>
      <c r="I725" s="28"/>
      <c r="J725" s="28"/>
      <c r="K725" s="28"/>
      <c r="L725" s="29"/>
      <c r="M725" s="22"/>
      <c r="N725" s="22"/>
      <c r="O725" s="22"/>
      <c r="P725" s="22"/>
      <c r="Q725" s="22"/>
      <c r="R725" s="22"/>
      <c r="S725" s="22"/>
      <c r="T725" s="23"/>
    </row>
    <row r="726">
      <c r="A726" s="16" t="s">
        <v>3942</v>
      </c>
      <c r="B726" s="17" t="s">
        <v>3935</v>
      </c>
      <c r="C726" s="17" t="s">
        <v>910</v>
      </c>
      <c r="D726" s="17" t="str">
        <f>vlookup(C726,'1. 신청자리스트'!J:N,2,false)</f>
        <v>정상</v>
      </c>
      <c r="E726" s="17"/>
      <c r="F726" s="17" t="s">
        <v>910</v>
      </c>
      <c r="G726" s="18">
        <v>70000.0</v>
      </c>
      <c r="H726" s="19" t="s">
        <v>3946</v>
      </c>
      <c r="I726" s="20"/>
      <c r="J726" s="20"/>
      <c r="K726" s="20"/>
      <c r="L726" s="21"/>
      <c r="M726" s="22"/>
      <c r="N726" s="22"/>
      <c r="O726" s="22"/>
      <c r="P726" s="22"/>
      <c r="Q726" s="22"/>
      <c r="R726" s="22"/>
      <c r="S726" s="22"/>
      <c r="T726" s="23"/>
    </row>
    <row r="727">
      <c r="A727" s="16" t="s">
        <v>3940</v>
      </c>
      <c r="B727" s="17" t="s">
        <v>3935</v>
      </c>
      <c r="C727" s="17" t="s">
        <v>474</v>
      </c>
      <c r="D727" s="17" t="str">
        <f>vlookup(C727,'1. 신청자리스트'!J:N,2,false)</f>
        <v>정상</v>
      </c>
      <c r="E727" s="17"/>
      <c r="F727" s="17" t="s">
        <v>474</v>
      </c>
      <c r="G727" s="18">
        <v>35000.0</v>
      </c>
      <c r="H727" s="19" t="s">
        <v>3983</v>
      </c>
      <c r="I727" s="20"/>
      <c r="J727" s="20"/>
      <c r="K727" s="20"/>
      <c r="L727" s="21"/>
      <c r="M727" s="22"/>
      <c r="N727" s="22"/>
      <c r="O727" s="22"/>
      <c r="P727" s="22"/>
      <c r="Q727" s="22"/>
      <c r="R727" s="22"/>
      <c r="S727" s="22"/>
      <c r="T727" s="23"/>
    </row>
    <row r="728">
      <c r="A728" s="16" t="s">
        <v>3955</v>
      </c>
      <c r="B728" s="17" t="s">
        <v>3935</v>
      </c>
      <c r="C728" s="17" t="s">
        <v>911</v>
      </c>
      <c r="D728" s="17" t="str">
        <f>vlookup(C728,'1. 신청자리스트'!J:N,2,false)</f>
        <v>정상</v>
      </c>
      <c r="E728" s="17"/>
      <c r="F728" s="17" t="s">
        <v>4317</v>
      </c>
      <c r="G728" s="18">
        <v>70000.0</v>
      </c>
      <c r="H728" s="19" t="s">
        <v>3946</v>
      </c>
      <c r="I728" s="20"/>
      <c r="J728" s="20"/>
      <c r="K728" s="20"/>
      <c r="L728" s="21"/>
      <c r="M728" s="22"/>
      <c r="N728" s="22"/>
      <c r="O728" s="22"/>
      <c r="P728" s="22"/>
      <c r="Q728" s="22"/>
      <c r="R728" s="22"/>
      <c r="S728" s="22"/>
      <c r="T728" s="23"/>
    </row>
    <row r="729">
      <c r="A729" s="16" t="s">
        <v>3940</v>
      </c>
      <c r="B729" s="17" t="s">
        <v>3935</v>
      </c>
      <c r="C729" s="17" t="s">
        <v>475</v>
      </c>
      <c r="D729" s="17" t="str">
        <f>vlookup(C729,'1. 신청자리스트'!J:N,2,false)</f>
        <v>정상</v>
      </c>
      <c r="E729" s="17"/>
      <c r="F729" s="17" t="s">
        <v>475</v>
      </c>
      <c r="G729" s="18">
        <v>35000.0</v>
      </c>
      <c r="H729" s="19" t="s">
        <v>3946</v>
      </c>
      <c r="I729" s="20"/>
      <c r="J729" s="20"/>
      <c r="K729" s="20"/>
      <c r="L729" s="21"/>
      <c r="M729" s="22"/>
      <c r="N729" s="22"/>
      <c r="O729" s="22"/>
      <c r="P729" s="22"/>
      <c r="Q729" s="22"/>
      <c r="R729" s="22"/>
      <c r="S729" s="22"/>
      <c r="T729" s="23"/>
    </row>
    <row r="730">
      <c r="A730" s="24" t="s">
        <v>3940</v>
      </c>
      <c r="B730" s="25" t="s">
        <v>3935</v>
      </c>
      <c r="C730" s="25" t="s">
        <v>476</v>
      </c>
      <c r="D730" s="17" t="str">
        <f>vlookup(C730,'1. 신청자리스트'!J:N,2,false)</f>
        <v>정상</v>
      </c>
      <c r="E730" s="25"/>
      <c r="F730" s="25" t="s">
        <v>3686</v>
      </c>
      <c r="G730" s="26">
        <v>35000.0</v>
      </c>
      <c r="H730" s="27" t="s">
        <v>3946</v>
      </c>
      <c r="I730" s="28"/>
      <c r="J730" s="28"/>
      <c r="K730" s="28"/>
      <c r="L730" s="29"/>
      <c r="M730" s="22"/>
      <c r="N730" s="22"/>
      <c r="O730" s="22"/>
      <c r="P730" s="22"/>
      <c r="Q730" s="22"/>
      <c r="R730" s="22"/>
      <c r="S730" s="22"/>
      <c r="T730" s="23"/>
    </row>
    <row r="731">
      <c r="A731" s="24" t="s">
        <v>3931</v>
      </c>
      <c r="B731" s="25" t="s">
        <v>3935</v>
      </c>
      <c r="C731" s="25" t="s">
        <v>477</v>
      </c>
      <c r="D731" s="17" t="str">
        <f>vlookup(C731,'1. 신청자리스트'!J:N,2,false)</f>
        <v>중복</v>
      </c>
      <c r="E731" s="25"/>
      <c r="F731" s="25" t="s">
        <v>477</v>
      </c>
      <c r="G731" s="26">
        <v>70000.0</v>
      </c>
      <c r="H731" s="27" t="s">
        <v>3948</v>
      </c>
      <c r="I731" s="28"/>
      <c r="J731" s="28"/>
      <c r="K731" s="28"/>
      <c r="L731" s="29"/>
      <c r="M731" s="22"/>
      <c r="N731" s="22"/>
      <c r="O731" s="22"/>
      <c r="P731" s="22"/>
      <c r="Q731" s="22"/>
      <c r="R731" s="22"/>
      <c r="S731" s="22"/>
      <c r="T731" s="23"/>
    </row>
    <row r="732">
      <c r="A732" s="24" t="s">
        <v>3942</v>
      </c>
      <c r="B732" s="25" t="s">
        <v>3935</v>
      </c>
      <c r="C732" s="25" t="s">
        <v>478</v>
      </c>
      <c r="D732" s="17" t="str">
        <f>vlookup(C732,'1. 신청자리스트'!J:N,2,false)</f>
        <v>정상</v>
      </c>
      <c r="E732" s="25"/>
      <c r="F732" s="25" t="s">
        <v>3688</v>
      </c>
      <c r="G732" s="26">
        <v>35000.0</v>
      </c>
      <c r="H732" s="27" t="s">
        <v>3983</v>
      </c>
      <c r="I732" s="28"/>
      <c r="J732" s="28"/>
      <c r="K732" s="28"/>
      <c r="L732" s="29"/>
      <c r="M732" s="22"/>
      <c r="N732" s="22"/>
      <c r="O732" s="22"/>
      <c r="P732" s="22"/>
      <c r="Q732" s="22"/>
      <c r="R732" s="22"/>
      <c r="S732" s="22"/>
      <c r="T732" s="23"/>
    </row>
    <row r="733">
      <c r="A733" s="16" t="s">
        <v>3945</v>
      </c>
      <c r="B733" s="17" t="s">
        <v>3935</v>
      </c>
      <c r="C733" s="17" t="s">
        <v>912</v>
      </c>
      <c r="D733" s="17" t="str">
        <f>vlookup(C733,'1. 신청자리스트'!J:N,2,false)</f>
        <v>정상</v>
      </c>
      <c r="E733" s="17"/>
      <c r="F733" s="17" t="s">
        <v>912</v>
      </c>
      <c r="G733" s="18">
        <v>70000.0</v>
      </c>
      <c r="H733" s="19" t="s">
        <v>3983</v>
      </c>
      <c r="I733" s="20"/>
      <c r="J733" s="20"/>
      <c r="K733" s="20"/>
      <c r="L733" s="21"/>
      <c r="M733" s="22"/>
      <c r="N733" s="22"/>
      <c r="O733" s="22"/>
      <c r="P733" s="22"/>
      <c r="Q733" s="22"/>
      <c r="R733" s="22"/>
      <c r="S733" s="22"/>
      <c r="T733" s="23"/>
    </row>
    <row r="734">
      <c r="A734" s="24" t="s">
        <v>4071</v>
      </c>
      <c r="B734" s="25" t="s">
        <v>3932</v>
      </c>
      <c r="C734" s="25" t="s">
        <v>479</v>
      </c>
      <c r="D734" s="17" t="str">
        <f>vlookup(C734,'1. 신청자리스트'!J:N,2,false)</f>
        <v>정상</v>
      </c>
      <c r="E734" s="25"/>
      <c r="F734" s="25" t="s">
        <v>3690</v>
      </c>
      <c r="G734" s="26">
        <v>35000.0</v>
      </c>
      <c r="H734" s="27" t="s">
        <v>4318</v>
      </c>
      <c r="I734" s="28"/>
      <c r="J734" s="28"/>
      <c r="K734" s="28"/>
      <c r="L734" s="29"/>
      <c r="M734" s="22"/>
      <c r="N734" s="22"/>
      <c r="O734" s="22"/>
      <c r="P734" s="22"/>
      <c r="Q734" s="22"/>
      <c r="R734" s="22"/>
      <c r="S734" s="22"/>
      <c r="T734" s="23"/>
    </row>
    <row r="735">
      <c r="A735" s="16" t="s">
        <v>3962</v>
      </c>
      <c r="B735" s="17" t="s">
        <v>3932</v>
      </c>
      <c r="C735" s="17" t="s">
        <v>913</v>
      </c>
      <c r="D735" s="17" t="str">
        <f>vlookup(C735,'1. 신청자리스트'!J:N,2,false)</f>
        <v>정상</v>
      </c>
      <c r="E735" s="17"/>
      <c r="F735" s="17" t="s">
        <v>913</v>
      </c>
      <c r="G735" s="18">
        <v>70000.0</v>
      </c>
      <c r="H735" s="19" t="s">
        <v>4319</v>
      </c>
      <c r="I735" s="20"/>
      <c r="J735" s="20"/>
      <c r="K735" s="20"/>
      <c r="L735" s="21"/>
      <c r="M735" s="22"/>
      <c r="N735" s="22"/>
      <c r="O735" s="22"/>
      <c r="P735" s="22"/>
      <c r="Q735" s="22"/>
      <c r="R735" s="22"/>
      <c r="S735" s="22"/>
      <c r="T735" s="23"/>
    </row>
    <row r="736">
      <c r="A736" s="16" t="s">
        <v>3985</v>
      </c>
      <c r="B736" s="17" t="s">
        <v>4032</v>
      </c>
      <c r="C736" s="17" t="s">
        <v>916</v>
      </c>
      <c r="D736" s="17" t="str">
        <f>vlookup(C736,'1. 신청자리스트'!J:N,2,false)</f>
        <v>정상</v>
      </c>
      <c r="E736" s="17"/>
      <c r="F736" s="17" t="s">
        <v>916</v>
      </c>
      <c r="G736" s="18">
        <v>70000.0</v>
      </c>
      <c r="H736" s="19" t="s">
        <v>4320</v>
      </c>
      <c r="I736" s="20"/>
      <c r="J736" s="20"/>
      <c r="K736" s="20"/>
      <c r="L736" s="21"/>
      <c r="M736" s="22"/>
      <c r="N736" s="22"/>
      <c r="O736" s="22"/>
      <c r="P736" s="22"/>
      <c r="Q736" s="22"/>
      <c r="R736" s="22"/>
      <c r="S736" s="22"/>
      <c r="T736" s="23"/>
    </row>
    <row r="737">
      <c r="A737" s="16" t="s">
        <v>4030</v>
      </c>
      <c r="B737" s="17" t="s">
        <v>3935</v>
      </c>
      <c r="C737" s="17" t="s">
        <v>917</v>
      </c>
      <c r="D737" s="17" t="str">
        <f>vlookup(C737,'1. 신청자리스트'!J:N,2,false)</f>
        <v>정상</v>
      </c>
      <c r="E737" s="17"/>
      <c r="F737" s="17" t="s">
        <v>917</v>
      </c>
      <c r="G737" s="18">
        <v>70000.0</v>
      </c>
      <c r="H737" s="19" t="s">
        <v>3948</v>
      </c>
      <c r="I737" s="20"/>
      <c r="J737" s="20"/>
      <c r="K737" s="20"/>
      <c r="L737" s="21"/>
      <c r="M737" s="22"/>
      <c r="N737" s="22"/>
      <c r="O737" s="22"/>
      <c r="P737" s="22"/>
      <c r="Q737" s="22"/>
      <c r="R737" s="22"/>
      <c r="S737" s="22"/>
      <c r="T737" s="23"/>
    </row>
    <row r="738">
      <c r="A738" s="24" t="s">
        <v>3940</v>
      </c>
      <c r="B738" s="25" t="s">
        <v>3935</v>
      </c>
      <c r="C738" s="25" t="s">
        <v>918</v>
      </c>
      <c r="D738" s="17" t="str">
        <f>vlookup(C738,'1. 신청자리스트'!J:N,2,false)</f>
        <v>정상</v>
      </c>
      <c r="E738" s="25"/>
      <c r="F738" s="25" t="s">
        <v>2021</v>
      </c>
      <c r="G738" s="26">
        <v>70000.0</v>
      </c>
      <c r="H738" s="27" t="s">
        <v>3941</v>
      </c>
      <c r="I738" s="28"/>
      <c r="J738" s="28"/>
      <c r="K738" s="28"/>
      <c r="L738" s="29"/>
      <c r="M738" s="22"/>
      <c r="N738" s="22"/>
      <c r="O738" s="22"/>
      <c r="P738" s="22"/>
      <c r="Q738" s="22"/>
      <c r="R738" s="22"/>
      <c r="S738" s="22"/>
      <c r="T738" s="23"/>
    </row>
    <row r="739">
      <c r="A739" s="24" t="s">
        <v>3962</v>
      </c>
      <c r="B739" s="25" t="s">
        <v>3935</v>
      </c>
      <c r="C739" s="25" t="s">
        <v>482</v>
      </c>
      <c r="D739" s="17" t="str">
        <f>vlookup(C739,'1. 신청자리스트'!J:N,2,false)</f>
        <v>정상</v>
      </c>
      <c r="E739" s="25"/>
      <c r="F739" s="25" t="s">
        <v>4321</v>
      </c>
      <c r="G739" s="26">
        <v>35000.0</v>
      </c>
      <c r="H739" s="27" t="s">
        <v>3948</v>
      </c>
      <c r="I739" s="28"/>
      <c r="J739" s="28"/>
      <c r="K739" s="28"/>
      <c r="L739" s="29"/>
      <c r="M739" s="22"/>
      <c r="N739" s="22"/>
      <c r="O739" s="22"/>
      <c r="P739" s="22"/>
      <c r="Q739" s="22"/>
      <c r="R739" s="22"/>
      <c r="S739" s="22"/>
      <c r="T739" s="23"/>
    </row>
    <row r="740">
      <c r="A740" s="24" t="s">
        <v>3945</v>
      </c>
      <c r="B740" s="25" t="s">
        <v>3935</v>
      </c>
      <c r="C740" s="25" t="s">
        <v>919</v>
      </c>
      <c r="D740" s="17" t="str">
        <f>vlookup(C740,'1. 신청자리스트'!J:N,2,false)</f>
        <v>정상</v>
      </c>
      <c r="E740" s="25"/>
      <c r="F740" s="25" t="s">
        <v>2119</v>
      </c>
      <c r="G740" s="26">
        <v>70000.0</v>
      </c>
      <c r="H740" s="27" t="s">
        <v>3946</v>
      </c>
      <c r="I740" s="28"/>
      <c r="J740" s="28"/>
      <c r="K740" s="28"/>
      <c r="L740" s="29"/>
      <c r="M740" s="22"/>
      <c r="N740" s="22"/>
      <c r="O740" s="22"/>
      <c r="P740" s="22"/>
      <c r="Q740" s="22"/>
      <c r="R740" s="22"/>
      <c r="S740" s="22"/>
      <c r="T740" s="23"/>
    </row>
    <row r="741">
      <c r="A741" s="16" t="s">
        <v>3934</v>
      </c>
      <c r="B741" s="17" t="s">
        <v>3935</v>
      </c>
      <c r="C741" s="17" t="s">
        <v>483</v>
      </c>
      <c r="D741" s="17" t="str">
        <f>vlookup(C741,'1. 신청자리스트'!J:N,2,false)</f>
        <v>정상</v>
      </c>
      <c r="E741" s="17"/>
      <c r="F741" s="17" t="s">
        <v>483</v>
      </c>
      <c r="G741" s="18">
        <v>35000.0</v>
      </c>
      <c r="H741" s="19" t="s">
        <v>3983</v>
      </c>
      <c r="I741" s="20"/>
      <c r="J741" s="20"/>
      <c r="K741" s="20"/>
      <c r="L741" s="21"/>
      <c r="M741" s="22"/>
      <c r="N741" s="22"/>
      <c r="O741" s="22"/>
      <c r="P741" s="22"/>
      <c r="Q741" s="22"/>
      <c r="R741" s="22"/>
      <c r="S741" s="22"/>
      <c r="T741" s="23"/>
    </row>
    <row r="742">
      <c r="A742" s="16" t="s">
        <v>4002</v>
      </c>
      <c r="B742" s="17" t="s">
        <v>3932</v>
      </c>
      <c r="C742" s="17" t="s">
        <v>484</v>
      </c>
      <c r="D742" s="17" t="str">
        <f>vlookup(C742,'1. 신청자리스트'!J:N,2,false)</f>
        <v>정상</v>
      </c>
      <c r="E742" s="17"/>
      <c r="F742" s="17" t="s">
        <v>484</v>
      </c>
      <c r="G742" s="18">
        <v>35000.0</v>
      </c>
      <c r="H742" s="19" t="s">
        <v>4322</v>
      </c>
      <c r="I742" s="20"/>
      <c r="J742" s="20"/>
      <c r="K742" s="20"/>
      <c r="L742" s="21"/>
      <c r="M742" s="22"/>
      <c r="N742" s="22"/>
      <c r="O742" s="22"/>
      <c r="P742" s="22"/>
      <c r="Q742" s="22"/>
      <c r="R742" s="22"/>
      <c r="S742" s="22"/>
      <c r="T742" s="23"/>
    </row>
    <row r="743">
      <c r="A743" s="50"/>
      <c r="B743" s="50"/>
      <c r="C743" s="31" t="s">
        <v>4323</v>
      </c>
      <c r="D743" s="17" t="str">
        <f>vlookup(C743,'1. 신청자리스트'!J:N,2,false)</f>
        <v>정상</v>
      </c>
      <c r="E743" s="50"/>
      <c r="F743" s="31" t="s">
        <v>4323</v>
      </c>
      <c r="G743" s="32">
        <v>70000.0</v>
      </c>
      <c r="H743" s="51"/>
      <c r="I743" s="36" t="str">
        <f>VLOOKUP(C743, '문의'!D:E, 2, FALSE)</f>
        <v>[입금/결제] 신청완료라고 떴는데
 신청내역조회하니 없다고 뜨네요
 확인 부탁드립니다</v>
      </c>
      <c r="J743" s="36">
        <f t="array" ref="J743">INDEX('문의'!C:C, MATCH(C743, '문의'!D:D, 0))</f>
        <v>1092371224</v>
      </c>
      <c r="K743" s="36" t="s">
        <v>3957</v>
      </c>
      <c r="L743" s="49" t="s">
        <v>4324</v>
      </c>
      <c r="M743" s="42"/>
      <c r="N743" s="42"/>
      <c r="O743" s="42"/>
      <c r="P743" s="42"/>
      <c r="Q743" s="42"/>
      <c r="R743" s="44"/>
      <c r="S743" s="42"/>
      <c r="T743" s="41"/>
    </row>
    <row r="744">
      <c r="A744" s="24" t="s">
        <v>3962</v>
      </c>
      <c r="B744" s="25" t="s">
        <v>3935</v>
      </c>
      <c r="C744" s="25" t="s">
        <v>920</v>
      </c>
      <c r="D744" s="17" t="str">
        <f>vlookup(C744,'1. 신청자리스트'!J:N,2,false)</f>
        <v>정상</v>
      </c>
      <c r="E744" s="25"/>
      <c r="F744" s="25" t="s">
        <v>4325</v>
      </c>
      <c r="G744" s="26">
        <v>70000.0</v>
      </c>
      <c r="H744" s="27" t="s">
        <v>4006</v>
      </c>
      <c r="I744" s="28"/>
      <c r="J744" s="28"/>
      <c r="K744" s="28"/>
      <c r="L744" s="29"/>
      <c r="M744" s="22"/>
      <c r="N744" s="22"/>
      <c r="O744" s="22"/>
      <c r="P744" s="22"/>
      <c r="Q744" s="22"/>
      <c r="R744" s="22"/>
      <c r="S744" s="22"/>
      <c r="T744" s="23"/>
    </row>
    <row r="745">
      <c r="A745" s="16" t="s">
        <v>3934</v>
      </c>
      <c r="B745" s="17" t="s">
        <v>3935</v>
      </c>
      <c r="C745" s="17" t="s">
        <v>921</v>
      </c>
      <c r="D745" s="17" t="str">
        <f>vlookup(C745,'1. 신청자리스트'!J:N,2,false)</f>
        <v>정상</v>
      </c>
      <c r="E745" s="17"/>
      <c r="F745" s="17" t="s">
        <v>921</v>
      </c>
      <c r="G745" s="18">
        <v>70000.0</v>
      </c>
      <c r="H745" s="19" t="s">
        <v>3952</v>
      </c>
      <c r="I745" s="20"/>
      <c r="J745" s="20"/>
      <c r="K745" s="20"/>
      <c r="L745" s="21"/>
      <c r="M745" s="22"/>
      <c r="N745" s="22"/>
      <c r="O745" s="22"/>
      <c r="P745" s="22"/>
      <c r="Q745" s="22"/>
      <c r="R745" s="22"/>
      <c r="S745" s="22"/>
      <c r="T745" s="23"/>
    </row>
    <row r="746">
      <c r="A746" s="24" t="s">
        <v>3989</v>
      </c>
      <c r="B746" s="25" t="s">
        <v>3935</v>
      </c>
      <c r="C746" s="25" t="s">
        <v>923</v>
      </c>
      <c r="D746" s="17" t="str">
        <f>vlookup(C746,'1. 신청자리스트'!J:N,2,false)</f>
        <v>정상</v>
      </c>
      <c r="E746" s="25"/>
      <c r="F746" s="25" t="s">
        <v>4326</v>
      </c>
      <c r="G746" s="26">
        <v>70000.0</v>
      </c>
      <c r="H746" s="27" t="s">
        <v>3983</v>
      </c>
      <c r="I746" s="28"/>
      <c r="J746" s="28"/>
      <c r="K746" s="28"/>
      <c r="L746" s="29"/>
      <c r="M746" s="22"/>
      <c r="N746" s="22"/>
      <c r="O746" s="22"/>
      <c r="P746" s="22"/>
      <c r="Q746" s="22"/>
      <c r="R746" s="22"/>
      <c r="S746" s="22"/>
      <c r="T746" s="23"/>
    </row>
    <row r="747">
      <c r="A747" s="16" t="s">
        <v>4018</v>
      </c>
      <c r="B747" s="17" t="s">
        <v>3935</v>
      </c>
      <c r="C747" s="17" t="s">
        <v>485</v>
      </c>
      <c r="D747" s="17" t="str">
        <f>vlookup(C747,'1. 신청자리스트'!J:N,2,false)</f>
        <v>정상</v>
      </c>
      <c r="E747" s="17"/>
      <c r="F747" s="17" t="s">
        <v>485</v>
      </c>
      <c r="G747" s="18">
        <v>35000.0</v>
      </c>
      <c r="H747" s="19" t="s">
        <v>3948</v>
      </c>
      <c r="I747" s="20"/>
      <c r="J747" s="20"/>
      <c r="K747" s="20"/>
      <c r="L747" s="21"/>
      <c r="M747" s="22"/>
      <c r="N747" s="22"/>
      <c r="O747" s="22"/>
      <c r="P747" s="22"/>
      <c r="Q747" s="22"/>
      <c r="R747" s="22"/>
      <c r="S747" s="22"/>
      <c r="T747" s="23"/>
    </row>
    <row r="748">
      <c r="A748" s="16" t="s">
        <v>3942</v>
      </c>
      <c r="B748" s="17" t="s">
        <v>3935</v>
      </c>
      <c r="C748" s="17" t="s">
        <v>486</v>
      </c>
      <c r="D748" s="17" t="str">
        <f>vlookup(C748,'1. 신청자리스트'!J:N,2,false)</f>
        <v>정상</v>
      </c>
      <c r="E748" s="17"/>
      <c r="F748" s="17" t="s">
        <v>4327</v>
      </c>
      <c r="G748" s="18">
        <v>35000.0</v>
      </c>
      <c r="H748" s="19" t="s">
        <v>3983</v>
      </c>
      <c r="I748" s="20"/>
      <c r="J748" s="20"/>
      <c r="K748" s="20"/>
      <c r="L748" s="21"/>
      <c r="M748" s="22"/>
      <c r="N748" s="22"/>
      <c r="O748" s="22"/>
      <c r="P748" s="22"/>
      <c r="Q748" s="22"/>
      <c r="R748" s="22"/>
      <c r="S748" s="22"/>
      <c r="T748" s="23"/>
    </row>
    <row r="749">
      <c r="A749" s="16" t="s">
        <v>3955</v>
      </c>
      <c r="B749" s="17" t="s">
        <v>3935</v>
      </c>
      <c r="C749" s="17" t="s">
        <v>925</v>
      </c>
      <c r="D749" s="17" t="str">
        <f>vlookup(C749,'1. 신청자리스트'!J:N,2,false)</f>
        <v>정상</v>
      </c>
      <c r="E749" s="17"/>
      <c r="F749" s="17" t="s">
        <v>4328</v>
      </c>
      <c r="G749" s="18">
        <v>70000.0</v>
      </c>
      <c r="H749" s="19" t="s">
        <v>3941</v>
      </c>
      <c r="I749" s="20"/>
      <c r="J749" s="20"/>
      <c r="K749" s="20"/>
      <c r="L749" s="21"/>
      <c r="M749" s="22"/>
      <c r="N749" s="22"/>
      <c r="O749" s="22"/>
      <c r="P749" s="22"/>
      <c r="Q749" s="22"/>
      <c r="R749" s="22"/>
      <c r="S749" s="22"/>
      <c r="T749" s="23"/>
    </row>
    <row r="750">
      <c r="A750" s="24" t="s">
        <v>3953</v>
      </c>
      <c r="B750" s="25" t="s">
        <v>3935</v>
      </c>
      <c r="C750" s="25" t="s">
        <v>926</v>
      </c>
      <c r="D750" s="17" t="str">
        <f>vlookup(C750,'1. 신청자리스트'!J:N,2,false)</f>
        <v>정상</v>
      </c>
      <c r="E750" s="25"/>
      <c r="F750" s="25" t="s">
        <v>1416</v>
      </c>
      <c r="G750" s="26">
        <v>70000.0</v>
      </c>
      <c r="H750" s="27" t="s">
        <v>3941</v>
      </c>
      <c r="I750" s="28"/>
      <c r="J750" s="28"/>
      <c r="K750" s="28"/>
      <c r="L750" s="29"/>
      <c r="M750" s="22"/>
      <c r="N750" s="22"/>
      <c r="O750" s="22"/>
      <c r="P750" s="22"/>
      <c r="Q750" s="22"/>
      <c r="R750" s="22"/>
      <c r="S750" s="22"/>
      <c r="T750" s="23"/>
    </row>
    <row r="751">
      <c r="A751" s="24" t="s">
        <v>3945</v>
      </c>
      <c r="B751" s="25" t="s">
        <v>3935</v>
      </c>
      <c r="C751" s="25" t="s">
        <v>487</v>
      </c>
      <c r="D751" s="17" t="str">
        <f>vlookup(C751,'1. 신청자리스트'!J:N,2,false)</f>
        <v>정상</v>
      </c>
      <c r="E751" s="25"/>
      <c r="F751" s="25" t="s">
        <v>3702</v>
      </c>
      <c r="G751" s="26">
        <v>35000.0</v>
      </c>
      <c r="H751" s="27" t="s">
        <v>3946</v>
      </c>
      <c r="I751" s="28"/>
      <c r="J751" s="28"/>
      <c r="K751" s="28"/>
      <c r="L751" s="29"/>
      <c r="M751" s="22"/>
      <c r="N751" s="22"/>
      <c r="O751" s="22"/>
      <c r="P751" s="22"/>
      <c r="Q751" s="22"/>
      <c r="R751" s="22"/>
      <c r="S751" s="22"/>
      <c r="T751" s="23"/>
    </row>
    <row r="752">
      <c r="A752" s="24" t="s">
        <v>3980</v>
      </c>
      <c r="B752" s="25" t="s">
        <v>3932</v>
      </c>
      <c r="C752" s="25" t="s">
        <v>928</v>
      </c>
      <c r="D752" s="17" t="str">
        <f>vlookup(C752,'1. 신청자리스트'!J:N,2,false)</f>
        <v>정상</v>
      </c>
      <c r="E752" s="25"/>
      <c r="F752" s="25" t="s">
        <v>1425</v>
      </c>
      <c r="G752" s="26">
        <v>70000.0</v>
      </c>
      <c r="H752" s="27" t="s">
        <v>4034</v>
      </c>
      <c r="I752" s="28"/>
      <c r="J752" s="28"/>
      <c r="K752" s="28"/>
      <c r="L752" s="29"/>
      <c r="M752" s="22"/>
      <c r="N752" s="22"/>
      <c r="O752" s="22"/>
      <c r="P752" s="22"/>
      <c r="Q752" s="22"/>
      <c r="R752" s="22"/>
      <c r="S752" s="22"/>
      <c r="T752" s="23"/>
    </row>
    <row r="753">
      <c r="A753" s="16" t="s">
        <v>3942</v>
      </c>
      <c r="B753" s="17" t="s">
        <v>3932</v>
      </c>
      <c r="C753" s="17" t="s">
        <v>489</v>
      </c>
      <c r="D753" s="17" t="str">
        <f>vlookup(C753,'1. 신청자리스트'!J:N,2,false)</f>
        <v>정상</v>
      </c>
      <c r="E753" s="17"/>
      <c r="F753" s="17" t="s">
        <v>489</v>
      </c>
      <c r="G753" s="18">
        <v>35000.0</v>
      </c>
      <c r="H753" s="19" t="s">
        <v>4329</v>
      </c>
      <c r="I753" s="20"/>
      <c r="J753" s="20"/>
      <c r="K753" s="20"/>
      <c r="L753" s="21"/>
      <c r="M753" s="22"/>
      <c r="N753" s="22"/>
      <c r="O753" s="22"/>
      <c r="P753" s="22"/>
      <c r="Q753" s="22"/>
      <c r="R753" s="22"/>
      <c r="S753" s="22"/>
      <c r="T753" s="23"/>
    </row>
    <row r="754">
      <c r="A754" s="16" t="s">
        <v>3972</v>
      </c>
      <c r="B754" s="17" t="s">
        <v>3935</v>
      </c>
      <c r="C754" s="17" t="s">
        <v>930</v>
      </c>
      <c r="D754" s="17" t="str">
        <f>vlookup(C754,'1. 신청자리스트'!J:N,2,false)</f>
        <v>정상</v>
      </c>
      <c r="E754" s="17"/>
      <c r="F754" s="17" t="s">
        <v>930</v>
      </c>
      <c r="G754" s="18">
        <v>70000.0</v>
      </c>
      <c r="H754" s="19" t="s">
        <v>4270</v>
      </c>
      <c r="I754" s="20"/>
      <c r="J754" s="20"/>
      <c r="K754" s="20"/>
      <c r="L754" s="21"/>
      <c r="M754" s="22"/>
      <c r="N754" s="22"/>
      <c r="O754" s="22"/>
      <c r="P754" s="22"/>
      <c r="Q754" s="22"/>
      <c r="R754" s="22"/>
      <c r="S754" s="22"/>
      <c r="T754" s="23"/>
    </row>
    <row r="755">
      <c r="A755" s="24" t="s">
        <v>3945</v>
      </c>
      <c r="B755" s="25" t="s">
        <v>3935</v>
      </c>
      <c r="C755" s="25" t="s">
        <v>490</v>
      </c>
      <c r="D755" s="17" t="str">
        <f>vlookup(C755,'1. 신청자리스트'!J:N,2,false)</f>
        <v>정상</v>
      </c>
      <c r="E755" s="25"/>
      <c r="F755" s="25" t="s">
        <v>3706</v>
      </c>
      <c r="G755" s="26">
        <v>35000.0</v>
      </c>
      <c r="H755" s="27" t="s">
        <v>3941</v>
      </c>
      <c r="I755" s="28"/>
      <c r="J755" s="28"/>
      <c r="K755" s="28"/>
      <c r="L755" s="29"/>
      <c r="M755" s="22"/>
      <c r="N755" s="22"/>
      <c r="O755" s="22"/>
      <c r="P755" s="22"/>
      <c r="Q755" s="22"/>
      <c r="R755" s="22"/>
      <c r="S755" s="22"/>
      <c r="T755" s="23"/>
    </row>
    <row r="756">
      <c r="A756" s="16" t="s">
        <v>4030</v>
      </c>
      <c r="B756" s="17" t="s">
        <v>3935</v>
      </c>
      <c r="C756" s="17" t="s">
        <v>491</v>
      </c>
      <c r="D756" s="17" t="str">
        <f>vlookup(C756,'1. 신청자리스트'!J:N,2,false)</f>
        <v>정상</v>
      </c>
      <c r="E756" s="17"/>
      <c r="F756" s="17" t="s">
        <v>491</v>
      </c>
      <c r="G756" s="18">
        <v>35000.0</v>
      </c>
      <c r="H756" s="19" t="s">
        <v>3946</v>
      </c>
      <c r="I756" s="20"/>
      <c r="J756" s="20"/>
      <c r="K756" s="20"/>
      <c r="L756" s="21"/>
      <c r="M756" s="22"/>
      <c r="N756" s="22"/>
      <c r="O756" s="22"/>
      <c r="P756" s="22"/>
      <c r="Q756" s="22"/>
      <c r="R756" s="22"/>
      <c r="S756" s="22"/>
      <c r="T756" s="23"/>
    </row>
    <row r="757">
      <c r="A757" s="16" t="s">
        <v>3962</v>
      </c>
      <c r="B757" s="17" t="s">
        <v>3935</v>
      </c>
      <c r="C757" s="17" t="s">
        <v>931</v>
      </c>
      <c r="D757" s="17" t="str">
        <f>vlookup(C757,'1. 신청자리스트'!J:N,2,false)</f>
        <v>정상</v>
      </c>
      <c r="E757" s="17"/>
      <c r="F757" s="17" t="s">
        <v>931</v>
      </c>
      <c r="G757" s="18">
        <v>70000.0</v>
      </c>
      <c r="H757" s="19" t="s">
        <v>3941</v>
      </c>
      <c r="I757" s="20"/>
      <c r="J757" s="20"/>
      <c r="K757" s="20"/>
      <c r="L757" s="21"/>
      <c r="M757" s="22"/>
      <c r="N757" s="22"/>
      <c r="O757" s="22"/>
      <c r="P757" s="22"/>
      <c r="Q757" s="22"/>
      <c r="R757" s="22"/>
      <c r="S757" s="22"/>
      <c r="T757" s="23"/>
    </row>
    <row r="758">
      <c r="A758" s="16" t="s">
        <v>3940</v>
      </c>
      <c r="B758" s="17" t="s">
        <v>3935</v>
      </c>
      <c r="C758" s="17" t="s">
        <v>492</v>
      </c>
      <c r="D758" s="17" t="str">
        <f>vlookup(C758,'1. 신청자리스트'!J:N,2,false)</f>
        <v>정상</v>
      </c>
      <c r="E758" s="17"/>
      <c r="F758" s="17" t="s">
        <v>492</v>
      </c>
      <c r="G758" s="18">
        <v>35000.0</v>
      </c>
      <c r="H758" s="19" t="s">
        <v>3946</v>
      </c>
      <c r="I758" s="20"/>
      <c r="J758" s="20"/>
      <c r="K758" s="20"/>
      <c r="L758" s="21"/>
      <c r="M758" s="22"/>
      <c r="N758" s="22"/>
      <c r="O758" s="22"/>
      <c r="P758" s="22"/>
      <c r="Q758" s="22"/>
      <c r="R758" s="22"/>
      <c r="S758" s="22"/>
      <c r="T758" s="23"/>
    </row>
    <row r="759">
      <c r="A759" s="24" t="s">
        <v>4330</v>
      </c>
      <c r="B759" s="25" t="s">
        <v>3935</v>
      </c>
      <c r="C759" s="25" t="s">
        <v>493</v>
      </c>
      <c r="D759" s="17" t="str">
        <f>vlookup(C759,'1. 신청자리스트'!J:N,2,false)</f>
        <v>정상</v>
      </c>
      <c r="E759" s="25"/>
      <c r="F759" s="25" t="s">
        <v>3712</v>
      </c>
      <c r="G759" s="26">
        <v>35000.0</v>
      </c>
      <c r="H759" s="27" t="s">
        <v>3968</v>
      </c>
      <c r="I759" s="28"/>
      <c r="J759" s="28"/>
      <c r="K759" s="28"/>
      <c r="L759" s="29"/>
      <c r="M759" s="22"/>
      <c r="N759" s="22"/>
      <c r="O759" s="22"/>
      <c r="P759" s="22"/>
      <c r="Q759" s="22"/>
      <c r="R759" s="22"/>
      <c r="S759" s="22"/>
      <c r="T759" s="23"/>
    </row>
    <row r="760">
      <c r="A760" s="16" t="s">
        <v>3945</v>
      </c>
      <c r="B760" s="17" t="s">
        <v>3935</v>
      </c>
      <c r="C760" s="17" t="s">
        <v>494</v>
      </c>
      <c r="D760" s="17" t="str">
        <f>vlookup(C760,'1. 신청자리스트'!J:N,2,false)</f>
        <v>정상</v>
      </c>
      <c r="E760" s="17"/>
      <c r="F760" s="17" t="s">
        <v>494</v>
      </c>
      <c r="G760" s="18">
        <v>35000.0</v>
      </c>
      <c r="H760" s="19" t="s">
        <v>3983</v>
      </c>
      <c r="I760" s="20"/>
      <c r="J760" s="20"/>
      <c r="K760" s="20"/>
      <c r="L760" s="21"/>
      <c r="M760" s="22"/>
      <c r="N760" s="22"/>
      <c r="O760" s="22"/>
      <c r="P760" s="22"/>
      <c r="Q760" s="22"/>
      <c r="R760" s="22"/>
      <c r="S760" s="22"/>
      <c r="T760" s="23"/>
    </row>
    <row r="761">
      <c r="A761" s="16" t="s">
        <v>3942</v>
      </c>
      <c r="B761" s="17" t="s">
        <v>3935</v>
      </c>
      <c r="C761" s="17" t="s">
        <v>933</v>
      </c>
      <c r="D761" s="17" t="str">
        <f>vlookup(C761,'1. 신청자리스트'!J:N,2,false)</f>
        <v>정상</v>
      </c>
      <c r="E761" s="17"/>
      <c r="F761" s="17" t="s">
        <v>933</v>
      </c>
      <c r="G761" s="18">
        <v>70000.0</v>
      </c>
      <c r="H761" s="19" t="s">
        <v>3941</v>
      </c>
      <c r="I761" s="20"/>
      <c r="J761" s="20"/>
      <c r="K761" s="20"/>
      <c r="L761" s="21"/>
      <c r="M761" s="22"/>
      <c r="N761" s="22"/>
      <c r="O761" s="22"/>
      <c r="P761" s="22"/>
      <c r="Q761" s="22"/>
      <c r="R761" s="22"/>
      <c r="S761" s="22"/>
      <c r="T761" s="23"/>
    </row>
    <row r="762">
      <c r="A762" s="16" t="s">
        <v>3931</v>
      </c>
      <c r="B762" s="17" t="s">
        <v>3935</v>
      </c>
      <c r="C762" s="17" t="s">
        <v>934</v>
      </c>
      <c r="D762" s="17" t="str">
        <f>vlookup(C762,'1. 신청자리스트'!J:N,2,false)</f>
        <v>정상</v>
      </c>
      <c r="E762" s="17"/>
      <c r="F762" s="17" t="s">
        <v>934</v>
      </c>
      <c r="G762" s="18">
        <v>70000.0</v>
      </c>
      <c r="H762" s="19" t="s">
        <v>3939</v>
      </c>
      <c r="I762" s="20"/>
      <c r="J762" s="20"/>
      <c r="K762" s="20"/>
      <c r="L762" s="21"/>
      <c r="M762" s="22"/>
      <c r="N762" s="22"/>
      <c r="O762" s="22"/>
      <c r="P762" s="22"/>
      <c r="Q762" s="22"/>
      <c r="R762" s="22"/>
      <c r="S762" s="22"/>
      <c r="T762" s="23"/>
    </row>
    <row r="763">
      <c r="A763" s="16" t="s">
        <v>3945</v>
      </c>
      <c r="B763" s="17" t="s">
        <v>3932</v>
      </c>
      <c r="C763" s="17" t="s">
        <v>495</v>
      </c>
      <c r="D763" s="17" t="str">
        <f>vlookup(C763,'1. 신청자리스트'!J:N,2,false)</f>
        <v>정상</v>
      </c>
      <c r="E763" s="17"/>
      <c r="F763" s="17" t="s">
        <v>495</v>
      </c>
      <c r="G763" s="18">
        <v>35000.0</v>
      </c>
      <c r="H763" s="19" t="s">
        <v>4009</v>
      </c>
      <c r="I763" s="20"/>
      <c r="J763" s="20"/>
      <c r="K763" s="20"/>
      <c r="L763" s="21"/>
      <c r="M763" s="22"/>
      <c r="N763" s="22"/>
      <c r="O763" s="22"/>
      <c r="P763" s="22"/>
      <c r="Q763" s="22"/>
      <c r="R763" s="22"/>
      <c r="S763" s="22"/>
      <c r="T763" s="23"/>
    </row>
    <row r="764">
      <c r="A764" s="16" t="s">
        <v>3945</v>
      </c>
      <c r="B764" s="17" t="s">
        <v>3935</v>
      </c>
      <c r="C764" s="17" t="s">
        <v>496</v>
      </c>
      <c r="D764" s="17" t="str">
        <f>vlookup(C764,'1. 신청자리스트'!J:N,2,false)</f>
        <v>정상</v>
      </c>
      <c r="E764" s="17"/>
      <c r="F764" s="17" t="s">
        <v>496</v>
      </c>
      <c r="G764" s="18">
        <v>35000.0</v>
      </c>
      <c r="H764" s="19" t="s">
        <v>3946</v>
      </c>
      <c r="I764" s="20"/>
      <c r="J764" s="20"/>
      <c r="K764" s="20"/>
      <c r="L764" s="21"/>
      <c r="M764" s="22"/>
      <c r="N764" s="22"/>
      <c r="O764" s="22"/>
      <c r="P764" s="22"/>
      <c r="Q764" s="22"/>
      <c r="R764" s="22"/>
      <c r="S764" s="22"/>
      <c r="T764" s="23"/>
    </row>
    <row r="765">
      <c r="A765" s="16" t="s">
        <v>3962</v>
      </c>
      <c r="B765" s="17" t="s">
        <v>3935</v>
      </c>
      <c r="C765" s="17" t="s">
        <v>936</v>
      </c>
      <c r="D765" s="17" t="str">
        <f>vlookup(C765,'1. 신청자리스트'!J:N,2,false)</f>
        <v>정상</v>
      </c>
      <c r="E765" s="17"/>
      <c r="F765" s="17" t="s">
        <v>936</v>
      </c>
      <c r="G765" s="18">
        <v>70000.0</v>
      </c>
      <c r="H765" s="19" t="s">
        <v>3941</v>
      </c>
      <c r="I765" s="20"/>
      <c r="J765" s="20"/>
      <c r="K765" s="20"/>
      <c r="L765" s="21"/>
      <c r="M765" s="22"/>
      <c r="N765" s="22"/>
      <c r="O765" s="22"/>
      <c r="P765" s="22"/>
      <c r="Q765" s="22"/>
      <c r="R765" s="22"/>
      <c r="S765" s="22"/>
      <c r="T765" s="23"/>
    </row>
    <row r="766">
      <c r="A766" s="16" t="s">
        <v>3931</v>
      </c>
      <c r="B766" s="17" t="s">
        <v>3932</v>
      </c>
      <c r="C766" s="17" t="s">
        <v>937</v>
      </c>
      <c r="D766" s="17" t="str">
        <f>vlookup(C766,'1. 신청자리스트'!J:N,2,false)</f>
        <v>정상</v>
      </c>
      <c r="E766" s="17"/>
      <c r="F766" s="17" t="s">
        <v>937</v>
      </c>
      <c r="G766" s="18">
        <v>70000.0</v>
      </c>
      <c r="H766" s="19" t="s">
        <v>4331</v>
      </c>
      <c r="I766" s="20"/>
      <c r="J766" s="20"/>
      <c r="K766" s="20"/>
      <c r="L766" s="21"/>
      <c r="M766" s="22"/>
      <c r="N766" s="22"/>
      <c r="O766" s="22"/>
      <c r="P766" s="22"/>
      <c r="Q766" s="22"/>
      <c r="R766" s="22"/>
      <c r="S766" s="22"/>
      <c r="T766" s="23"/>
    </row>
    <row r="767">
      <c r="A767" s="16" t="s">
        <v>3945</v>
      </c>
      <c r="B767" s="17" t="s">
        <v>3935</v>
      </c>
      <c r="C767" s="17" t="s">
        <v>938</v>
      </c>
      <c r="D767" s="17" t="str">
        <f>vlookup(C767,'1. 신청자리스트'!J:N,2,false)</f>
        <v>정상</v>
      </c>
      <c r="E767" s="17"/>
      <c r="F767" s="17" t="s">
        <v>4332</v>
      </c>
      <c r="G767" s="18">
        <v>70000.0</v>
      </c>
      <c r="H767" s="19" t="s">
        <v>3939</v>
      </c>
      <c r="I767" s="20"/>
      <c r="J767" s="20"/>
      <c r="K767" s="20"/>
      <c r="L767" s="21"/>
      <c r="M767" s="22"/>
      <c r="N767" s="22"/>
      <c r="O767" s="22"/>
      <c r="P767" s="22"/>
      <c r="Q767" s="22"/>
      <c r="R767" s="22"/>
      <c r="S767" s="22"/>
      <c r="T767" s="23"/>
    </row>
    <row r="768">
      <c r="A768" s="16" t="s">
        <v>3931</v>
      </c>
      <c r="B768" s="17" t="s">
        <v>3935</v>
      </c>
      <c r="C768" s="17" t="s">
        <v>940</v>
      </c>
      <c r="D768" s="17" t="str">
        <f>vlookup(C768,'1. 신청자리스트'!J:N,2,false)</f>
        <v>정상</v>
      </c>
      <c r="E768" s="17"/>
      <c r="F768" s="17" t="s">
        <v>940</v>
      </c>
      <c r="G768" s="18">
        <v>70000.0</v>
      </c>
      <c r="H768" s="19" t="s">
        <v>3983</v>
      </c>
      <c r="I768" s="20"/>
      <c r="J768" s="20"/>
      <c r="K768" s="20"/>
      <c r="L768" s="21"/>
      <c r="M768" s="22"/>
      <c r="N768" s="22"/>
      <c r="O768" s="22"/>
      <c r="P768" s="22"/>
      <c r="Q768" s="22"/>
      <c r="R768" s="22"/>
      <c r="S768" s="22"/>
      <c r="T768" s="23"/>
    </row>
    <row r="769">
      <c r="A769" s="16" t="s">
        <v>3949</v>
      </c>
      <c r="B769" s="17" t="s">
        <v>3932</v>
      </c>
      <c r="C769" s="17" t="s">
        <v>498</v>
      </c>
      <c r="D769" s="17" t="str">
        <f>vlookup(C769,'1. 신청자리스트'!J:N,2,false)</f>
        <v>정상</v>
      </c>
      <c r="E769" s="17"/>
      <c r="F769" s="17" t="s">
        <v>498</v>
      </c>
      <c r="G769" s="18">
        <v>35000.0</v>
      </c>
      <c r="H769" s="19" t="s">
        <v>4333</v>
      </c>
      <c r="I769" s="20"/>
      <c r="J769" s="20"/>
      <c r="K769" s="20"/>
      <c r="L769" s="21"/>
      <c r="M769" s="22"/>
      <c r="N769" s="22"/>
      <c r="O769" s="22"/>
      <c r="P769" s="22"/>
      <c r="Q769" s="22"/>
      <c r="R769" s="22"/>
      <c r="S769" s="22"/>
      <c r="T769" s="23"/>
    </row>
    <row r="770">
      <c r="A770" s="16" t="s">
        <v>3940</v>
      </c>
      <c r="B770" s="17" t="s">
        <v>3935</v>
      </c>
      <c r="C770" s="17" t="s">
        <v>941</v>
      </c>
      <c r="D770" s="17" t="str">
        <f>vlookup(C770,'1. 신청자리스트'!J:N,2,false)</f>
        <v>정상</v>
      </c>
      <c r="E770" s="17"/>
      <c r="F770" s="17" t="s">
        <v>4334</v>
      </c>
      <c r="G770" s="18">
        <v>70000.0</v>
      </c>
      <c r="H770" s="19" t="s">
        <v>3983</v>
      </c>
      <c r="I770" s="20"/>
      <c r="J770" s="20"/>
      <c r="K770" s="20"/>
      <c r="L770" s="21"/>
      <c r="M770" s="22"/>
      <c r="N770" s="22"/>
      <c r="O770" s="22"/>
      <c r="P770" s="22"/>
      <c r="Q770" s="22"/>
      <c r="R770" s="22"/>
      <c r="S770" s="22"/>
      <c r="T770" s="23"/>
    </row>
    <row r="771">
      <c r="A771" s="16" t="s">
        <v>3940</v>
      </c>
      <c r="B771" s="17" t="s">
        <v>3935</v>
      </c>
      <c r="C771" s="17" t="s">
        <v>942</v>
      </c>
      <c r="D771" s="17" t="str">
        <f>vlookup(C771,'1. 신청자리스트'!J:N,2,false)</f>
        <v>정상</v>
      </c>
      <c r="E771" s="17"/>
      <c r="F771" s="17" t="s">
        <v>942</v>
      </c>
      <c r="G771" s="18">
        <v>70000.0</v>
      </c>
      <c r="H771" s="19" t="s">
        <v>3946</v>
      </c>
      <c r="I771" s="20"/>
      <c r="J771" s="20"/>
      <c r="K771" s="20"/>
      <c r="L771" s="21"/>
      <c r="M771" s="22"/>
      <c r="N771" s="22"/>
      <c r="O771" s="22"/>
      <c r="P771" s="22"/>
      <c r="Q771" s="22"/>
      <c r="R771" s="22"/>
      <c r="S771" s="22"/>
      <c r="T771" s="23"/>
    </row>
    <row r="772">
      <c r="A772" s="16" t="s">
        <v>3942</v>
      </c>
      <c r="B772" s="17" t="s">
        <v>3935</v>
      </c>
      <c r="C772" s="17" t="s">
        <v>943</v>
      </c>
      <c r="D772" s="17" t="str">
        <f>vlookup(C772,'1. 신청자리스트'!J:N,2,false)</f>
        <v>정상</v>
      </c>
      <c r="E772" s="17"/>
      <c r="F772" s="17" t="s">
        <v>943</v>
      </c>
      <c r="G772" s="18">
        <v>70000.0</v>
      </c>
      <c r="H772" s="19" t="s">
        <v>3983</v>
      </c>
      <c r="I772" s="20"/>
      <c r="J772" s="20"/>
      <c r="K772" s="20"/>
      <c r="L772" s="21"/>
      <c r="M772" s="22"/>
      <c r="N772" s="22"/>
      <c r="O772" s="22"/>
      <c r="P772" s="22"/>
      <c r="Q772" s="22"/>
      <c r="R772" s="22"/>
      <c r="S772" s="22"/>
      <c r="T772" s="23"/>
    </row>
    <row r="773">
      <c r="A773" s="16" t="s">
        <v>3938</v>
      </c>
      <c r="B773" s="17" t="s">
        <v>3935</v>
      </c>
      <c r="C773" s="17" t="s">
        <v>944</v>
      </c>
      <c r="D773" s="17" t="str">
        <f>vlookup(C773,'1. 신청자리스트'!J:N,2,false)</f>
        <v>정상</v>
      </c>
      <c r="E773" s="17"/>
      <c r="F773" s="17" t="s">
        <v>944</v>
      </c>
      <c r="G773" s="18">
        <v>70000.0</v>
      </c>
      <c r="H773" s="19" t="s">
        <v>3990</v>
      </c>
      <c r="I773" s="20"/>
      <c r="J773" s="20"/>
      <c r="K773" s="20"/>
      <c r="L773" s="21"/>
      <c r="M773" s="22"/>
      <c r="N773" s="22"/>
      <c r="O773" s="22"/>
      <c r="P773" s="22"/>
      <c r="Q773" s="22"/>
      <c r="R773" s="22"/>
      <c r="S773" s="22"/>
      <c r="T773" s="23"/>
    </row>
    <row r="774">
      <c r="A774" s="24" t="s">
        <v>3940</v>
      </c>
      <c r="B774" s="25" t="s">
        <v>3935</v>
      </c>
      <c r="C774" s="25" t="s">
        <v>499</v>
      </c>
      <c r="D774" s="17" t="str">
        <f>vlookup(C774,'1. 신청자리스트'!J:N,2,false)</f>
        <v>중복</v>
      </c>
      <c r="E774" s="25"/>
      <c r="F774" s="25" t="s">
        <v>2921</v>
      </c>
      <c r="G774" s="26">
        <v>70000.0</v>
      </c>
      <c r="H774" s="27" t="s">
        <v>3983</v>
      </c>
      <c r="I774" s="28"/>
      <c r="J774" s="28"/>
      <c r="K774" s="28"/>
      <c r="L774" s="29"/>
      <c r="M774" s="22"/>
      <c r="N774" s="22"/>
      <c r="O774" s="22"/>
      <c r="P774" s="22"/>
      <c r="Q774" s="22"/>
      <c r="R774" s="22"/>
      <c r="S774" s="22"/>
      <c r="T774" s="23"/>
    </row>
    <row r="775">
      <c r="A775" s="16" t="s">
        <v>3942</v>
      </c>
      <c r="B775" s="17" t="s">
        <v>3943</v>
      </c>
      <c r="C775" s="17" t="s">
        <v>500</v>
      </c>
      <c r="D775" s="17" t="str">
        <f>vlookup(C775,'1. 신청자리스트'!J:N,2,false)</f>
        <v>정상</v>
      </c>
      <c r="E775" s="17"/>
      <c r="F775" s="17" t="s">
        <v>500</v>
      </c>
      <c r="G775" s="18">
        <v>35000.0</v>
      </c>
      <c r="H775" s="19" t="s">
        <v>3944</v>
      </c>
      <c r="I775" s="20"/>
      <c r="J775" s="20"/>
      <c r="K775" s="20"/>
      <c r="L775" s="21"/>
      <c r="M775" s="22"/>
      <c r="N775" s="22"/>
      <c r="O775" s="22"/>
      <c r="P775" s="22"/>
      <c r="Q775" s="22"/>
      <c r="R775" s="22"/>
      <c r="S775" s="22"/>
      <c r="T775" s="23"/>
    </row>
    <row r="776">
      <c r="A776" s="24" t="s">
        <v>3931</v>
      </c>
      <c r="B776" s="25" t="s">
        <v>3932</v>
      </c>
      <c r="C776" s="25" t="s">
        <v>945</v>
      </c>
      <c r="D776" s="17" t="str">
        <f>vlookup(C776,'1. 신청자리스트'!J:N,2,false)</f>
        <v>정상</v>
      </c>
      <c r="E776" s="25"/>
      <c r="F776" s="25" t="s">
        <v>2395</v>
      </c>
      <c r="G776" s="26">
        <v>70000.0</v>
      </c>
      <c r="H776" s="27" t="s">
        <v>4335</v>
      </c>
      <c r="I776" s="28"/>
      <c r="J776" s="28"/>
      <c r="K776" s="28"/>
      <c r="L776" s="29"/>
      <c r="M776" s="22"/>
      <c r="N776" s="22"/>
      <c r="O776" s="22"/>
      <c r="P776" s="22"/>
      <c r="Q776" s="22"/>
      <c r="R776" s="22"/>
      <c r="S776" s="22"/>
      <c r="T776" s="23"/>
    </row>
    <row r="777">
      <c r="A777" s="16" t="s">
        <v>3989</v>
      </c>
      <c r="B777" s="17" t="s">
        <v>3935</v>
      </c>
      <c r="C777" s="17" t="s">
        <v>947</v>
      </c>
      <c r="D777" s="17" t="str">
        <f>vlookup(C777,'1. 신청자리스트'!J:N,2,false)</f>
        <v>정상</v>
      </c>
      <c r="E777" s="17"/>
      <c r="F777" s="17" t="s">
        <v>947</v>
      </c>
      <c r="G777" s="18">
        <v>70000.0</v>
      </c>
      <c r="H777" s="19" t="s">
        <v>3946</v>
      </c>
      <c r="I777" s="20"/>
      <c r="J777" s="20"/>
      <c r="K777" s="20"/>
      <c r="L777" s="21"/>
      <c r="M777" s="22"/>
      <c r="N777" s="22"/>
      <c r="O777" s="22"/>
      <c r="P777" s="22"/>
      <c r="Q777" s="22"/>
      <c r="R777" s="22"/>
      <c r="S777" s="22"/>
      <c r="T777" s="23"/>
    </row>
    <row r="778">
      <c r="A778" s="24" t="s">
        <v>3931</v>
      </c>
      <c r="B778" s="25" t="s">
        <v>3943</v>
      </c>
      <c r="C778" s="25" t="s">
        <v>5</v>
      </c>
      <c r="D778" s="17" t="str">
        <f>vlookup(C778,'1. 신청자리스트'!J:N,2,false)</f>
        <v>정상</v>
      </c>
      <c r="E778" s="17" t="str">
        <f>if(vlookup(C778,'문의'!D:D,1,false)=C778,"있음")</f>
        <v>있음</v>
      </c>
      <c r="F778" s="25" t="s">
        <v>4336</v>
      </c>
      <c r="G778" s="26">
        <v>35000.0</v>
      </c>
      <c r="H778" s="27" t="s">
        <v>3944</v>
      </c>
      <c r="I778" s="28"/>
      <c r="J778" s="28"/>
      <c r="K778" s="28"/>
      <c r="L778" s="29"/>
      <c r="M778" s="22"/>
      <c r="N778" s="22"/>
      <c r="O778" s="22"/>
      <c r="P778" s="22"/>
      <c r="Q778" s="22"/>
      <c r="R778" s="22"/>
      <c r="S778" s="22"/>
      <c r="T778" s="23"/>
    </row>
    <row r="779">
      <c r="A779" s="16" t="s">
        <v>3940</v>
      </c>
      <c r="B779" s="17" t="s">
        <v>3935</v>
      </c>
      <c r="C779" s="17" t="s">
        <v>501</v>
      </c>
      <c r="D779" s="17" t="str">
        <f>vlookup(C779,'1. 신청자리스트'!J:N,2,false)</f>
        <v>정상</v>
      </c>
      <c r="E779" s="17"/>
      <c r="F779" s="17" t="s">
        <v>501</v>
      </c>
      <c r="G779" s="18">
        <v>35000.0</v>
      </c>
      <c r="H779" s="19" t="s">
        <v>3948</v>
      </c>
      <c r="I779" s="20"/>
      <c r="J779" s="20"/>
      <c r="K779" s="20"/>
      <c r="L779" s="21"/>
      <c r="M779" s="22"/>
      <c r="N779" s="22"/>
      <c r="O779" s="22"/>
      <c r="P779" s="22"/>
      <c r="Q779" s="22"/>
      <c r="R779" s="22"/>
      <c r="S779" s="22"/>
      <c r="T779" s="23"/>
    </row>
    <row r="780">
      <c r="A780" s="24" t="s">
        <v>3955</v>
      </c>
      <c r="B780" s="25" t="s">
        <v>3993</v>
      </c>
      <c r="C780" s="25" t="s">
        <v>502</v>
      </c>
      <c r="D780" s="17" t="str">
        <f>vlookup(C780,'1. 신청자리스트'!J:N,2,false)</f>
        <v>정상</v>
      </c>
      <c r="E780" s="25"/>
      <c r="F780" s="25" t="s">
        <v>4337</v>
      </c>
      <c r="G780" s="26">
        <v>35000.0</v>
      </c>
      <c r="H780" s="27" t="s">
        <v>3948</v>
      </c>
      <c r="I780" s="28"/>
      <c r="J780" s="28"/>
      <c r="K780" s="28"/>
      <c r="L780" s="29"/>
      <c r="M780" s="22"/>
      <c r="N780" s="22"/>
      <c r="O780" s="22"/>
      <c r="P780" s="22"/>
      <c r="Q780" s="22"/>
      <c r="R780" s="22"/>
      <c r="S780" s="22"/>
      <c r="T780" s="23"/>
    </row>
    <row r="781">
      <c r="A781" s="24" t="s">
        <v>4338</v>
      </c>
      <c r="B781" s="25" t="s">
        <v>3935</v>
      </c>
      <c r="C781" s="25" t="s">
        <v>948</v>
      </c>
      <c r="D781" s="17" t="str">
        <f>vlookup(C781,'1. 신청자리스트'!J:N,2,false)</f>
        <v>정상</v>
      </c>
      <c r="E781" s="25"/>
      <c r="F781" s="25" t="s">
        <v>1463</v>
      </c>
      <c r="G781" s="26">
        <v>70000.0</v>
      </c>
      <c r="H781" s="27" t="s">
        <v>3968</v>
      </c>
      <c r="I781" s="28"/>
      <c r="J781" s="28"/>
      <c r="K781" s="28"/>
      <c r="L781" s="29"/>
      <c r="M781" s="22"/>
      <c r="N781" s="22"/>
      <c r="O781" s="22"/>
      <c r="P781" s="22"/>
      <c r="Q781" s="22"/>
      <c r="R781" s="22"/>
      <c r="S781" s="22"/>
      <c r="T781" s="23"/>
    </row>
    <row r="782">
      <c r="A782" s="16" t="s">
        <v>3942</v>
      </c>
      <c r="B782" s="17" t="s">
        <v>3935</v>
      </c>
      <c r="C782" s="17" t="s">
        <v>503</v>
      </c>
      <c r="D782" s="17" t="str">
        <f>vlookup(C782,'1. 신청자리스트'!J:N,2,false)</f>
        <v>정상</v>
      </c>
      <c r="E782" s="17"/>
      <c r="F782" s="17" t="s">
        <v>4339</v>
      </c>
      <c r="G782" s="18">
        <v>35000.0</v>
      </c>
      <c r="H782" s="19" t="s">
        <v>3983</v>
      </c>
      <c r="I782" s="20"/>
      <c r="J782" s="20"/>
      <c r="K782" s="20"/>
      <c r="L782" s="21"/>
      <c r="M782" s="22"/>
      <c r="N782" s="22"/>
      <c r="O782" s="22"/>
      <c r="P782" s="22"/>
      <c r="Q782" s="22"/>
      <c r="R782" s="22"/>
      <c r="S782" s="22"/>
      <c r="T782" s="23"/>
    </row>
    <row r="783">
      <c r="A783" s="16" t="s">
        <v>3962</v>
      </c>
      <c r="B783" s="17" t="s">
        <v>3935</v>
      </c>
      <c r="C783" s="17" t="s">
        <v>949</v>
      </c>
      <c r="D783" s="17" t="str">
        <f>vlookup(C783,'1. 신청자리스트'!J:N,2,false)</f>
        <v>정상</v>
      </c>
      <c r="E783" s="17"/>
      <c r="F783" s="17" t="s">
        <v>949</v>
      </c>
      <c r="G783" s="18">
        <v>70000.0</v>
      </c>
      <c r="H783" s="19" t="s">
        <v>3983</v>
      </c>
      <c r="I783" s="20"/>
      <c r="J783" s="20"/>
      <c r="K783" s="20"/>
      <c r="L783" s="21"/>
      <c r="M783" s="22"/>
      <c r="N783" s="22"/>
      <c r="O783" s="22"/>
      <c r="P783" s="22"/>
      <c r="Q783" s="22"/>
      <c r="R783" s="22"/>
      <c r="S783" s="22"/>
      <c r="T783" s="23"/>
    </row>
    <row r="784">
      <c r="A784" s="16" t="s">
        <v>4002</v>
      </c>
      <c r="B784" s="17" t="s">
        <v>3932</v>
      </c>
      <c r="C784" s="17" t="s">
        <v>504</v>
      </c>
      <c r="D784" s="17" t="str">
        <f>vlookup(C784,'1. 신청자리스트'!J:N,2,false)</f>
        <v>정상</v>
      </c>
      <c r="E784" s="17"/>
      <c r="F784" s="17" t="s">
        <v>504</v>
      </c>
      <c r="G784" s="18">
        <v>35000.0</v>
      </c>
      <c r="H784" s="19" t="s">
        <v>4340</v>
      </c>
      <c r="I784" s="20"/>
      <c r="J784" s="20"/>
      <c r="K784" s="20"/>
      <c r="L784" s="21"/>
      <c r="M784" s="22"/>
      <c r="N784" s="22"/>
      <c r="O784" s="22"/>
      <c r="P784" s="22"/>
      <c r="Q784" s="22"/>
      <c r="R784" s="22"/>
      <c r="S784" s="22"/>
      <c r="T784" s="23"/>
    </row>
    <row r="785">
      <c r="A785" s="16" t="s">
        <v>3940</v>
      </c>
      <c r="B785" s="17" t="s">
        <v>3935</v>
      </c>
      <c r="C785" s="17" t="s">
        <v>950</v>
      </c>
      <c r="D785" s="17" t="str">
        <f>vlookup(C785,'1. 신청자리스트'!J:N,2,false)</f>
        <v>정상</v>
      </c>
      <c r="E785" s="17"/>
      <c r="F785" s="17" t="s">
        <v>4341</v>
      </c>
      <c r="G785" s="18">
        <v>70000.0</v>
      </c>
      <c r="H785" s="19" t="s">
        <v>3983</v>
      </c>
      <c r="I785" s="20"/>
      <c r="J785" s="20"/>
      <c r="K785" s="20"/>
      <c r="L785" s="21"/>
      <c r="M785" s="22"/>
      <c r="N785" s="22"/>
      <c r="O785" s="22"/>
      <c r="P785" s="22"/>
      <c r="Q785" s="22"/>
      <c r="R785" s="22"/>
      <c r="S785" s="22"/>
      <c r="T785" s="23"/>
    </row>
    <row r="786">
      <c r="A786" s="16" t="s">
        <v>3942</v>
      </c>
      <c r="B786" s="17" t="s">
        <v>3935</v>
      </c>
      <c r="C786" s="17" t="s">
        <v>505</v>
      </c>
      <c r="D786" s="17" t="str">
        <f>vlookup(C786,'1. 신청자리스트'!J:N,2,false)</f>
        <v>정상</v>
      </c>
      <c r="E786" s="17"/>
      <c r="F786" s="17" t="s">
        <v>505</v>
      </c>
      <c r="G786" s="18">
        <v>35000.0</v>
      </c>
      <c r="H786" s="19" t="s">
        <v>3948</v>
      </c>
      <c r="I786" s="20"/>
      <c r="J786" s="20"/>
      <c r="K786" s="20"/>
      <c r="L786" s="21"/>
      <c r="M786" s="22"/>
      <c r="N786" s="22"/>
      <c r="O786" s="22"/>
      <c r="P786" s="22"/>
      <c r="Q786" s="22"/>
      <c r="R786" s="22"/>
      <c r="S786" s="22"/>
      <c r="T786" s="23"/>
    </row>
    <row r="787">
      <c r="A787" s="16" t="s">
        <v>4342</v>
      </c>
      <c r="B787" s="17" t="s">
        <v>3935</v>
      </c>
      <c r="C787" s="17" t="s">
        <v>506</v>
      </c>
      <c r="D787" s="17" t="str">
        <f>vlookup(C787,'1. 신청자리스트'!J:N,2,false)</f>
        <v>정상</v>
      </c>
      <c r="E787" s="17"/>
      <c r="F787" s="17" t="s">
        <v>506</v>
      </c>
      <c r="G787" s="18">
        <v>35000.0</v>
      </c>
      <c r="H787" s="19" t="s">
        <v>3983</v>
      </c>
      <c r="I787" s="28"/>
      <c r="J787" s="28"/>
      <c r="K787" s="28"/>
      <c r="L787" s="29"/>
      <c r="M787" s="22"/>
      <c r="N787" s="22"/>
      <c r="O787" s="22"/>
      <c r="P787" s="22"/>
      <c r="Q787" s="22"/>
      <c r="R787" s="22"/>
      <c r="S787" s="22"/>
      <c r="T787" s="23"/>
    </row>
    <row r="788">
      <c r="A788" s="16" t="s">
        <v>3989</v>
      </c>
      <c r="B788" s="17" t="s">
        <v>3935</v>
      </c>
      <c r="C788" s="17" t="s">
        <v>507</v>
      </c>
      <c r="D788" s="17" t="str">
        <f>vlookup(C788,'1. 신청자리스트'!J:N,2,false)</f>
        <v>정상</v>
      </c>
      <c r="E788" s="17"/>
      <c r="F788" s="17" t="s">
        <v>4343</v>
      </c>
      <c r="G788" s="18">
        <v>35000.0</v>
      </c>
      <c r="H788" s="19" t="s">
        <v>3946</v>
      </c>
      <c r="I788" s="20"/>
      <c r="J788" s="20"/>
      <c r="K788" s="20"/>
      <c r="L788" s="21"/>
      <c r="M788" s="22"/>
      <c r="N788" s="22"/>
      <c r="O788" s="22"/>
      <c r="P788" s="22"/>
      <c r="Q788" s="22"/>
      <c r="R788" s="22"/>
      <c r="S788" s="22"/>
      <c r="T788" s="23"/>
    </row>
    <row r="789">
      <c r="A789" s="16" t="s">
        <v>3942</v>
      </c>
      <c r="B789" s="17" t="s">
        <v>3935</v>
      </c>
      <c r="C789" s="17" t="s">
        <v>508</v>
      </c>
      <c r="D789" s="17" t="str">
        <f>vlookup(C789,'1. 신청자리스트'!J:N,2,false)</f>
        <v>정상</v>
      </c>
      <c r="E789" s="17"/>
      <c r="F789" s="17" t="s">
        <v>508</v>
      </c>
      <c r="G789" s="18">
        <v>35000.0</v>
      </c>
      <c r="H789" s="19" t="s">
        <v>3983</v>
      </c>
      <c r="I789" s="20"/>
      <c r="J789" s="20"/>
      <c r="K789" s="20"/>
      <c r="L789" s="21"/>
      <c r="M789" s="22"/>
      <c r="N789" s="22"/>
      <c r="O789" s="22"/>
      <c r="P789" s="22"/>
      <c r="Q789" s="22"/>
      <c r="R789" s="22"/>
      <c r="S789" s="22"/>
      <c r="T789" s="23"/>
    </row>
    <row r="790">
      <c r="A790" s="16" t="s">
        <v>3972</v>
      </c>
      <c r="B790" s="17" t="s">
        <v>3932</v>
      </c>
      <c r="C790" s="17" t="s">
        <v>509</v>
      </c>
      <c r="D790" s="17" t="str">
        <f>vlookup(C790,'1. 신청자리스트'!J:N,2,false)</f>
        <v>정상</v>
      </c>
      <c r="E790" s="17"/>
      <c r="F790" s="17" t="s">
        <v>509</v>
      </c>
      <c r="G790" s="18">
        <v>35000.0</v>
      </c>
      <c r="H790" s="19" t="s">
        <v>4212</v>
      </c>
      <c r="I790" s="20"/>
      <c r="J790" s="20"/>
      <c r="K790" s="20"/>
      <c r="L790" s="21"/>
      <c r="M790" s="22"/>
      <c r="N790" s="22"/>
      <c r="O790" s="22"/>
      <c r="P790" s="22"/>
      <c r="Q790" s="22"/>
      <c r="R790" s="22"/>
      <c r="S790" s="22"/>
      <c r="T790" s="23"/>
    </row>
    <row r="791">
      <c r="A791" s="16" t="s">
        <v>4002</v>
      </c>
      <c r="B791" s="17" t="s">
        <v>3932</v>
      </c>
      <c r="C791" s="17" t="s">
        <v>510</v>
      </c>
      <c r="D791" s="17" t="str">
        <f>vlookup(C791,'1. 신청자리스트'!J:N,2,false)</f>
        <v>정상</v>
      </c>
      <c r="E791" s="17"/>
      <c r="F791" s="17" t="s">
        <v>510</v>
      </c>
      <c r="G791" s="18">
        <v>35000.0</v>
      </c>
      <c r="H791" s="19" t="s">
        <v>4344</v>
      </c>
      <c r="I791" s="20"/>
      <c r="J791" s="20"/>
      <c r="K791" s="20"/>
      <c r="L791" s="21"/>
      <c r="M791" s="22"/>
      <c r="N791" s="22"/>
      <c r="O791" s="22"/>
      <c r="P791" s="22"/>
      <c r="Q791" s="22"/>
      <c r="R791" s="22"/>
      <c r="S791" s="22"/>
      <c r="T791" s="23"/>
    </row>
    <row r="792">
      <c r="A792" s="16" t="s">
        <v>3949</v>
      </c>
      <c r="B792" s="17" t="s">
        <v>3935</v>
      </c>
      <c r="C792" s="17" t="s">
        <v>951</v>
      </c>
      <c r="D792" s="17" t="str">
        <f>vlookup(C792,'1. 신청자리스트'!J:N,2,false)</f>
        <v>정상</v>
      </c>
      <c r="E792" s="17"/>
      <c r="F792" s="17" t="s">
        <v>951</v>
      </c>
      <c r="G792" s="18">
        <v>70000.0</v>
      </c>
      <c r="H792" s="19" t="s">
        <v>3952</v>
      </c>
      <c r="I792" s="20"/>
      <c r="J792" s="20"/>
      <c r="K792" s="20"/>
      <c r="L792" s="21"/>
      <c r="M792" s="22"/>
      <c r="N792" s="22"/>
      <c r="O792" s="22"/>
      <c r="P792" s="22"/>
      <c r="Q792" s="22"/>
      <c r="R792" s="22"/>
      <c r="S792" s="22"/>
      <c r="T792" s="23"/>
    </row>
    <row r="793">
      <c r="A793" s="16" t="s">
        <v>3962</v>
      </c>
      <c r="B793" s="17" t="s">
        <v>3935</v>
      </c>
      <c r="C793" s="17" t="s">
        <v>513</v>
      </c>
      <c r="D793" s="17" t="str">
        <f>vlookup(C793,'1. 신청자리스트'!J:N,2,false)</f>
        <v>정상</v>
      </c>
      <c r="E793" s="17"/>
      <c r="F793" s="17" t="s">
        <v>4345</v>
      </c>
      <c r="G793" s="18">
        <v>35000.0</v>
      </c>
      <c r="H793" s="19" t="s">
        <v>3983</v>
      </c>
      <c r="I793" s="20"/>
      <c r="J793" s="20"/>
      <c r="K793" s="20"/>
      <c r="L793" s="21"/>
      <c r="M793" s="22"/>
      <c r="N793" s="22"/>
      <c r="O793" s="22"/>
      <c r="P793" s="22"/>
      <c r="Q793" s="22"/>
      <c r="R793" s="22"/>
      <c r="S793" s="22"/>
      <c r="T793" s="23"/>
    </row>
    <row r="794">
      <c r="A794" s="24" t="s">
        <v>3962</v>
      </c>
      <c r="B794" s="25" t="s">
        <v>3932</v>
      </c>
      <c r="C794" s="25" t="s">
        <v>514</v>
      </c>
      <c r="D794" s="17" t="str">
        <f>vlookup(C794,'1. 신청자리스트'!J:N,2,false)</f>
        <v>중복</v>
      </c>
      <c r="E794" s="25"/>
      <c r="F794" s="25" t="s">
        <v>2928</v>
      </c>
      <c r="G794" s="26">
        <v>70000.0</v>
      </c>
      <c r="H794" s="27" t="s">
        <v>4346</v>
      </c>
      <c r="I794" s="28"/>
      <c r="J794" s="28"/>
      <c r="K794" s="28"/>
      <c r="L794" s="29"/>
      <c r="M794" s="22"/>
      <c r="N794" s="22"/>
      <c r="O794" s="22"/>
      <c r="P794" s="22"/>
      <c r="Q794" s="22"/>
      <c r="R794" s="22"/>
      <c r="S794" s="22"/>
      <c r="T794" s="23"/>
    </row>
    <row r="795">
      <c r="A795" s="16" t="s">
        <v>3940</v>
      </c>
      <c r="B795" s="17" t="s">
        <v>3935</v>
      </c>
      <c r="C795" s="17" t="s">
        <v>952</v>
      </c>
      <c r="D795" s="17" t="str">
        <f>vlookup(C795,'1. 신청자리스트'!J:N,2,false)</f>
        <v>정상</v>
      </c>
      <c r="E795" s="17"/>
      <c r="F795" s="17" t="s">
        <v>952</v>
      </c>
      <c r="G795" s="18">
        <v>70000.0</v>
      </c>
      <c r="H795" s="19" t="s">
        <v>3948</v>
      </c>
      <c r="I795" s="20"/>
      <c r="J795" s="20"/>
      <c r="K795" s="20"/>
      <c r="L795" s="21"/>
      <c r="M795" s="22"/>
      <c r="N795" s="22"/>
      <c r="O795" s="22"/>
      <c r="P795" s="22"/>
      <c r="Q795" s="22"/>
      <c r="R795" s="22"/>
      <c r="S795" s="22"/>
      <c r="T795" s="23"/>
    </row>
    <row r="796">
      <c r="A796" s="16" t="s">
        <v>3945</v>
      </c>
      <c r="B796" s="17" t="s">
        <v>3935</v>
      </c>
      <c r="C796" s="17" t="s">
        <v>953</v>
      </c>
      <c r="D796" s="17" t="str">
        <f>vlookup(C796,'1. 신청자리스트'!J:N,2,false)</f>
        <v>정상</v>
      </c>
      <c r="E796" s="17"/>
      <c r="F796" s="17" t="s">
        <v>953</v>
      </c>
      <c r="G796" s="18">
        <v>70000.0</v>
      </c>
      <c r="H796" s="19" t="s">
        <v>3941</v>
      </c>
      <c r="I796" s="20"/>
      <c r="J796" s="20"/>
      <c r="K796" s="20"/>
      <c r="L796" s="21"/>
      <c r="M796" s="22"/>
      <c r="N796" s="22"/>
      <c r="O796" s="22"/>
      <c r="P796" s="22"/>
      <c r="Q796" s="22"/>
      <c r="R796" s="22"/>
      <c r="S796" s="22"/>
      <c r="T796" s="23"/>
    </row>
    <row r="797">
      <c r="A797" s="16" t="s">
        <v>3945</v>
      </c>
      <c r="B797" s="17" t="s">
        <v>3935</v>
      </c>
      <c r="C797" s="17" t="s">
        <v>954</v>
      </c>
      <c r="D797" s="17" t="str">
        <f>vlookup(C797,'1. 신청자리스트'!J:N,2,false)</f>
        <v>정상</v>
      </c>
      <c r="E797" s="17"/>
      <c r="F797" s="17" t="s">
        <v>954</v>
      </c>
      <c r="G797" s="18">
        <v>70000.0</v>
      </c>
      <c r="H797" s="19" t="s">
        <v>3939</v>
      </c>
      <c r="I797" s="20"/>
      <c r="J797" s="20"/>
      <c r="K797" s="20"/>
      <c r="L797" s="21"/>
      <c r="M797" s="22"/>
      <c r="N797" s="22"/>
      <c r="O797" s="22"/>
      <c r="P797" s="22"/>
      <c r="Q797" s="22"/>
      <c r="R797" s="22"/>
      <c r="S797" s="22"/>
      <c r="T797" s="23"/>
    </row>
    <row r="798">
      <c r="A798" s="16" t="s">
        <v>3985</v>
      </c>
      <c r="B798" s="17" t="s">
        <v>3932</v>
      </c>
      <c r="C798" s="17" t="s">
        <v>515</v>
      </c>
      <c r="D798" s="17" t="str">
        <f>vlookup(C798,'1. 신청자리스트'!J:N,2,false)</f>
        <v>정상</v>
      </c>
      <c r="E798" s="17"/>
      <c r="F798" s="17" t="s">
        <v>515</v>
      </c>
      <c r="G798" s="18">
        <v>35000.0</v>
      </c>
      <c r="H798" s="19" t="s">
        <v>4347</v>
      </c>
      <c r="I798" s="20"/>
      <c r="J798" s="20"/>
      <c r="K798" s="20"/>
      <c r="L798" s="21"/>
      <c r="M798" s="22"/>
      <c r="N798" s="22"/>
      <c r="O798" s="22"/>
      <c r="P798" s="22"/>
      <c r="Q798" s="22"/>
      <c r="R798" s="22"/>
      <c r="S798" s="22"/>
      <c r="T798" s="23"/>
    </row>
    <row r="799">
      <c r="A799" s="24" t="s">
        <v>3940</v>
      </c>
      <c r="B799" s="25" t="s">
        <v>3932</v>
      </c>
      <c r="C799" s="25" t="s">
        <v>516</v>
      </c>
      <c r="D799" s="17" t="str">
        <f>vlookup(C799,'1. 신청자리스트'!J:N,2,false)</f>
        <v>정상</v>
      </c>
      <c r="E799" s="25"/>
      <c r="F799" s="25" t="s">
        <v>1065</v>
      </c>
      <c r="G799" s="26">
        <v>35000.0</v>
      </c>
      <c r="H799" s="27" t="s">
        <v>4348</v>
      </c>
      <c r="I799" s="28"/>
      <c r="J799" s="28"/>
      <c r="K799" s="28"/>
      <c r="L799" s="29"/>
      <c r="M799" s="22"/>
      <c r="N799" s="22"/>
      <c r="O799" s="22"/>
      <c r="P799" s="22"/>
      <c r="Q799" s="22"/>
      <c r="R799" s="22"/>
      <c r="S799" s="22"/>
      <c r="T799" s="23"/>
    </row>
    <row r="800">
      <c r="A800" s="16" t="s">
        <v>3962</v>
      </c>
      <c r="B800" s="17" t="s">
        <v>3935</v>
      </c>
      <c r="C800" s="17" t="s">
        <v>517</v>
      </c>
      <c r="D800" s="17" t="str">
        <f>vlookup(C800,'1. 신청자리스트'!J:N,2,false)</f>
        <v>정상</v>
      </c>
      <c r="E800" s="17"/>
      <c r="F800" s="17" t="s">
        <v>4349</v>
      </c>
      <c r="G800" s="18">
        <v>35000.0</v>
      </c>
      <c r="H800" s="19" t="s">
        <v>3941</v>
      </c>
      <c r="I800" s="20"/>
      <c r="J800" s="20"/>
      <c r="K800" s="20"/>
      <c r="L800" s="21"/>
      <c r="M800" s="22"/>
      <c r="N800" s="22"/>
      <c r="O800" s="22"/>
      <c r="P800" s="22"/>
      <c r="Q800" s="22"/>
      <c r="R800" s="22"/>
      <c r="S800" s="22"/>
      <c r="T800" s="23"/>
    </row>
    <row r="801">
      <c r="A801" s="24" t="s">
        <v>3940</v>
      </c>
      <c r="B801" s="25" t="s">
        <v>3935</v>
      </c>
      <c r="C801" s="25" t="s">
        <v>518</v>
      </c>
      <c r="D801" s="17" t="str">
        <f>vlookup(C801,'1. 신청자리스트'!J:N,2,false)</f>
        <v>정상</v>
      </c>
      <c r="E801" s="25"/>
      <c r="F801" s="25" t="s">
        <v>3750</v>
      </c>
      <c r="G801" s="26">
        <v>35000.0</v>
      </c>
      <c r="H801" s="27" t="s">
        <v>3946</v>
      </c>
      <c r="I801" s="28"/>
      <c r="J801" s="28"/>
      <c r="K801" s="28"/>
      <c r="L801" s="29"/>
      <c r="M801" s="22"/>
      <c r="N801" s="22"/>
      <c r="O801" s="22"/>
      <c r="P801" s="22"/>
      <c r="Q801" s="22"/>
      <c r="R801" s="22"/>
      <c r="S801" s="22"/>
      <c r="T801" s="23"/>
    </row>
    <row r="802">
      <c r="A802" s="16" t="s">
        <v>3940</v>
      </c>
      <c r="B802" s="17" t="s">
        <v>3935</v>
      </c>
      <c r="C802" s="17" t="s">
        <v>519</v>
      </c>
      <c r="D802" s="17" t="str">
        <f>vlookup(C802,'1. 신청자리스트'!J:N,2,false)</f>
        <v>정상</v>
      </c>
      <c r="E802" s="17"/>
      <c r="F802" s="17" t="s">
        <v>4350</v>
      </c>
      <c r="G802" s="18">
        <v>35000.0</v>
      </c>
      <c r="H802" s="19" t="s">
        <v>3941</v>
      </c>
      <c r="I802" s="20"/>
      <c r="J802" s="20"/>
      <c r="K802" s="20"/>
      <c r="L802" s="21"/>
      <c r="M802" s="22"/>
      <c r="N802" s="22"/>
      <c r="O802" s="22"/>
      <c r="P802" s="22"/>
      <c r="Q802" s="22"/>
      <c r="R802" s="22"/>
      <c r="S802" s="22"/>
      <c r="T802" s="23"/>
    </row>
    <row r="803">
      <c r="A803" s="24" t="s">
        <v>3931</v>
      </c>
      <c r="B803" s="25" t="s">
        <v>3935</v>
      </c>
      <c r="C803" s="25" t="s">
        <v>956</v>
      </c>
      <c r="D803" s="17" t="str">
        <f>vlookup(C803,'1. 신청자리스트'!J:N,2,false)</f>
        <v>정상</v>
      </c>
      <c r="E803" s="25"/>
      <c r="F803" s="25" t="s">
        <v>1946</v>
      </c>
      <c r="G803" s="26">
        <v>70000.0</v>
      </c>
      <c r="H803" s="27" t="s">
        <v>3983</v>
      </c>
      <c r="I803" s="28"/>
      <c r="J803" s="28"/>
      <c r="K803" s="28"/>
      <c r="L803" s="29"/>
      <c r="M803" s="22"/>
      <c r="N803" s="22"/>
      <c r="O803" s="22"/>
      <c r="P803" s="22"/>
      <c r="Q803" s="22"/>
      <c r="R803" s="22"/>
      <c r="S803" s="22"/>
      <c r="T803" s="23"/>
    </row>
    <row r="804">
      <c r="A804" s="16" t="s">
        <v>4351</v>
      </c>
      <c r="B804" s="17" t="s">
        <v>3935</v>
      </c>
      <c r="C804" s="17" t="s">
        <v>957</v>
      </c>
      <c r="D804" s="17" t="str">
        <f>vlookup(C804,'1. 신청자리스트'!J:N,2,false)</f>
        <v>정상</v>
      </c>
      <c r="E804" s="17"/>
      <c r="F804" s="17" t="s">
        <v>957</v>
      </c>
      <c r="G804" s="18">
        <v>70000.0</v>
      </c>
      <c r="H804" s="19" t="s">
        <v>3941</v>
      </c>
      <c r="I804" s="20"/>
      <c r="J804" s="20"/>
      <c r="K804" s="20"/>
      <c r="L804" s="21"/>
      <c r="M804" s="22"/>
      <c r="N804" s="22"/>
      <c r="O804" s="22"/>
      <c r="P804" s="22"/>
      <c r="Q804" s="22"/>
      <c r="R804" s="22"/>
      <c r="S804" s="22"/>
      <c r="T804" s="23"/>
    </row>
    <row r="805">
      <c r="A805" s="16" t="s">
        <v>3985</v>
      </c>
      <c r="B805" s="17" t="s">
        <v>3932</v>
      </c>
      <c r="C805" s="17" t="s">
        <v>958</v>
      </c>
      <c r="D805" s="17" t="str">
        <f>vlookup(C805,'1. 신청자리스트'!J:N,2,false)</f>
        <v>정상</v>
      </c>
      <c r="E805" s="17"/>
      <c r="F805" s="17" t="s">
        <v>958</v>
      </c>
      <c r="G805" s="18">
        <v>70000.0</v>
      </c>
      <c r="H805" s="19" t="s">
        <v>4352</v>
      </c>
      <c r="I805" s="20"/>
      <c r="J805" s="20"/>
      <c r="K805" s="20"/>
      <c r="L805" s="21"/>
      <c r="M805" s="22"/>
      <c r="N805" s="22"/>
      <c r="O805" s="22"/>
      <c r="P805" s="22"/>
      <c r="Q805" s="22"/>
      <c r="R805" s="22"/>
      <c r="S805" s="22"/>
      <c r="T805" s="23"/>
    </row>
    <row r="806">
      <c r="A806" s="16" t="s">
        <v>3942</v>
      </c>
      <c r="B806" s="17" t="s">
        <v>3943</v>
      </c>
      <c r="C806" s="17" t="s">
        <v>520</v>
      </c>
      <c r="D806" s="17" t="str">
        <f>vlookup(C806,'1. 신청자리스트'!J:N,2,false)</f>
        <v>정상</v>
      </c>
      <c r="E806" s="17"/>
      <c r="F806" s="17" t="s">
        <v>520</v>
      </c>
      <c r="G806" s="18">
        <v>35000.0</v>
      </c>
      <c r="H806" s="19" t="s">
        <v>3944</v>
      </c>
      <c r="I806" s="20"/>
      <c r="J806" s="20"/>
      <c r="K806" s="20"/>
      <c r="L806" s="21"/>
      <c r="M806" s="22"/>
      <c r="N806" s="22"/>
      <c r="O806" s="22"/>
      <c r="P806" s="22"/>
      <c r="Q806" s="22"/>
      <c r="R806" s="22"/>
      <c r="S806" s="22"/>
      <c r="T806" s="23"/>
    </row>
    <row r="807">
      <c r="A807" s="16" t="s">
        <v>3945</v>
      </c>
      <c r="B807" s="17" t="s">
        <v>3935</v>
      </c>
      <c r="C807" s="17" t="s">
        <v>521</v>
      </c>
      <c r="D807" s="17" t="str">
        <f>vlookup(C807,'1. 신청자리스트'!J:N,2,false)</f>
        <v>정상</v>
      </c>
      <c r="E807" s="17"/>
      <c r="F807" s="17" t="s">
        <v>521</v>
      </c>
      <c r="G807" s="18">
        <v>35000.0</v>
      </c>
      <c r="H807" s="19" t="s">
        <v>3948</v>
      </c>
      <c r="I807" s="20"/>
      <c r="J807" s="20"/>
      <c r="K807" s="20"/>
      <c r="L807" s="21"/>
      <c r="M807" s="22"/>
      <c r="N807" s="22"/>
      <c r="O807" s="22"/>
      <c r="P807" s="22"/>
      <c r="Q807" s="22"/>
      <c r="R807" s="22"/>
      <c r="S807" s="22"/>
      <c r="T807" s="23"/>
    </row>
    <row r="808">
      <c r="A808" s="16" t="s">
        <v>3962</v>
      </c>
      <c r="B808" s="17" t="s">
        <v>4032</v>
      </c>
      <c r="C808" s="17" t="s">
        <v>522</v>
      </c>
      <c r="D808" s="17" t="str">
        <f>vlookup(C808,'1. 신청자리스트'!J:N,2,false)</f>
        <v>정상</v>
      </c>
      <c r="E808" s="17"/>
      <c r="F808" s="17" t="s">
        <v>522</v>
      </c>
      <c r="G808" s="18">
        <v>35000.0</v>
      </c>
      <c r="H808" s="19" t="s">
        <v>4353</v>
      </c>
      <c r="I808" s="20"/>
      <c r="J808" s="20"/>
      <c r="K808" s="20"/>
      <c r="L808" s="21"/>
      <c r="M808" s="22"/>
      <c r="N808" s="22"/>
      <c r="O808" s="22"/>
      <c r="P808" s="22"/>
      <c r="Q808" s="22"/>
      <c r="R808" s="22"/>
      <c r="S808" s="22"/>
      <c r="T808" s="23"/>
    </row>
    <row r="809">
      <c r="A809" s="16" t="s">
        <v>3945</v>
      </c>
      <c r="B809" s="17" t="s">
        <v>3935</v>
      </c>
      <c r="C809" s="17" t="s">
        <v>959</v>
      </c>
      <c r="D809" s="17" t="str">
        <f>vlookup(C809,'1. 신청자리스트'!J:N,2,false)</f>
        <v>정상</v>
      </c>
      <c r="E809" s="17"/>
      <c r="F809" s="17" t="s">
        <v>959</v>
      </c>
      <c r="G809" s="18">
        <v>70000.0</v>
      </c>
      <c r="H809" s="19" t="s">
        <v>3939</v>
      </c>
      <c r="I809" s="20"/>
      <c r="J809" s="20"/>
      <c r="K809" s="20"/>
      <c r="L809" s="21"/>
      <c r="M809" s="22"/>
      <c r="N809" s="22"/>
      <c r="O809" s="22"/>
      <c r="P809" s="22"/>
      <c r="Q809" s="22"/>
      <c r="R809" s="22"/>
      <c r="S809" s="22"/>
      <c r="T809" s="23"/>
    </row>
    <row r="810">
      <c r="A810" s="24" t="s">
        <v>3931</v>
      </c>
      <c r="B810" s="25" t="s">
        <v>3932</v>
      </c>
      <c r="C810" s="25" t="s">
        <v>524</v>
      </c>
      <c r="D810" s="17" t="str">
        <f>vlookup(C810,'1. 신청자리스트'!J:N,2,false)</f>
        <v>정상</v>
      </c>
      <c r="E810" s="25"/>
      <c r="F810" s="25" t="s">
        <v>3760</v>
      </c>
      <c r="G810" s="26">
        <v>35000.0</v>
      </c>
      <c r="H810" s="27" t="s">
        <v>4296</v>
      </c>
      <c r="I810" s="28"/>
      <c r="J810" s="28"/>
      <c r="K810" s="28"/>
      <c r="L810" s="29"/>
      <c r="M810" s="22"/>
      <c r="N810" s="22"/>
      <c r="O810" s="22"/>
      <c r="P810" s="22"/>
      <c r="Q810" s="22"/>
      <c r="R810" s="22"/>
      <c r="S810" s="22"/>
      <c r="T810" s="23"/>
    </row>
    <row r="811">
      <c r="A811" s="16" t="s">
        <v>4354</v>
      </c>
      <c r="B811" s="17" t="s">
        <v>3935</v>
      </c>
      <c r="C811" s="17" t="s">
        <v>961</v>
      </c>
      <c r="D811" s="17" t="str">
        <f>vlookup(C811,'1. 신청자리스트'!J:N,2,false)</f>
        <v>정상</v>
      </c>
      <c r="E811" s="17"/>
      <c r="F811" s="17" t="s">
        <v>961</v>
      </c>
      <c r="G811" s="18">
        <v>70000.0</v>
      </c>
      <c r="H811" s="19" t="s">
        <v>3941</v>
      </c>
      <c r="I811" s="20"/>
      <c r="J811" s="20"/>
      <c r="K811" s="20"/>
      <c r="L811" s="21"/>
      <c r="M811" s="22"/>
      <c r="N811" s="22"/>
      <c r="O811" s="22"/>
      <c r="P811" s="22"/>
      <c r="Q811" s="22"/>
      <c r="R811" s="22"/>
      <c r="S811" s="22"/>
      <c r="T811" s="23"/>
    </row>
    <row r="812">
      <c r="A812" s="24" t="s">
        <v>3945</v>
      </c>
      <c r="B812" s="25" t="s">
        <v>3932</v>
      </c>
      <c r="C812" s="25" t="s">
        <v>526</v>
      </c>
      <c r="D812" s="17" t="str">
        <f>vlookup(C812,'1. 신청자리스트'!J:N,2,false)</f>
        <v>정상</v>
      </c>
      <c r="E812" s="25"/>
      <c r="F812" s="25" t="s">
        <v>3762</v>
      </c>
      <c r="G812" s="26">
        <v>35000.0</v>
      </c>
      <c r="H812" s="27" t="s">
        <v>4244</v>
      </c>
      <c r="I812" s="28"/>
      <c r="J812" s="28"/>
      <c r="K812" s="28"/>
      <c r="L812" s="29"/>
      <c r="M812" s="22"/>
      <c r="N812" s="22"/>
      <c r="O812" s="22"/>
      <c r="P812" s="22"/>
      <c r="Q812" s="22"/>
      <c r="R812" s="22"/>
      <c r="S812" s="22"/>
      <c r="T812" s="23"/>
    </row>
    <row r="813">
      <c r="A813" s="16" t="s">
        <v>3942</v>
      </c>
      <c r="B813" s="17" t="s">
        <v>3935</v>
      </c>
      <c r="C813" s="17" t="s">
        <v>962</v>
      </c>
      <c r="D813" s="17" t="str">
        <f>vlookup(C813,'1. 신청자리스트'!J:N,2,false)</f>
        <v>정상</v>
      </c>
      <c r="E813" s="17"/>
      <c r="F813" s="17" t="s">
        <v>962</v>
      </c>
      <c r="G813" s="18">
        <v>70000.0</v>
      </c>
      <c r="H813" s="19" t="s">
        <v>3941</v>
      </c>
      <c r="I813" s="20"/>
      <c r="J813" s="20"/>
      <c r="K813" s="20"/>
      <c r="L813" s="21"/>
      <c r="M813" s="22"/>
      <c r="N813" s="22"/>
      <c r="O813" s="22"/>
      <c r="P813" s="22"/>
      <c r="Q813" s="22"/>
      <c r="R813" s="22"/>
      <c r="S813" s="22"/>
      <c r="T813" s="23"/>
    </row>
    <row r="814">
      <c r="A814" s="24" t="s">
        <v>4275</v>
      </c>
      <c r="B814" s="25" t="s">
        <v>3932</v>
      </c>
      <c r="C814" s="25" t="s">
        <v>963</v>
      </c>
      <c r="D814" s="17" t="str">
        <f>vlookup(C814,'1. 신청자리스트'!J:N,2,false)</f>
        <v>정상</v>
      </c>
      <c r="E814" s="25"/>
      <c r="F814" s="25" t="s">
        <v>4355</v>
      </c>
      <c r="G814" s="26">
        <v>70000.0</v>
      </c>
      <c r="H814" s="27" t="s">
        <v>4244</v>
      </c>
      <c r="I814" s="28"/>
      <c r="J814" s="28"/>
      <c r="K814" s="28"/>
      <c r="L814" s="29"/>
      <c r="M814" s="22"/>
      <c r="N814" s="22"/>
      <c r="O814" s="22"/>
      <c r="P814" s="22"/>
      <c r="Q814" s="22"/>
      <c r="R814" s="22"/>
      <c r="S814" s="22"/>
      <c r="T814" s="23"/>
    </row>
    <row r="815">
      <c r="A815" s="16" t="s">
        <v>3940</v>
      </c>
      <c r="B815" s="17" t="s">
        <v>3935</v>
      </c>
      <c r="C815" s="17" t="s">
        <v>527</v>
      </c>
      <c r="D815" s="17" t="str">
        <f>vlookup(C815,'1. 신청자리스트'!J:N,2,false)</f>
        <v>정상</v>
      </c>
      <c r="E815" s="17"/>
      <c r="F815" s="17" t="s">
        <v>527</v>
      </c>
      <c r="G815" s="18">
        <v>35000.0</v>
      </c>
      <c r="H815" s="19" t="s">
        <v>3948</v>
      </c>
      <c r="I815" s="20"/>
      <c r="J815" s="20"/>
      <c r="K815" s="20"/>
      <c r="L815" s="21"/>
      <c r="M815" s="22"/>
      <c r="N815" s="22"/>
      <c r="O815" s="22"/>
      <c r="P815" s="22"/>
      <c r="Q815" s="22"/>
      <c r="R815" s="22"/>
      <c r="S815" s="22"/>
      <c r="T815" s="23"/>
    </row>
    <row r="816">
      <c r="A816" s="24" t="s">
        <v>3962</v>
      </c>
      <c r="B816" s="25" t="s">
        <v>3935</v>
      </c>
      <c r="C816" s="25" t="s">
        <v>528</v>
      </c>
      <c r="D816" s="17" t="str">
        <f>vlookup(C816,'1. 신청자리스트'!J:N,2,false)</f>
        <v>정상</v>
      </c>
      <c r="E816" s="25"/>
      <c r="F816" s="25" t="s">
        <v>3766</v>
      </c>
      <c r="G816" s="26">
        <v>35000.0</v>
      </c>
      <c r="H816" s="27" t="s">
        <v>3948</v>
      </c>
      <c r="I816" s="28"/>
      <c r="J816" s="28"/>
      <c r="K816" s="28"/>
      <c r="L816" s="29"/>
      <c r="M816" s="22"/>
      <c r="N816" s="22"/>
      <c r="O816" s="22"/>
      <c r="P816" s="22"/>
      <c r="Q816" s="22"/>
      <c r="R816" s="22"/>
      <c r="S816" s="22"/>
      <c r="T816" s="23"/>
    </row>
    <row r="817">
      <c r="A817" s="24" t="s">
        <v>3962</v>
      </c>
      <c r="B817" s="25" t="s">
        <v>3935</v>
      </c>
      <c r="C817" s="25" t="s">
        <v>529</v>
      </c>
      <c r="D817" s="17" t="str">
        <f>vlookup(C817,'1. 신청자리스트'!J:N,2,false)</f>
        <v>정상</v>
      </c>
      <c r="E817" s="25"/>
      <c r="F817" s="25" t="s">
        <v>4356</v>
      </c>
      <c r="G817" s="26">
        <v>35000.0</v>
      </c>
      <c r="H817" s="27" t="s">
        <v>3941</v>
      </c>
      <c r="I817" s="28"/>
      <c r="J817" s="28"/>
      <c r="K817" s="28"/>
      <c r="L817" s="29"/>
      <c r="M817" s="22"/>
      <c r="N817" s="22"/>
      <c r="O817" s="22"/>
      <c r="P817" s="22"/>
      <c r="Q817" s="22"/>
      <c r="R817" s="22"/>
      <c r="S817" s="22"/>
      <c r="T817" s="23"/>
    </row>
    <row r="818">
      <c r="A818" s="16" t="s">
        <v>3962</v>
      </c>
      <c r="B818" s="17" t="s">
        <v>3935</v>
      </c>
      <c r="C818" s="17" t="s">
        <v>530</v>
      </c>
      <c r="D818" s="17" t="str">
        <f>vlookup(C818,'1. 신청자리스트'!J:N,2,false)</f>
        <v>정상</v>
      </c>
      <c r="E818" s="17"/>
      <c r="F818" s="17" t="s">
        <v>530</v>
      </c>
      <c r="G818" s="18">
        <v>35000.0</v>
      </c>
      <c r="H818" s="19" t="s">
        <v>3948</v>
      </c>
      <c r="I818" s="20"/>
      <c r="J818" s="20"/>
      <c r="K818" s="20"/>
      <c r="L818" s="21"/>
      <c r="M818" s="22"/>
      <c r="N818" s="22"/>
      <c r="O818" s="22"/>
      <c r="P818" s="22"/>
      <c r="Q818" s="22"/>
      <c r="R818" s="22"/>
      <c r="S818" s="22"/>
      <c r="T818" s="23"/>
    </row>
    <row r="819">
      <c r="A819" s="24" t="s">
        <v>4156</v>
      </c>
      <c r="B819" s="25" t="s">
        <v>3935</v>
      </c>
      <c r="C819" s="25" t="s">
        <v>532</v>
      </c>
      <c r="D819" s="17" t="str">
        <f>vlookup(C819,'1. 신청자리스트'!J:N,2,false)</f>
        <v>정상</v>
      </c>
      <c r="E819" s="25"/>
      <c r="F819" s="25" t="s">
        <v>3772</v>
      </c>
      <c r="G819" s="26">
        <v>35000.0</v>
      </c>
      <c r="H819" s="27" t="s">
        <v>4357</v>
      </c>
      <c r="I819" s="28"/>
      <c r="J819" s="28"/>
      <c r="K819" s="28"/>
      <c r="L819" s="29"/>
      <c r="M819" s="22"/>
      <c r="N819" s="22"/>
      <c r="O819" s="22"/>
      <c r="P819" s="22"/>
      <c r="Q819" s="22"/>
      <c r="R819" s="22"/>
      <c r="S819" s="22"/>
      <c r="T819" s="23"/>
    </row>
    <row r="820">
      <c r="A820" s="16" t="s">
        <v>3940</v>
      </c>
      <c r="B820" s="17" t="s">
        <v>3935</v>
      </c>
      <c r="C820" s="17" t="s">
        <v>964</v>
      </c>
      <c r="D820" s="17" t="str">
        <f>vlookup(C820,'1. 신청자리스트'!J:N,2,false)</f>
        <v>정상</v>
      </c>
      <c r="E820" s="17"/>
      <c r="F820" s="17" t="s">
        <v>964</v>
      </c>
      <c r="G820" s="18">
        <v>70000.0</v>
      </c>
      <c r="H820" s="19" t="s">
        <v>3990</v>
      </c>
      <c r="I820" s="20"/>
      <c r="J820" s="20"/>
      <c r="K820" s="20"/>
      <c r="L820" s="21"/>
      <c r="M820" s="22"/>
      <c r="N820" s="22"/>
      <c r="O820" s="22"/>
      <c r="P820" s="22"/>
      <c r="Q820" s="22"/>
      <c r="R820" s="22"/>
      <c r="S820" s="22"/>
      <c r="T820" s="23"/>
    </row>
    <row r="821">
      <c r="A821" s="24" t="s">
        <v>3940</v>
      </c>
      <c r="B821" s="25" t="s">
        <v>3932</v>
      </c>
      <c r="C821" s="25" t="s">
        <v>533</v>
      </c>
      <c r="D821" s="17" t="str">
        <f>vlookup(C821,'1. 신청자리스트'!J:N,2,false)</f>
        <v>정상</v>
      </c>
      <c r="E821" s="25"/>
      <c r="F821" s="25" t="s">
        <v>3774</v>
      </c>
      <c r="G821" s="26">
        <v>35000.0</v>
      </c>
      <c r="H821" s="27" t="s">
        <v>4358</v>
      </c>
      <c r="I821" s="28"/>
      <c r="J821" s="28"/>
      <c r="K821" s="28"/>
      <c r="L821" s="29"/>
      <c r="M821" s="22"/>
      <c r="N821" s="22"/>
      <c r="O821" s="22"/>
      <c r="P821" s="22"/>
      <c r="Q821" s="22"/>
      <c r="R821" s="22"/>
      <c r="S821" s="22"/>
      <c r="T821" s="23"/>
    </row>
    <row r="822">
      <c r="A822" s="24" t="s">
        <v>3962</v>
      </c>
      <c r="B822" s="25" t="s">
        <v>3935</v>
      </c>
      <c r="C822" s="25" t="s">
        <v>534</v>
      </c>
      <c r="D822" s="17" t="str">
        <f>vlookup(C822,'1. 신청자리스트'!J:N,2,false)</f>
        <v>중복</v>
      </c>
      <c r="E822" s="25"/>
      <c r="F822" s="25" t="s">
        <v>534</v>
      </c>
      <c r="G822" s="26">
        <v>70000.0</v>
      </c>
      <c r="H822" s="27" t="s">
        <v>3948</v>
      </c>
      <c r="I822" s="28"/>
      <c r="J822" s="28"/>
      <c r="K822" s="28"/>
      <c r="L822" s="29"/>
      <c r="M822" s="22"/>
      <c r="N822" s="22"/>
      <c r="O822" s="22"/>
      <c r="P822" s="22"/>
      <c r="Q822" s="22"/>
      <c r="R822" s="22"/>
      <c r="S822" s="22"/>
      <c r="T822" s="23"/>
    </row>
    <row r="823">
      <c r="A823" s="16" t="s">
        <v>3931</v>
      </c>
      <c r="B823" s="17" t="s">
        <v>3935</v>
      </c>
      <c r="C823" s="17" t="s">
        <v>965</v>
      </c>
      <c r="D823" s="17" t="str">
        <f>vlookup(C823,'1. 신청자리스트'!J:N,2,false)</f>
        <v>정상</v>
      </c>
      <c r="E823" s="17"/>
      <c r="F823" s="17" t="s">
        <v>965</v>
      </c>
      <c r="G823" s="18">
        <v>70000.0</v>
      </c>
      <c r="H823" s="19" t="s">
        <v>3941</v>
      </c>
      <c r="I823" s="20"/>
      <c r="J823" s="20"/>
      <c r="K823" s="20"/>
      <c r="L823" s="21"/>
      <c r="M823" s="22"/>
      <c r="N823" s="22"/>
      <c r="O823" s="22"/>
      <c r="P823" s="22"/>
      <c r="Q823" s="22"/>
      <c r="R823" s="22"/>
      <c r="S823" s="22"/>
      <c r="T823" s="23"/>
    </row>
    <row r="824">
      <c r="A824" s="16" t="s">
        <v>3942</v>
      </c>
      <c r="B824" s="17" t="s">
        <v>3935</v>
      </c>
      <c r="C824" s="17" t="s">
        <v>535</v>
      </c>
      <c r="D824" s="17" t="str">
        <f>vlookup(C824,'1. 신청자리스트'!J:N,2,false)</f>
        <v>정상</v>
      </c>
      <c r="E824" s="17"/>
      <c r="F824" s="17" t="s">
        <v>535</v>
      </c>
      <c r="G824" s="18">
        <v>35000.0</v>
      </c>
      <c r="H824" s="19" t="s">
        <v>3939</v>
      </c>
      <c r="I824" s="20"/>
      <c r="J824" s="20"/>
      <c r="K824" s="20"/>
      <c r="L824" s="21"/>
      <c r="M824" s="22"/>
      <c r="N824" s="22"/>
      <c r="O824" s="22"/>
      <c r="P824" s="22"/>
      <c r="Q824" s="22"/>
      <c r="R824" s="22"/>
      <c r="S824" s="22"/>
      <c r="T824" s="23"/>
    </row>
    <row r="825">
      <c r="A825" s="16" t="s">
        <v>3940</v>
      </c>
      <c r="B825" s="17" t="s">
        <v>3935</v>
      </c>
      <c r="C825" s="17" t="s">
        <v>536</v>
      </c>
      <c r="D825" s="17" t="str">
        <f>vlookup(C825,'1. 신청자리스트'!J:N,2,false)</f>
        <v>정상</v>
      </c>
      <c r="E825" s="17"/>
      <c r="F825" s="17" t="s">
        <v>4359</v>
      </c>
      <c r="G825" s="18">
        <v>35000.0</v>
      </c>
      <c r="H825" s="19" t="s">
        <v>3937</v>
      </c>
      <c r="I825" s="20"/>
      <c r="J825" s="20"/>
      <c r="K825" s="20"/>
      <c r="L825" s="21"/>
      <c r="M825" s="22"/>
      <c r="N825" s="22"/>
      <c r="O825" s="22"/>
      <c r="P825" s="22"/>
      <c r="Q825" s="22"/>
      <c r="R825" s="22"/>
      <c r="S825" s="22"/>
      <c r="T825" s="23"/>
    </row>
    <row r="826">
      <c r="A826" s="16" t="s">
        <v>3938</v>
      </c>
      <c r="B826" s="17" t="s">
        <v>3935</v>
      </c>
      <c r="C826" s="17" t="s">
        <v>966</v>
      </c>
      <c r="D826" s="17" t="str">
        <f>vlookup(C826,'1. 신청자리스트'!J:N,2,false)</f>
        <v>정상</v>
      </c>
      <c r="E826" s="17"/>
      <c r="F826" s="17" t="s">
        <v>966</v>
      </c>
      <c r="G826" s="18">
        <v>70000.0</v>
      </c>
      <c r="H826" s="19" t="s">
        <v>3948</v>
      </c>
      <c r="I826" s="20"/>
      <c r="J826" s="20"/>
      <c r="K826" s="20"/>
      <c r="L826" s="21"/>
      <c r="M826" s="22"/>
      <c r="N826" s="22"/>
      <c r="O826" s="22"/>
      <c r="P826" s="22"/>
      <c r="Q826" s="22"/>
      <c r="R826" s="22"/>
      <c r="S826" s="22"/>
      <c r="T826" s="23"/>
    </row>
    <row r="827">
      <c r="A827" s="24" t="s">
        <v>3940</v>
      </c>
      <c r="B827" s="25" t="s">
        <v>3935</v>
      </c>
      <c r="C827" s="25" t="s">
        <v>537</v>
      </c>
      <c r="D827" s="17" t="str">
        <f>vlookup(C827,'1. 신청자리스트'!J:N,2,false)</f>
        <v>정상</v>
      </c>
      <c r="E827" s="25"/>
      <c r="F827" s="25" t="s">
        <v>3780</v>
      </c>
      <c r="G827" s="26">
        <v>35000.0</v>
      </c>
      <c r="H827" s="27" t="s">
        <v>3941</v>
      </c>
      <c r="I827" s="28"/>
      <c r="J827" s="28"/>
      <c r="K827" s="28"/>
      <c r="L827" s="29"/>
      <c r="M827" s="22"/>
      <c r="N827" s="22"/>
      <c r="O827" s="22"/>
      <c r="P827" s="22"/>
      <c r="Q827" s="22"/>
      <c r="R827" s="22"/>
      <c r="S827" s="22"/>
      <c r="T827" s="23"/>
    </row>
    <row r="828">
      <c r="A828" s="16" t="s">
        <v>4360</v>
      </c>
      <c r="B828" s="17" t="s">
        <v>3932</v>
      </c>
      <c r="C828" s="17" t="s">
        <v>538</v>
      </c>
      <c r="D828" s="17" t="str">
        <f>vlookup(C828,'1. 신청자리스트'!J:N,2,false)</f>
        <v>정상</v>
      </c>
      <c r="E828" s="17"/>
      <c r="F828" s="17" t="s">
        <v>538</v>
      </c>
      <c r="G828" s="18">
        <v>35000.0</v>
      </c>
      <c r="H828" s="19" t="s">
        <v>4361</v>
      </c>
      <c r="I828" s="20"/>
      <c r="J828" s="20"/>
      <c r="K828" s="20"/>
      <c r="L828" s="21"/>
      <c r="M828" s="22"/>
      <c r="N828" s="22"/>
      <c r="O828" s="22"/>
      <c r="P828" s="22"/>
      <c r="Q828" s="22"/>
      <c r="R828" s="22"/>
      <c r="S828" s="22"/>
      <c r="T828" s="23"/>
    </row>
    <row r="829">
      <c r="A829" s="16" t="s">
        <v>3940</v>
      </c>
      <c r="B829" s="17" t="s">
        <v>3935</v>
      </c>
      <c r="C829" s="17" t="s">
        <v>539</v>
      </c>
      <c r="D829" s="17" t="str">
        <f>vlookup(C829,'1. 신청자리스트'!J:N,2,false)</f>
        <v>정상</v>
      </c>
      <c r="E829" s="17"/>
      <c r="F829" s="17" t="s">
        <v>4362</v>
      </c>
      <c r="G829" s="18">
        <v>35000.0</v>
      </c>
      <c r="H829" s="19" t="s">
        <v>3952</v>
      </c>
      <c r="I829" s="20"/>
      <c r="J829" s="20"/>
      <c r="K829" s="20"/>
      <c r="L829" s="21"/>
      <c r="M829" s="22"/>
      <c r="N829" s="22"/>
      <c r="O829" s="22"/>
      <c r="P829" s="22"/>
      <c r="Q829" s="22"/>
      <c r="R829" s="22"/>
      <c r="S829" s="22"/>
      <c r="T829" s="23"/>
    </row>
    <row r="830">
      <c r="A830" s="16" t="s">
        <v>3945</v>
      </c>
      <c r="B830" s="17" t="s">
        <v>3935</v>
      </c>
      <c r="C830" s="17" t="s">
        <v>541</v>
      </c>
      <c r="D830" s="17" t="str">
        <f>vlookup(C830,'1. 신청자리스트'!J:N,2,false)</f>
        <v>정상</v>
      </c>
      <c r="E830" s="17"/>
      <c r="F830" s="17" t="s">
        <v>541</v>
      </c>
      <c r="G830" s="18">
        <v>35000.0</v>
      </c>
      <c r="H830" s="19" t="s">
        <v>3941</v>
      </c>
      <c r="I830" s="20"/>
      <c r="J830" s="20"/>
      <c r="K830" s="20"/>
      <c r="L830" s="21"/>
      <c r="M830" s="22"/>
      <c r="N830" s="22"/>
      <c r="O830" s="22"/>
      <c r="P830" s="22"/>
      <c r="Q830" s="22"/>
      <c r="R830" s="22"/>
      <c r="S830" s="22"/>
      <c r="T830" s="23"/>
    </row>
    <row r="831">
      <c r="A831" s="16" t="s">
        <v>4011</v>
      </c>
      <c r="B831" s="17" t="s">
        <v>3935</v>
      </c>
      <c r="C831" s="17" t="s">
        <v>967</v>
      </c>
      <c r="D831" s="17" t="str">
        <f>vlookup(C831,'1. 신청자리스트'!J:N,2,false)</f>
        <v>정상</v>
      </c>
      <c r="E831" s="17"/>
      <c r="F831" s="17" t="s">
        <v>967</v>
      </c>
      <c r="G831" s="18">
        <v>70000.0</v>
      </c>
      <c r="H831" s="19" t="s">
        <v>3941</v>
      </c>
      <c r="I831" s="20"/>
      <c r="J831" s="20"/>
      <c r="K831" s="20"/>
      <c r="L831" s="21"/>
      <c r="M831" s="22"/>
      <c r="N831" s="22"/>
      <c r="O831" s="22"/>
      <c r="P831" s="22"/>
      <c r="Q831" s="22"/>
      <c r="R831" s="22"/>
      <c r="S831" s="22"/>
      <c r="T831" s="23"/>
    </row>
    <row r="832">
      <c r="A832" s="24" t="s">
        <v>4363</v>
      </c>
      <c r="B832" s="25" t="s">
        <v>3935</v>
      </c>
      <c r="C832" s="25" t="s">
        <v>542</v>
      </c>
      <c r="D832" s="17" t="str">
        <f>vlookup(C832,'1. 신청자리스트'!J:N,2,false)</f>
        <v>정상</v>
      </c>
      <c r="E832" s="25"/>
      <c r="F832" s="25" t="s">
        <v>3788</v>
      </c>
      <c r="G832" s="26">
        <v>35000.0</v>
      </c>
      <c r="H832" s="27" t="s">
        <v>3941</v>
      </c>
      <c r="I832" s="28"/>
      <c r="J832" s="28"/>
      <c r="K832" s="28"/>
      <c r="L832" s="29"/>
      <c r="M832" s="22"/>
      <c r="N832" s="22"/>
      <c r="O832" s="22"/>
      <c r="P832" s="22"/>
      <c r="Q832" s="22"/>
      <c r="R832" s="22"/>
      <c r="S832" s="22"/>
      <c r="T832" s="23"/>
    </row>
    <row r="833">
      <c r="A833" s="16" t="s">
        <v>3945</v>
      </c>
      <c r="B833" s="17" t="s">
        <v>4290</v>
      </c>
      <c r="C833" s="17" t="s">
        <v>543</v>
      </c>
      <c r="D833" s="17" t="str">
        <f>vlookup(C833,'1. 신청자리스트'!J:N,2,false)</f>
        <v>정상</v>
      </c>
      <c r="E833" s="17"/>
      <c r="F833" s="17" t="s">
        <v>543</v>
      </c>
      <c r="G833" s="18">
        <v>35000.0</v>
      </c>
      <c r="H833" s="19" t="s">
        <v>3990</v>
      </c>
      <c r="I833" s="20"/>
      <c r="J833" s="20"/>
      <c r="K833" s="20"/>
      <c r="L833" s="21"/>
      <c r="M833" s="22"/>
      <c r="N833" s="22"/>
      <c r="O833" s="22"/>
      <c r="P833" s="22"/>
      <c r="Q833" s="22"/>
      <c r="R833" s="22"/>
      <c r="S833" s="22"/>
      <c r="T833" s="23"/>
    </row>
    <row r="834">
      <c r="A834" s="16" t="s">
        <v>3942</v>
      </c>
      <c r="B834" s="17" t="s">
        <v>3935</v>
      </c>
      <c r="C834" s="17" t="s">
        <v>968</v>
      </c>
      <c r="D834" s="17" t="str">
        <f>vlookup(C834,'1. 신청자리스트'!J:N,2,false)</f>
        <v>정상</v>
      </c>
      <c r="E834" s="17"/>
      <c r="F834" s="17" t="s">
        <v>968</v>
      </c>
      <c r="G834" s="18">
        <v>70000.0</v>
      </c>
      <c r="H834" s="19" t="s">
        <v>3983</v>
      </c>
      <c r="I834" s="20"/>
      <c r="J834" s="20"/>
      <c r="K834" s="20"/>
      <c r="L834" s="21"/>
      <c r="M834" s="22"/>
      <c r="N834" s="22"/>
      <c r="O834" s="22"/>
      <c r="P834" s="22"/>
      <c r="Q834" s="22"/>
      <c r="R834" s="22"/>
      <c r="S834" s="22"/>
      <c r="T834" s="23"/>
    </row>
    <row r="835">
      <c r="A835" s="16" t="s">
        <v>4012</v>
      </c>
      <c r="B835" s="17" t="s">
        <v>3935</v>
      </c>
      <c r="C835" s="17" t="s">
        <v>545</v>
      </c>
      <c r="D835" s="17" t="str">
        <f>vlookup(C835,'1. 신청자리스트'!J:N,2,false)</f>
        <v>정상</v>
      </c>
      <c r="E835" s="17"/>
      <c r="F835" s="17" t="s">
        <v>545</v>
      </c>
      <c r="G835" s="18">
        <v>35000.0</v>
      </c>
      <c r="H835" s="19" t="s">
        <v>3961</v>
      </c>
      <c r="I835" s="20"/>
      <c r="J835" s="20"/>
      <c r="K835" s="20"/>
      <c r="L835" s="21"/>
      <c r="M835" s="22"/>
      <c r="N835" s="22"/>
      <c r="O835" s="22"/>
      <c r="P835" s="22"/>
      <c r="Q835" s="22"/>
      <c r="R835" s="22"/>
      <c r="S835" s="22"/>
      <c r="T835" s="23"/>
    </row>
    <row r="836">
      <c r="A836" s="16" t="s">
        <v>3985</v>
      </c>
      <c r="B836" s="17" t="s">
        <v>3935</v>
      </c>
      <c r="C836" s="17" t="s">
        <v>969</v>
      </c>
      <c r="D836" s="17" t="str">
        <f>vlookup(C836,'1. 신청자리스트'!J:N,2,false)</f>
        <v>정상</v>
      </c>
      <c r="E836" s="17"/>
      <c r="F836" s="17" t="s">
        <v>969</v>
      </c>
      <c r="G836" s="18">
        <v>70000.0</v>
      </c>
      <c r="H836" s="19" t="s">
        <v>3939</v>
      </c>
      <c r="I836" s="20"/>
      <c r="J836" s="20"/>
      <c r="K836" s="20"/>
      <c r="L836" s="21"/>
      <c r="M836" s="22"/>
      <c r="N836" s="22"/>
      <c r="O836" s="22"/>
      <c r="P836" s="22"/>
      <c r="Q836" s="22"/>
      <c r="R836" s="22"/>
      <c r="S836" s="22"/>
      <c r="T836" s="23"/>
    </row>
    <row r="837">
      <c r="A837" s="16" t="s">
        <v>3949</v>
      </c>
      <c r="B837" s="17" t="s">
        <v>3935</v>
      </c>
      <c r="C837" s="17" t="s">
        <v>970</v>
      </c>
      <c r="D837" s="17" t="str">
        <f>vlookup(C837,'1. 신청자리스트'!J:N,2,false)</f>
        <v>정상</v>
      </c>
      <c r="E837" s="17"/>
      <c r="F837" s="17" t="s">
        <v>970</v>
      </c>
      <c r="G837" s="18">
        <v>70000.0</v>
      </c>
      <c r="H837" s="19" t="s">
        <v>3990</v>
      </c>
      <c r="I837" s="20"/>
      <c r="J837" s="20"/>
      <c r="K837" s="20"/>
      <c r="L837" s="21"/>
      <c r="M837" s="22"/>
      <c r="N837" s="22"/>
      <c r="O837" s="22"/>
      <c r="P837" s="22"/>
      <c r="Q837" s="22"/>
      <c r="R837" s="22"/>
      <c r="S837" s="22"/>
      <c r="T837" s="23"/>
    </row>
    <row r="838">
      <c r="A838" s="16" t="s">
        <v>4364</v>
      </c>
      <c r="B838" s="17" t="s">
        <v>3935</v>
      </c>
      <c r="C838" s="17" t="s">
        <v>971</v>
      </c>
      <c r="D838" s="17" t="str">
        <f>vlookup(C838,'1. 신청자리스트'!J:N,2,false)</f>
        <v>정상</v>
      </c>
      <c r="E838" s="17"/>
      <c r="F838" s="17" t="s">
        <v>971</v>
      </c>
      <c r="G838" s="18">
        <v>70000.0</v>
      </c>
      <c r="H838" s="19" t="s">
        <v>3948</v>
      </c>
      <c r="I838" s="20"/>
      <c r="J838" s="20"/>
      <c r="K838" s="20"/>
      <c r="L838" s="21"/>
      <c r="M838" s="22"/>
      <c r="N838" s="22"/>
      <c r="O838" s="22"/>
      <c r="P838" s="22"/>
      <c r="Q838" s="22"/>
      <c r="R838" s="22"/>
      <c r="S838" s="22"/>
      <c r="T838" s="23"/>
    </row>
    <row r="839">
      <c r="A839" s="30" t="s">
        <v>4049</v>
      </c>
      <c r="B839" s="31" t="s">
        <v>4290</v>
      </c>
      <c r="C839" s="31" t="s">
        <v>4365</v>
      </c>
      <c r="D839" s="17" t="str">
        <f>vlookup(C839,'1. 신청자리스트'!J:N,2,false)</f>
        <v>정상</v>
      </c>
      <c r="E839" s="31"/>
      <c r="F839" s="31" t="s">
        <v>3829</v>
      </c>
      <c r="G839" s="32">
        <v>35000.0</v>
      </c>
      <c r="H839" s="33" t="s">
        <v>3946</v>
      </c>
      <c r="I839" s="34" t="str">
        <f>VLOOKUP(C839, '문의'!D:E, 2, FALSE)</f>
        <v>[취소/환불] 계좌번호 우리은행 307 07 043601 로환불처리부탁드립니다</v>
      </c>
      <c r="J839" s="34">
        <f t="array" ref="J839">INDEX('문의'!C:C, MATCH(C839, '문의'!D:D, 0))</f>
        <v>1045879282</v>
      </c>
      <c r="K839" s="34" t="s">
        <v>3957</v>
      </c>
      <c r="L839" s="37" t="s">
        <v>4366</v>
      </c>
      <c r="M839" s="38" t="s">
        <v>3959</v>
      </c>
      <c r="N839" s="38" t="s">
        <v>3960</v>
      </c>
      <c r="O839" s="38" t="s">
        <v>3959</v>
      </c>
      <c r="P839" s="43"/>
      <c r="Q839" s="42"/>
      <c r="R839" s="52"/>
      <c r="S839" s="42"/>
      <c r="T839" s="41"/>
    </row>
    <row r="840">
      <c r="A840" s="30" t="s">
        <v>4077</v>
      </c>
      <c r="B840" s="31" t="s">
        <v>3935</v>
      </c>
      <c r="C840" s="31" t="s">
        <v>4367</v>
      </c>
      <c r="D840" s="17" t="str">
        <f>vlookup(C840,'1. 신청자리스트'!J:N,2,false)</f>
        <v>정상</v>
      </c>
      <c r="E840" s="31"/>
      <c r="F840" s="31" t="s">
        <v>3864</v>
      </c>
      <c r="G840" s="32">
        <v>35000.0</v>
      </c>
      <c r="H840" s="33" t="s">
        <v>3946</v>
      </c>
      <c r="I840" s="34" t="str">
        <f>VLOOKUP(C840, '문의'!D:E, 2, FALSE)</f>
        <v>[기타문의] 신청완료 떴더니 왜 오류로 나오는지요?</v>
      </c>
      <c r="J840" s="34">
        <v>1.091973881E9</v>
      </c>
      <c r="K840" s="34" t="s">
        <v>3957</v>
      </c>
      <c r="L840" s="37" t="s">
        <v>4368</v>
      </c>
      <c r="M840" s="42"/>
      <c r="N840" s="42"/>
      <c r="O840" s="42"/>
      <c r="P840" s="42"/>
      <c r="Q840" s="42"/>
      <c r="R840" s="44"/>
      <c r="S840" s="42"/>
      <c r="T840" s="41"/>
    </row>
    <row r="841">
      <c r="A841" s="24" t="s">
        <v>3945</v>
      </c>
      <c r="B841" s="25" t="s">
        <v>3935</v>
      </c>
      <c r="C841" s="25" t="s">
        <v>547</v>
      </c>
      <c r="D841" s="17" t="str">
        <f>vlookup(C841,'1. 신청자리스트'!J:N,2,false)</f>
        <v>정상</v>
      </c>
      <c r="E841" s="25"/>
      <c r="F841" s="25" t="s">
        <v>3794</v>
      </c>
      <c r="G841" s="26">
        <v>35000.0</v>
      </c>
      <c r="H841" s="27" t="s">
        <v>3948</v>
      </c>
      <c r="I841" s="28"/>
      <c r="J841" s="28"/>
      <c r="K841" s="28"/>
      <c r="L841" s="29"/>
      <c r="M841" s="22"/>
      <c r="N841" s="22"/>
      <c r="O841" s="22"/>
      <c r="P841" s="22"/>
      <c r="Q841" s="22"/>
      <c r="R841" s="22"/>
      <c r="S841" s="22"/>
      <c r="T841" s="23"/>
    </row>
    <row r="842">
      <c r="A842" s="24" t="s">
        <v>3938</v>
      </c>
      <c r="B842" s="25" t="s">
        <v>3935</v>
      </c>
      <c r="C842" s="25" t="s">
        <v>548</v>
      </c>
      <c r="D842" s="17" t="str">
        <f>vlookup(C842,'1. 신청자리스트'!J:N,2,false)</f>
        <v>정상</v>
      </c>
      <c r="E842" s="25"/>
      <c r="F842" s="25" t="s">
        <v>4369</v>
      </c>
      <c r="G842" s="26">
        <v>35000.0</v>
      </c>
      <c r="H842" s="27" t="s">
        <v>4006</v>
      </c>
      <c r="I842" s="45"/>
      <c r="J842" s="45"/>
      <c r="K842" s="45" t="s">
        <v>4370</v>
      </c>
      <c r="L842" s="29"/>
      <c r="M842" s="22"/>
      <c r="N842" s="22"/>
      <c r="O842" s="22"/>
      <c r="P842" s="22"/>
      <c r="Q842" s="22"/>
      <c r="R842" s="22"/>
      <c r="S842" s="22"/>
      <c r="T842" s="23"/>
    </row>
    <row r="843">
      <c r="A843" s="16" t="s">
        <v>3940</v>
      </c>
      <c r="B843" s="17" t="s">
        <v>3943</v>
      </c>
      <c r="C843" s="17" t="s">
        <v>972</v>
      </c>
      <c r="D843" s="17" t="str">
        <f>vlookup(C843,'1. 신청자리스트'!J:N,2,false)</f>
        <v>정상</v>
      </c>
      <c r="E843" s="17"/>
      <c r="F843" s="17" t="s">
        <v>972</v>
      </c>
      <c r="G843" s="18">
        <v>70000.0</v>
      </c>
      <c r="H843" s="19" t="s">
        <v>3944</v>
      </c>
      <c r="I843" s="20"/>
      <c r="J843" s="20"/>
      <c r="K843" s="20"/>
      <c r="L843" s="21"/>
      <c r="M843" s="22"/>
      <c r="N843" s="22"/>
      <c r="O843" s="22"/>
      <c r="P843" s="22"/>
      <c r="Q843" s="22"/>
      <c r="R843" s="22"/>
      <c r="S843" s="22"/>
      <c r="T843" s="23"/>
    </row>
    <row r="844">
      <c r="A844" s="16" t="s">
        <v>4026</v>
      </c>
      <c r="B844" s="17" t="s">
        <v>3935</v>
      </c>
      <c r="C844" s="17" t="s">
        <v>973</v>
      </c>
      <c r="D844" s="17" t="str">
        <f>vlookup(C844,'1. 신청자리스트'!J:N,2,false)</f>
        <v>정상</v>
      </c>
      <c r="E844" s="17"/>
      <c r="F844" s="17" t="s">
        <v>973</v>
      </c>
      <c r="G844" s="18">
        <v>70000.0</v>
      </c>
      <c r="H844" s="19" t="s">
        <v>3939</v>
      </c>
      <c r="I844" s="20"/>
      <c r="J844" s="20"/>
      <c r="K844" s="20"/>
      <c r="L844" s="21"/>
      <c r="M844" s="22"/>
      <c r="N844" s="22"/>
      <c r="O844" s="22"/>
      <c r="P844" s="22"/>
      <c r="Q844" s="22"/>
      <c r="R844" s="22"/>
      <c r="S844" s="22"/>
      <c r="T844" s="23"/>
    </row>
    <row r="845">
      <c r="A845" s="16" t="s">
        <v>3945</v>
      </c>
      <c r="B845" s="17" t="s">
        <v>3935</v>
      </c>
      <c r="C845" s="17" t="s">
        <v>974</v>
      </c>
      <c r="D845" s="17" t="str">
        <f>vlookup(C845,'1. 신청자리스트'!J:N,2,false)</f>
        <v>정상</v>
      </c>
      <c r="E845" s="17"/>
      <c r="F845" s="17" t="s">
        <v>974</v>
      </c>
      <c r="G845" s="18">
        <v>70000.0</v>
      </c>
      <c r="H845" s="19" t="s">
        <v>3983</v>
      </c>
      <c r="I845" s="20"/>
      <c r="J845" s="20"/>
      <c r="K845" s="20"/>
      <c r="L845" s="21"/>
      <c r="M845" s="22"/>
      <c r="N845" s="22"/>
      <c r="O845" s="22"/>
      <c r="P845" s="22"/>
      <c r="Q845" s="22"/>
      <c r="R845" s="22"/>
      <c r="S845" s="22"/>
      <c r="T845" s="23"/>
    </row>
    <row r="846">
      <c r="A846" s="24" t="s">
        <v>4193</v>
      </c>
      <c r="B846" s="25" t="s">
        <v>3935</v>
      </c>
      <c r="C846" s="25" t="s">
        <v>549</v>
      </c>
      <c r="D846" s="17" t="str">
        <f>vlookup(C846,'1. 신청자리스트'!J:N,2,false)</f>
        <v>정상</v>
      </c>
      <c r="E846" s="25"/>
      <c r="F846" s="25" t="s">
        <v>3798</v>
      </c>
      <c r="G846" s="26">
        <v>35000.0</v>
      </c>
      <c r="H846" s="27" t="s">
        <v>3983</v>
      </c>
      <c r="I846" s="28"/>
      <c r="J846" s="28"/>
      <c r="K846" s="28"/>
      <c r="L846" s="29"/>
      <c r="M846" s="22"/>
      <c r="N846" s="22"/>
      <c r="O846" s="22"/>
      <c r="P846" s="22"/>
      <c r="Q846" s="22"/>
      <c r="R846" s="22"/>
      <c r="S846" s="22"/>
      <c r="T846" s="23"/>
    </row>
    <row r="847">
      <c r="A847" s="30" t="s">
        <v>3938</v>
      </c>
      <c r="B847" s="31" t="s">
        <v>3935</v>
      </c>
      <c r="C847" s="31" t="s">
        <v>4371</v>
      </c>
      <c r="D847" s="17" t="str">
        <f>vlookup(C847,'1. 신청자리스트'!J:N,2,false)</f>
        <v>정상</v>
      </c>
      <c r="E847" s="31"/>
      <c r="F847" s="31" t="s">
        <v>3881</v>
      </c>
      <c r="G847" s="32">
        <v>35000.0</v>
      </c>
      <c r="H847" s="33" t="s">
        <v>3948</v>
      </c>
      <c r="I847" s="36" t="str">
        <f>VLOOKUP(C847, '문의'!D:E, 2, FALSE)</f>
        <v>#N/A</v>
      </c>
      <c r="J847" s="36" t="s">
        <v>3882</v>
      </c>
      <c r="K847" s="36" t="s">
        <v>3957</v>
      </c>
      <c r="L847" s="49" t="s">
        <v>4372</v>
      </c>
      <c r="M847" s="42"/>
      <c r="N847" s="42"/>
      <c r="O847" s="42"/>
      <c r="P847" s="39"/>
      <c r="Q847" s="39"/>
      <c r="R847" s="40"/>
      <c r="S847" s="39"/>
      <c r="T847" s="41"/>
    </row>
    <row r="848">
      <c r="A848" s="16" t="s">
        <v>3940</v>
      </c>
      <c r="B848" s="17" t="s">
        <v>3932</v>
      </c>
      <c r="C848" s="17" t="s">
        <v>551</v>
      </c>
      <c r="D848" s="17" t="str">
        <f>vlookup(C848,'1. 신청자리스트'!J:N,2,false)</f>
        <v>정상</v>
      </c>
      <c r="E848" s="17"/>
      <c r="F848" s="17" t="s">
        <v>551</v>
      </c>
      <c r="G848" s="18">
        <v>35000.0</v>
      </c>
      <c r="H848" s="19" t="s">
        <v>4373</v>
      </c>
      <c r="I848" s="20"/>
      <c r="J848" s="20"/>
      <c r="K848" s="20"/>
      <c r="L848" s="21"/>
      <c r="M848" s="22"/>
      <c r="N848" s="22"/>
      <c r="O848" s="22"/>
      <c r="P848" s="22"/>
      <c r="Q848" s="22"/>
      <c r="R848" s="22"/>
      <c r="S848" s="22"/>
      <c r="T848" s="23"/>
    </row>
    <row r="849">
      <c r="A849" s="16" t="s">
        <v>3945</v>
      </c>
      <c r="B849" s="17" t="s">
        <v>3935</v>
      </c>
      <c r="C849" s="17" t="s">
        <v>552</v>
      </c>
      <c r="D849" s="17" t="str">
        <f>vlookup(C849,'1. 신청자리스트'!J:N,2,false)</f>
        <v>정상</v>
      </c>
      <c r="E849" s="17"/>
      <c r="F849" s="17" t="s">
        <v>552</v>
      </c>
      <c r="G849" s="18">
        <v>35000.0</v>
      </c>
      <c r="H849" s="19" t="s">
        <v>3946</v>
      </c>
      <c r="I849" s="20"/>
      <c r="J849" s="20"/>
      <c r="K849" s="20"/>
      <c r="L849" s="21"/>
      <c r="M849" s="22"/>
      <c r="N849" s="22"/>
      <c r="O849" s="22"/>
      <c r="P849" s="22"/>
      <c r="Q849" s="22"/>
      <c r="R849" s="22"/>
      <c r="S849" s="22"/>
      <c r="T849" s="23"/>
    </row>
    <row r="850">
      <c r="A850" s="16" t="s">
        <v>3962</v>
      </c>
      <c r="B850" s="17" t="s">
        <v>3932</v>
      </c>
      <c r="C850" s="17" t="s">
        <v>553</v>
      </c>
      <c r="D850" s="17" t="str">
        <f>vlookup(C850,'1. 신청자리스트'!J:N,2,false)</f>
        <v>정상</v>
      </c>
      <c r="E850" s="17"/>
      <c r="F850" s="17" t="s">
        <v>553</v>
      </c>
      <c r="G850" s="18">
        <v>35000.0</v>
      </c>
      <c r="H850" s="19" t="s">
        <v>4374</v>
      </c>
      <c r="I850" s="20"/>
      <c r="J850" s="20"/>
      <c r="K850" s="20"/>
      <c r="L850" s="21"/>
      <c r="M850" s="22"/>
      <c r="N850" s="22"/>
      <c r="O850" s="22"/>
      <c r="P850" s="22"/>
      <c r="Q850" s="22"/>
      <c r="R850" s="22"/>
      <c r="S850" s="22"/>
      <c r="T850" s="23"/>
    </row>
    <row r="851">
      <c r="A851" s="16" t="s">
        <v>3985</v>
      </c>
      <c r="B851" s="17" t="s">
        <v>3935</v>
      </c>
      <c r="C851" s="17" t="s">
        <v>975</v>
      </c>
      <c r="D851" s="17" t="str">
        <f>vlookup(C851,'1. 신청자리스트'!J:N,2,false)</f>
        <v>정상</v>
      </c>
      <c r="E851" s="17"/>
      <c r="F851" s="17" t="s">
        <v>975</v>
      </c>
      <c r="G851" s="18">
        <v>70000.0</v>
      </c>
      <c r="H851" s="19" t="s">
        <v>3941</v>
      </c>
      <c r="I851" s="20"/>
      <c r="J851" s="20"/>
      <c r="K851" s="20"/>
      <c r="L851" s="21"/>
      <c r="M851" s="22"/>
      <c r="N851" s="22"/>
      <c r="O851" s="22"/>
      <c r="P851" s="22"/>
      <c r="Q851" s="22"/>
      <c r="R851" s="22"/>
      <c r="S851" s="22"/>
      <c r="T851" s="23"/>
    </row>
    <row r="852">
      <c r="A852" s="24" t="s">
        <v>3985</v>
      </c>
      <c r="B852" s="25" t="s">
        <v>3935</v>
      </c>
      <c r="C852" s="25" t="s">
        <v>554</v>
      </c>
      <c r="D852" s="17" t="str">
        <f>vlookup(C852,'1. 신청자리스트'!J:N,2,false)</f>
        <v>중복</v>
      </c>
      <c r="E852" s="25"/>
      <c r="F852" s="25" t="s">
        <v>554</v>
      </c>
      <c r="G852" s="26">
        <v>70000.0</v>
      </c>
      <c r="H852" s="27" t="s">
        <v>4041</v>
      </c>
      <c r="I852" s="28"/>
      <c r="J852" s="28"/>
      <c r="K852" s="28"/>
      <c r="L852" s="29"/>
      <c r="M852" s="22"/>
      <c r="N852" s="22"/>
      <c r="O852" s="22"/>
      <c r="P852" s="22"/>
      <c r="Q852" s="22"/>
      <c r="R852" s="22"/>
      <c r="S852" s="22"/>
      <c r="T852" s="23"/>
    </row>
    <row r="853">
      <c r="A853" s="16" t="s">
        <v>3942</v>
      </c>
      <c r="B853" s="17" t="s">
        <v>3935</v>
      </c>
      <c r="C853" s="17" t="s">
        <v>977</v>
      </c>
      <c r="D853" s="17" t="str">
        <f>vlookup(C853,'1. 신청자리스트'!J:N,2,false)</f>
        <v>정상</v>
      </c>
      <c r="E853" s="17"/>
      <c r="F853" s="17" t="s">
        <v>977</v>
      </c>
      <c r="G853" s="18">
        <v>70000.0</v>
      </c>
      <c r="H853" s="19" t="s">
        <v>3948</v>
      </c>
      <c r="I853" s="20"/>
      <c r="J853" s="20"/>
      <c r="K853" s="20"/>
      <c r="L853" s="21"/>
      <c r="M853" s="22"/>
      <c r="N853" s="22"/>
      <c r="O853" s="22"/>
      <c r="P853" s="22"/>
      <c r="Q853" s="22"/>
      <c r="R853" s="22"/>
      <c r="S853" s="22"/>
      <c r="T853" s="23"/>
    </row>
    <row r="854">
      <c r="A854" s="16" t="s">
        <v>3942</v>
      </c>
      <c r="B854" s="17" t="s">
        <v>3935</v>
      </c>
      <c r="C854" s="17" t="s">
        <v>978</v>
      </c>
      <c r="D854" s="17" t="str">
        <f>vlookup(C854,'1. 신청자리스트'!J:N,2,false)</f>
        <v>정상</v>
      </c>
      <c r="E854" s="17"/>
      <c r="F854" s="17" t="s">
        <v>978</v>
      </c>
      <c r="G854" s="18">
        <v>70000.0</v>
      </c>
      <c r="H854" s="19" t="s">
        <v>3939</v>
      </c>
      <c r="I854" s="20"/>
      <c r="J854" s="20"/>
      <c r="K854" s="20"/>
      <c r="L854" s="21"/>
      <c r="M854" s="22"/>
      <c r="N854" s="22"/>
      <c r="O854" s="22"/>
      <c r="P854" s="22"/>
      <c r="Q854" s="22"/>
      <c r="R854" s="22"/>
      <c r="S854" s="22"/>
      <c r="T854" s="23"/>
    </row>
    <row r="855">
      <c r="A855" s="24" t="s">
        <v>4375</v>
      </c>
      <c r="B855" s="25" t="s">
        <v>3935</v>
      </c>
      <c r="C855" s="17" t="s">
        <v>555</v>
      </c>
      <c r="D855" s="17" t="str">
        <f>vlookup(C855,'1. 신청자리스트'!J:N,2,false)</f>
        <v>정상</v>
      </c>
      <c r="E855" s="25"/>
      <c r="F855" s="25" t="s">
        <v>4376</v>
      </c>
      <c r="G855" s="26">
        <v>35000.0</v>
      </c>
      <c r="H855" s="27" t="s">
        <v>3946</v>
      </c>
      <c r="I855" s="28"/>
      <c r="J855" s="28"/>
      <c r="K855" s="28"/>
      <c r="L855" s="29"/>
      <c r="M855" s="22"/>
      <c r="N855" s="22"/>
      <c r="O855" s="22"/>
      <c r="P855" s="22"/>
      <c r="Q855" s="22"/>
      <c r="R855" s="22"/>
      <c r="S855" s="22"/>
      <c r="T855" s="23"/>
    </row>
    <row r="856">
      <c r="A856" s="24" t="s">
        <v>3942</v>
      </c>
      <c r="B856" s="25" t="s">
        <v>3932</v>
      </c>
      <c r="C856" s="17" t="s">
        <v>0</v>
      </c>
      <c r="D856" s="17" t="str">
        <f>vlookup(C856,'1. 신청자리스트'!J:N,2,false)</f>
        <v>중복</v>
      </c>
      <c r="E856" s="25"/>
      <c r="F856" s="25" t="s">
        <v>2794</v>
      </c>
      <c r="G856" s="26">
        <v>35000.0</v>
      </c>
      <c r="H856" s="27" t="s">
        <v>4377</v>
      </c>
      <c r="I856" s="28"/>
      <c r="J856" s="28"/>
      <c r="K856" s="28"/>
      <c r="L856" s="29"/>
      <c r="M856" s="25"/>
      <c r="N856" s="22"/>
      <c r="O856" s="22"/>
      <c r="P856" s="22"/>
      <c r="Q856" s="22"/>
      <c r="R856" s="22"/>
      <c r="S856" s="22"/>
      <c r="T856" s="23"/>
    </row>
    <row r="857">
      <c r="A857" s="16" t="s">
        <v>4134</v>
      </c>
      <c r="B857" s="17" t="s">
        <v>3932</v>
      </c>
      <c r="C857" s="17" t="s">
        <v>0</v>
      </c>
      <c r="D857" s="17" t="str">
        <f>vlookup(C857,'1. 신청자리스트'!J:N,2,false)</f>
        <v>중복</v>
      </c>
      <c r="E857" s="17"/>
      <c r="F857" s="17" t="s">
        <v>0</v>
      </c>
      <c r="G857" s="18">
        <v>35000.0</v>
      </c>
      <c r="H857" s="19" t="s">
        <v>4377</v>
      </c>
      <c r="I857" s="20"/>
      <c r="J857" s="20"/>
      <c r="K857" s="20"/>
      <c r="L857" s="21"/>
      <c r="M857" s="25"/>
      <c r="N857" s="22"/>
      <c r="O857" s="22"/>
      <c r="P857" s="22"/>
      <c r="Q857" s="22"/>
      <c r="R857" s="22"/>
      <c r="S857" s="22"/>
      <c r="T857" s="23"/>
    </row>
    <row r="858">
      <c r="A858" s="24" t="s">
        <v>3985</v>
      </c>
      <c r="B858" s="25" t="s">
        <v>3935</v>
      </c>
      <c r="C858" s="17" t="s">
        <v>562</v>
      </c>
      <c r="D858" s="17" t="str">
        <f>vlookup(C858,'1. 신청자리스트'!J:N,2,false)</f>
        <v>중복</v>
      </c>
      <c r="E858" s="25"/>
      <c r="F858" s="25" t="s">
        <v>1115</v>
      </c>
      <c r="G858" s="26">
        <v>70000.0</v>
      </c>
      <c r="H858" s="27" t="s">
        <v>3983</v>
      </c>
      <c r="I858" s="28"/>
      <c r="J858" s="28"/>
      <c r="K858" s="28"/>
      <c r="L858" s="29"/>
      <c r="M858" s="25"/>
      <c r="N858" s="22"/>
      <c r="O858" s="22"/>
      <c r="P858" s="22"/>
      <c r="Q858" s="22"/>
      <c r="R858" s="22"/>
      <c r="S858" s="22"/>
      <c r="T858" s="23"/>
    </row>
    <row r="859">
      <c r="A859" s="16" t="s">
        <v>3938</v>
      </c>
      <c r="B859" s="17" t="s">
        <v>3935</v>
      </c>
      <c r="C859" s="17" t="s">
        <v>562</v>
      </c>
      <c r="D859" s="17" t="str">
        <f>vlookup(C859,'1. 신청자리스트'!J:N,2,false)</f>
        <v>중복</v>
      </c>
      <c r="E859" s="17"/>
      <c r="F859" s="17" t="s">
        <v>562</v>
      </c>
      <c r="G859" s="18">
        <v>70000.0</v>
      </c>
      <c r="H859" s="19" t="s">
        <v>3983</v>
      </c>
      <c r="I859" s="20"/>
      <c r="J859" s="20"/>
      <c r="K859" s="20"/>
      <c r="L859" s="21"/>
      <c r="M859" s="22"/>
      <c r="N859" s="22"/>
      <c r="O859" s="22"/>
      <c r="P859" s="22"/>
      <c r="Q859" s="22"/>
      <c r="R859" s="22"/>
      <c r="S859" s="22"/>
      <c r="T859" s="23"/>
    </row>
    <row r="860">
      <c r="A860" s="16" t="s">
        <v>3942</v>
      </c>
      <c r="B860" s="17" t="s">
        <v>3935</v>
      </c>
      <c r="C860" s="17" t="s">
        <v>570</v>
      </c>
      <c r="D860" s="17" t="str">
        <f>vlookup(C860,'1. 신청자리스트'!J:N,2,false)</f>
        <v>중복</v>
      </c>
      <c r="E860" s="17"/>
      <c r="F860" s="17" t="s">
        <v>570</v>
      </c>
      <c r="G860" s="18">
        <v>70000.0</v>
      </c>
      <c r="H860" s="19" t="s">
        <v>3952</v>
      </c>
      <c r="I860" s="20"/>
      <c r="J860" s="20"/>
      <c r="K860" s="20"/>
      <c r="L860" s="21"/>
      <c r="M860" s="22"/>
      <c r="N860" s="22"/>
      <c r="O860" s="22"/>
      <c r="P860" s="22"/>
      <c r="Q860" s="22"/>
      <c r="R860" s="22"/>
      <c r="S860" s="22"/>
      <c r="T860" s="23"/>
    </row>
    <row r="861">
      <c r="A861" s="24" t="s">
        <v>3985</v>
      </c>
      <c r="B861" s="25" t="s">
        <v>3935</v>
      </c>
      <c r="C861" s="25" t="s">
        <v>570</v>
      </c>
      <c r="D861" s="17" t="str">
        <f>vlookup(C861,'1. 신청자리스트'!J:N,2,false)</f>
        <v>중복</v>
      </c>
      <c r="E861" s="17" t="str">
        <f>if(vlookup(C861,'문의'!D:D,1,false)=C861,"있음")</f>
        <v>#N/A</v>
      </c>
      <c r="F861" s="25" t="s">
        <v>1253</v>
      </c>
      <c r="G861" s="26">
        <v>70000.0</v>
      </c>
      <c r="H861" s="27" t="s">
        <v>3941</v>
      </c>
      <c r="I861" s="28"/>
      <c r="J861" s="28"/>
      <c r="K861" s="45" t="s">
        <v>4378</v>
      </c>
      <c r="L861" s="29"/>
      <c r="M861" s="25"/>
      <c r="N861" s="22"/>
      <c r="O861" s="22"/>
      <c r="P861" s="22"/>
      <c r="Q861" s="22"/>
      <c r="R861" s="22"/>
      <c r="S861" s="22"/>
      <c r="T861" s="23"/>
    </row>
    <row r="862">
      <c r="A862" s="24" t="s">
        <v>4200</v>
      </c>
      <c r="B862" s="25" t="s">
        <v>3932</v>
      </c>
      <c r="C862" s="25" t="s">
        <v>23</v>
      </c>
      <c r="D862" s="17" t="str">
        <f>vlookup(C862,'1. 신청자리스트'!J:N,2,false)</f>
        <v>중복</v>
      </c>
      <c r="E862" s="25"/>
      <c r="F862" s="25" t="s">
        <v>4379</v>
      </c>
      <c r="G862" s="26">
        <v>35000.0</v>
      </c>
      <c r="H862" s="27" t="s">
        <v>4380</v>
      </c>
      <c r="I862" s="28"/>
      <c r="J862" s="28"/>
      <c r="K862" s="28"/>
      <c r="L862" s="29"/>
      <c r="M862" s="22"/>
      <c r="N862" s="22"/>
      <c r="O862" s="22"/>
      <c r="P862" s="22"/>
      <c r="Q862" s="22"/>
      <c r="R862" s="22"/>
      <c r="S862" s="22"/>
      <c r="T862" s="23"/>
    </row>
    <row r="863">
      <c r="A863" s="24" t="s">
        <v>3938</v>
      </c>
      <c r="B863" s="25" t="s">
        <v>3932</v>
      </c>
      <c r="C863" s="25" t="s">
        <v>23</v>
      </c>
      <c r="D863" s="17" t="str">
        <f>vlookup(C863,'1. 신청자리스트'!J:N,2,false)</f>
        <v>중복</v>
      </c>
      <c r="E863" s="25"/>
      <c r="F863" s="25" t="s">
        <v>2796</v>
      </c>
      <c r="G863" s="26">
        <v>35000.0</v>
      </c>
      <c r="H863" s="27" t="s">
        <v>4380</v>
      </c>
      <c r="I863" s="28"/>
      <c r="J863" s="28"/>
      <c r="K863" s="28"/>
      <c r="L863" s="29"/>
      <c r="M863" s="25"/>
      <c r="N863" s="22"/>
      <c r="O863" s="22"/>
      <c r="P863" s="22"/>
      <c r="Q863" s="22"/>
      <c r="R863" s="22"/>
      <c r="S863" s="22"/>
      <c r="T863" s="23"/>
    </row>
    <row r="864">
      <c r="A864" s="24" t="s">
        <v>4381</v>
      </c>
      <c r="B864" s="25" t="s">
        <v>3935</v>
      </c>
      <c r="C864" s="25" t="s">
        <v>24</v>
      </c>
      <c r="D864" s="17" t="str">
        <f>vlookup(C864,'1. 신청자리스트'!J:N,2,false)</f>
        <v>중복</v>
      </c>
      <c r="E864" s="25"/>
      <c r="F864" s="25" t="s">
        <v>2798</v>
      </c>
      <c r="G864" s="26">
        <v>35000.0</v>
      </c>
      <c r="H864" s="27" t="s">
        <v>4270</v>
      </c>
      <c r="I864" s="28"/>
      <c r="J864" s="28"/>
      <c r="K864" s="28"/>
      <c r="L864" s="29"/>
      <c r="M864" s="22"/>
      <c r="N864" s="22"/>
      <c r="O864" s="22"/>
      <c r="P864" s="22"/>
      <c r="Q864" s="22"/>
      <c r="R864" s="22"/>
      <c r="S864" s="22"/>
      <c r="T864" s="23"/>
    </row>
    <row r="865">
      <c r="A865" s="24" t="s">
        <v>3942</v>
      </c>
      <c r="B865" s="25" t="s">
        <v>3935</v>
      </c>
      <c r="C865" s="25" t="s">
        <v>24</v>
      </c>
      <c r="D865" s="17" t="str">
        <f>vlookup(C865,'1. 신청자리스트'!J:N,2,false)</f>
        <v>중복</v>
      </c>
      <c r="E865" s="25"/>
      <c r="F865" s="25" t="s">
        <v>2798</v>
      </c>
      <c r="G865" s="26">
        <v>35000.0</v>
      </c>
      <c r="H865" s="27" t="s">
        <v>4270</v>
      </c>
      <c r="I865" s="28"/>
      <c r="J865" s="28"/>
      <c r="K865" s="28"/>
      <c r="L865" s="29"/>
      <c r="M865" s="25"/>
      <c r="N865" s="22"/>
      <c r="O865" s="22"/>
      <c r="P865" s="22"/>
      <c r="Q865" s="22"/>
      <c r="R865" s="22"/>
      <c r="S865" s="22"/>
      <c r="T865" s="23"/>
    </row>
    <row r="866">
      <c r="A866" s="24" t="s">
        <v>3942</v>
      </c>
      <c r="B866" s="25" t="s">
        <v>3932</v>
      </c>
      <c r="C866" s="17" t="s">
        <v>29</v>
      </c>
      <c r="D866" s="17" t="str">
        <f>vlookup(C866,'1. 신청자리스트'!J:N,2,false)</f>
        <v>중복</v>
      </c>
      <c r="E866" s="25"/>
      <c r="F866" s="25" t="s">
        <v>2800</v>
      </c>
      <c r="G866" s="26">
        <v>35000.0</v>
      </c>
      <c r="H866" s="27" t="s">
        <v>4382</v>
      </c>
      <c r="I866" s="28"/>
      <c r="J866" s="28"/>
      <c r="K866" s="28"/>
      <c r="L866" s="29"/>
      <c r="M866" s="25"/>
      <c r="N866" s="22"/>
      <c r="O866" s="22"/>
      <c r="P866" s="22"/>
      <c r="Q866" s="22"/>
      <c r="R866" s="22"/>
      <c r="S866" s="22"/>
      <c r="T866" s="23"/>
    </row>
    <row r="867">
      <c r="A867" s="16" t="s">
        <v>3985</v>
      </c>
      <c r="B867" s="17" t="s">
        <v>3932</v>
      </c>
      <c r="C867" s="17" t="s">
        <v>29</v>
      </c>
      <c r="D867" s="17" t="str">
        <f>vlookup(C867,'1. 신청자리스트'!J:N,2,false)</f>
        <v>중복</v>
      </c>
      <c r="E867" s="17"/>
      <c r="F867" s="17" t="s">
        <v>29</v>
      </c>
      <c r="G867" s="18">
        <v>35000.0</v>
      </c>
      <c r="H867" s="19" t="s">
        <v>4382</v>
      </c>
      <c r="I867" s="20"/>
      <c r="J867" s="20"/>
      <c r="K867" s="20"/>
      <c r="L867" s="21"/>
      <c r="M867" s="22"/>
      <c r="N867" s="22"/>
      <c r="O867" s="22"/>
      <c r="P867" s="22"/>
      <c r="Q867" s="22"/>
      <c r="R867" s="22"/>
      <c r="S867" s="22"/>
      <c r="T867" s="23"/>
    </row>
    <row r="868">
      <c r="A868" s="24" t="s">
        <v>3940</v>
      </c>
      <c r="B868" s="25" t="s">
        <v>3935</v>
      </c>
      <c r="C868" s="17" t="s">
        <v>36</v>
      </c>
      <c r="D868" s="17" t="str">
        <f>vlookup(C868,'1. 신청자리스트'!J:N,2,false)</f>
        <v>중복</v>
      </c>
      <c r="E868" s="25"/>
      <c r="F868" s="25" t="s">
        <v>2802</v>
      </c>
      <c r="G868" s="26">
        <v>35000.0</v>
      </c>
      <c r="H868" s="27" t="s">
        <v>3948</v>
      </c>
      <c r="I868" s="28"/>
      <c r="J868" s="28"/>
      <c r="K868" s="28"/>
      <c r="L868" s="29"/>
      <c r="M868" s="22"/>
      <c r="N868" s="22"/>
      <c r="O868" s="22"/>
      <c r="P868" s="22"/>
      <c r="Q868" s="22"/>
      <c r="R868" s="22"/>
      <c r="S868" s="22"/>
      <c r="T868" s="23"/>
    </row>
    <row r="869">
      <c r="A869" s="16" t="s">
        <v>4002</v>
      </c>
      <c r="B869" s="17" t="s">
        <v>3935</v>
      </c>
      <c r="C869" s="17" t="s">
        <v>36</v>
      </c>
      <c r="D869" s="17" t="str">
        <f>vlookup(C869,'1. 신청자리스트'!J:N,2,false)</f>
        <v>중복</v>
      </c>
      <c r="E869" s="17"/>
      <c r="F869" s="17" t="s">
        <v>36</v>
      </c>
      <c r="G869" s="18">
        <v>35000.0</v>
      </c>
      <c r="H869" s="19" t="s">
        <v>3948</v>
      </c>
      <c r="I869" s="20"/>
      <c r="J869" s="20"/>
      <c r="K869" s="20"/>
      <c r="L869" s="21"/>
      <c r="M869" s="25"/>
      <c r="N869" s="22"/>
      <c r="O869" s="22"/>
      <c r="P869" s="22"/>
      <c r="Q869" s="22"/>
      <c r="R869" s="22"/>
      <c r="S869" s="22"/>
      <c r="T869" s="23"/>
    </row>
    <row r="870">
      <c r="A870" s="24" t="s">
        <v>3942</v>
      </c>
      <c r="B870" s="25" t="s">
        <v>3935</v>
      </c>
      <c r="C870" s="17" t="s">
        <v>574</v>
      </c>
      <c r="D870" s="17" t="str">
        <f>vlookup(C870,'1. 신청자리스트'!J:N,2,false)</f>
        <v>중복</v>
      </c>
      <c r="E870" s="25"/>
      <c r="F870" s="25" t="s">
        <v>1228</v>
      </c>
      <c r="G870" s="26">
        <v>70000.0</v>
      </c>
      <c r="H870" s="27" t="s">
        <v>3948</v>
      </c>
      <c r="I870" s="28"/>
      <c r="J870" s="28"/>
      <c r="K870" s="28"/>
      <c r="L870" s="29"/>
      <c r="M870" s="25"/>
      <c r="N870" s="22"/>
      <c r="O870" s="22"/>
      <c r="P870" s="22"/>
      <c r="Q870" s="22"/>
      <c r="R870" s="22"/>
      <c r="S870" s="22"/>
      <c r="T870" s="23"/>
    </row>
    <row r="871">
      <c r="A871" s="16" t="s">
        <v>4383</v>
      </c>
      <c r="B871" s="17" t="s">
        <v>3935</v>
      </c>
      <c r="C871" s="17" t="s">
        <v>574</v>
      </c>
      <c r="D871" s="17" t="str">
        <f>vlookup(C871,'1. 신청자리스트'!J:N,2,false)</f>
        <v>중복</v>
      </c>
      <c r="E871" s="17"/>
      <c r="F871" s="17" t="s">
        <v>574</v>
      </c>
      <c r="G871" s="18">
        <v>70000.0</v>
      </c>
      <c r="H871" s="19" t="s">
        <v>3948</v>
      </c>
      <c r="I871" s="28"/>
      <c r="J871" s="28"/>
      <c r="K871" s="28"/>
      <c r="L871" s="29"/>
      <c r="M871" s="22"/>
      <c r="N871" s="22"/>
      <c r="O871" s="22"/>
      <c r="P871" s="22"/>
      <c r="Q871" s="22"/>
      <c r="R871" s="22"/>
      <c r="S871" s="22"/>
      <c r="T871" s="23"/>
    </row>
    <row r="872">
      <c r="A872" s="24" t="s">
        <v>4071</v>
      </c>
      <c r="B872" s="25" t="s">
        <v>3935</v>
      </c>
      <c r="C872" s="17" t="s">
        <v>38</v>
      </c>
      <c r="D872" s="17" t="str">
        <f>vlookup(C872,'1. 신청자리스트'!J:N,2,false)</f>
        <v>중복</v>
      </c>
      <c r="E872" s="25"/>
      <c r="F872" s="25" t="s">
        <v>2765</v>
      </c>
      <c r="G872" s="26">
        <v>35000.0</v>
      </c>
      <c r="H872" s="27" t="s">
        <v>3983</v>
      </c>
      <c r="I872" s="28"/>
      <c r="J872" s="28"/>
      <c r="K872" s="28"/>
      <c r="L872" s="29"/>
      <c r="M872" s="25"/>
      <c r="N872" s="22"/>
      <c r="O872" s="22"/>
      <c r="P872" s="22"/>
      <c r="Q872" s="22"/>
      <c r="R872" s="22"/>
      <c r="S872" s="22"/>
      <c r="T872" s="23"/>
    </row>
    <row r="873">
      <c r="A873" s="16" t="s">
        <v>4026</v>
      </c>
      <c r="B873" s="17" t="s">
        <v>3935</v>
      </c>
      <c r="C873" s="17" t="s">
        <v>38</v>
      </c>
      <c r="D873" s="17" t="str">
        <f>vlookup(C873,'1. 신청자리스트'!J:N,2,false)</f>
        <v>중복</v>
      </c>
      <c r="E873" s="17"/>
      <c r="F873" s="17" t="s">
        <v>38</v>
      </c>
      <c r="G873" s="18">
        <v>35000.0</v>
      </c>
      <c r="H873" s="19" t="s">
        <v>3983</v>
      </c>
      <c r="I873" s="20"/>
      <c r="J873" s="20"/>
      <c r="K873" s="20"/>
      <c r="L873" s="21"/>
      <c r="M873" s="22"/>
      <c r="N873" s="22"/>
      <c r="O873" s="22"/>
      <c r="P873" s="22"/>
      <c r="Q873" s="22"/>
      <c r="R873" s="22"/>
      <c r="S873" s="22"/>
      <c r="T873" s="23"/>
    </row>
    <row r="874">
      <c r="A874" s="16" t="s">
        <v>4030</v>
      </c>
      <c r="B874" s="17" t="s">
        <v>3935</v>
      </c>
      <c r="C874" s="17" t="s">
        <v>38</v>
      </c>
      <c r="D874" s="17" t="str">
        <f>vlookup(C874,'1. 신청자리스트'!J:N,2,false)</f>
        <v>중복</v>
      </c>
      <c r="E874" s="17"/>
      <c r="F874" s="17" t="s">
        <v>38</v>
      </c>
      <c r="G874" s="18">
        <v>35000.0</v>
      </c>
      <c r="H874" s="19" t="s">
        <v>3983</v>
      </c>
      <c r="I874" s="20"/>
      <c r="J874" s="20"/>
      <c r="K874" s="20"/>
      <c r="L874" s="21"/>
      <c r="M874" s="25"/>
      <c r="N874" s="22"/>
      <c r="O874" s="22"/>
      <c r="P874" s="22"/>
      <c r="Q874" s="22"/>
      <c r="R874" s="22"/>
      <c r="S874" s="22"/>
      <c r="T874" s="23"/>
    </row>
    <row r="875">
      <c r="A875" s="24" t="s">
        <v>3985</v>
      </c>
      <c r="B875" s="25" t="s">
        <v>3935</v>
      </c>
      <c r="C875" s="17" t="s">
        <v>578</v>
      </c>
      <c r="D875" s="17" t="str">
        <f>vlookup(C875,'1. 신청자리스트'!J:N,2,false)</f>
        <v>중복</v>
      </c>
      <c r="E875" s="25"/>
      <c r="F875" s="25" t="s">
        <v>1152</v>
      </c>
      <c r="G875" s="26">
        <v>70000.0</v>
      </c>
      <c r="H875" s="27" t="s">
        <v>3983</v>
      </c>
      <c r="I875" s="28"/>
      <c r="J875" s="28"/>
      <c r="K875" s="28"/>
      <c r="L875" s="29"/>
      <c r="M875" s="25"/>
      <c r="N875" s="22"/>
      <c r="O875" s="22"/>
      <c r="P875" s="22"/>
      <c r="Q875" s="22"/>
      <c r="R875" s="22"/>
      <c r="S875" s="22"/>
      <c r="T875" s="23"/>
    </row>
    <row r="876">
      <c r="A876" s="16" t="s">
        <v>3998</v>
      </c>
      <c r="B876" s="17" t="s">
        <v>3935</v>
      </c>
      <c r="C876" s="17" t="s">
        <v>578</v>
      </c>
      <c r="D876" s="17" t="str">
        <f>vlookup(C876,'1. 신청자리스트'!J:N,2,false)</f>
        <v>중복</v>
      </c>
      <c r="E876" s="17"/>
      <c r="F876" s="17" t="s">
        <v>578</v>
      </c>
      <c r="G876" s="18">
        <v>70000.0</v>
      </c>
      <c r="H876" s="19" t="s">
        <v>3983</v>
      </c>
      <c r="I876" s="20"/>
      <c r="J876" s="20"/>
      <c r="K876" s="20"/>
      <c r="L876" s="21"/>
      <c r="M876" s="22"/>
      <c r="N876" s="22"/>
      <c r="O876" s="22"/>
      <c r="P876" s="22"/>
      <c r="Q876" s="22"/>
      <c r="R876" s="22"/>
      <c r="S876" s="22"/>
      <c r="T876" s="23"/>
    </row>
    <row r="877">
      <c r="A877" s="16" t="s">
        <v>3962</v>
      </c>
      <c r="B877" s="17" t="s">
        <v>3932</v>
      </c>
      <c r="C877" s="17" t="s">
        <v>579</v>
      </c>
      <c r="D877" s="17" t="str">
        <f>vlookup(C877,'1. 신청자리스트'!J:N,2,false)</f>
        <v>중복</v>
      </c>
      <c r="E877" s="17"/>
      <c r="F877" s="17" t="s">
        <v>579</v>
      </c>
      <c r="G877" s="18">
        <v>35000.0</v>
      </c>
      <c r="H877" s="19" t="s">
        <v>4384</v>
      </c>
      <c r="I877" s="20"/>
      <c r="J877" s="20"/>
      <c r="K877" s="20"/>
      <c r="L877" s="21"/>
      <c r="M877" s="22"/>
      <c r="N877" s="22"/>
      <c r="O877" s="22"/>
      <c r="P877" s="22"/>
      <c r="Q877" s="22"/>
      <c r="R877" s="22"/>
      <c r="S877" s="22"/>
      <c r="T877" s="23"/>
    </row>
    <row r="878">
      <c r="A878" s="16" t="s">
        <v>3938</v>
      </c>
      <c r="B878" s="17" t="s">
        <v>3932</v>
      </c>
      <c r="C878" s="17" t="s">
        <v>579</v>
      </c>
      <c r="D878" s="17" t="str">
        <f>vlookup(C878,'1. 신청자리스트'!J:N,2,false)</f>
        <v>중복</v>
      </c>
      <c r="E878" s="17"/>
      <c r="F878" s="17" t="s">
        <v>579</v>
      </c>
      <c r="G878" s="18">
        <v>70000.0</v>
      </c>
      <c r="H878" s="19" t="s">
        <v>4384</v>
      </c>
      <c r="I878" s="20"/>
      <c r="J878" s="20"/>
      <c r="K878" s="20"/>
      <c r="L878" s="21"/>
      <c r="M878" s="22"/>
      <c r="N878" s="22"/>
      <c r="O878" s="22"/>
      <c r="P878" s="22"/>
      <c r="Q878" s="22"/>
      <c r="R878" s="22"/>
      <c r="S878" s="22"/>
      <c r="T878" s="23"/>
    </row>
    <row r="879">
      <c r="A879" s="24" t="s">
        <v>3942</v>
      </c>
      <c r="B879" s="25" t="s">
        <v>3932</v>
      </c>
      <c r="C879" s="25" t="s">
        <v>44</v>
      </c>
      <c r="D879" s="17" t="str">
        <f>vlookup(C879,'1. 신청자리스트'!J:N,2,false)</f>
        <v>중복</v>
      </c>
      <c r="E879" s="25"/>
      <c r="F879" s="25" t="s">
        <v>2630</v>
      </c>
      <c r="G879" s="26">
        <v>35000.0</v>
      </c>
      <c r="H879" s="27" t="s">
        <v>4385</v>
      </c>
      <c r="I879" s="28"/>
      <c r="J879" s="28"/>
      <c r="K879" s="28"/>
      <c r="L879" s="29"/>
      <c r="M879" s="22"/>
      <c r="N879" s="22"/>
      <c r="O879" s="22"/>
      <c r="P879" s="22"/>
      <c r="Q879" s="22"/>
      <c r="R879" s="22"/>
      <c r="S879" s="22"/>
      <c r="T879" s="23"/>
    </row>
    <row r="880">
      <c r="A880" s="16" t="s">
        <v>3962</v>
      </c>
      <c r="B880" s="17" t="s">
        <v>3932</v>
      </c>
      <c r="C880" s="17" t="s">
        <v>44</v>
      </c>
      <c r="D880" s="17" t="str">
        <f>vlookup(C880,'1. 신청자리스트'!J:N,2,false)</f>
        <v>중복</v>
      </c>
      <c r="E880" s="17"/>
      <c r="F880" s="17" t="s">
        <v>44</v>
      </c>
      <c r="G880" s="18">
        <v>35000.0</v>
      </c>
      <c r="H880" s="19" t="s">
        <v>4385</v>
      </c>
      <c r="I880" s="20"/>
      <c r="J880" s="20"/>
      <c r="K880" s="20"/>
      <c r="L880" s="21"/>
      <c r="M880" s="22"/>
      <c r="N880" s="22"/>
      <c r="O880" s="22"/>
      <c r="P880" s="22"/>
      <c r="Q880" s="22"/>
      <c r="R880" s="22"/>
      <c r="S880" s="22"/>
      <c r="T880" s="23"/>
    </row>
    <row r="881">
      <c r="A881" s="30" t="s">
        <v>4071</v>
      </c>
      <c r="B881" s="31" t="s">
        <v>3935</v>
      </c>
      <c r="C881" s="53" t="s">
        <v>584</v>
      </c>
      <c r="D881" s="17" t="str">
        <f>vlookup(C881,'1. 신청자리스트'!J:N,2,false)</f>
        <v>정상</v>
      </c>
      <c r="E881" s="31"/>
      <c r="F881" s="31" t="s">
        <v>4386</v>
      </c>
      <c r="G881" s="32">
        <v>35000.0</v>
      </c>
      <c r="H881" s="33" t="s">
        <v>3983</v>
      </c>
      <c r="I881" s="28"/>
      <c r="J881" s="28"/>
      <c r="K881" s="45"/>
      <c r="L881" s="29"/>
      <c r="M881" s="22"/>
      <c r="N881" s="22"/>
      <c r="O881" s="22"/>
      <c r="P881" s="22"/>
      <c r="Q881" s="22"/>
      <c r="R881" s="22"/>
      <c r="S881" s="22"/>
      <c r="T881" s="23"/>
    </row>
    <row r="882">
      <c r="A882" s="24" t="s">
        <v>4002</v>
      </c>
      <c r="B882" s="25" t="s">
        <v>3935</v>
      </c>
      <c r="C882" s="25" t="s">
        <v>584</v>
      </c>
      <c r="D882" s="17" t="str">
        <f>vlookup(C882,'1. 신청자리스트'!J:N,2,false)</f>
        <v>정상</v>
      </c>
      <c r="E882" s="25"/>
      <c r="F882" s="25" t="s">
        <v>584</v>
      </c>
      <c r="G882" s="26">
        <v>35000.0</v>
      </c>
      <c r="H882" s="27" t="s">
        <v>3983</v>
      </c>
      <c r="I882" s="28"/>
      <c r="J882" s="28"/>
      <c r="K882" s="28"/>
      <c r="L882" s="29"/>
      <c r="M882" s="22"/>
      <c r="N882" s="22"/>
      <c r="O882" s="22"/>
      <c r="P882" s="22"/>
      <c r="Q882" s="22"/>
      <c r="R882" s="22"/>
      <c r="S882" s="22"/>
      <c r="T882" s="23"/>
    </row>
    <row r="883">
      <c r="A883" s="16" t="s">
        <v>3940</v>
      </c>
      <c r="B883" s="17" t="s">
        <v>3935</v>
      </c>
      <c r="C883" s="17" t="s">
        <v>53</v>
      </c>
      <c r="D883" s="17" t="str">
        <f>vlookup(C883,'1. 신청자리스트'!J:N,2,false)</f>
        <v>중복</v>
      </c>
      <c r="E883" s="17"/>
      <c r="F883" s="17" t="s">
        <v>53</v>
      </c>
      <c r="G883" s="18">
        <v>35000.0</v>
      </c>
      <c r="H883" s="19" t="s">
        <v>3948</v>
      </c>
      <c r="I883" s="20"/>
      <c r="J883" s="20"/>
      <c r="K883" s="20"/>
      <c r="L883" s="21"/>
      <c r="M883" s="22"/>
      <c r="N883" s="22"/>
      <c r="O883" s="22"/>
      <c r="P883" s="22"/>
      <c r="Q883" s="22"/>
      <c r="R883" s="22"/>
      <c r="S883" s="22"/>
      <c r="T883" s="23"/>
    </row>
    <row r="884">
      <c r="A884" s="16" t="s">
        <v>3945</v>
      </c>
      <c r="B884" s="17" t="s">
        <v>3935</v>
      </c>
      <c r="C884" s="17" t="s">
        <v>53</v>
      </c>
      <c r="D884" s="17" t="str">
        <f>vlookup(C884,'1. 신청자리스트'!J:N,2,false)</f>
        <v>중복</v>
      </c>
      <c r="E884" s="17"/>
      <c r="F884" s="17" t="s">
        <v>53</v>
      </c>
      <c r="G884" s="18">
        <v>35000.0</v>
      </c>
      <c r="H884" s="19" t="s">
        <v>3946</v>
      </c>
      <c r="I884" s="20"/>
      <c r="J884" s="20"/>
      <c r="K884" s="20"/>
      <c r="L884" s="21"/>
      <c r="M884" s="22"/>
      <c r="N884" s="22"/>
      <c r="O884" s="22"/>
      <c r="P884" s="22"/>
      <c r="Q884" s="22"/>
      <c r="R884" s="22"/>
      <c r="S884" s="22"/>
      <c r="T884" s="23"/>
    </row>
    <row r="885">
      <c r="A885" s="24" t="s">
        <v>3949</v>
      </c>
      <c r="B885" s="25" t="s">
        <v>3932</v>
      </c>
      <c r="C885" s="25" t="s">
        <v>56</v>
      </c>
      <c r="D885" s="17" t="str">
        <f>vlookup(C885,'1. 신청자리스트'!J:N,2,false)</f>
        <v>중복</v>
      </c>
      <c r="E885" s="25"/>
      <c r="F885" s="25" t="s">
        <v>2807</v>
      </c>
      <c r="G885" s="26">
        <v>35000.0</v>
      </c>
      <c r="H885" s="27" t="s">
        <v>4387</v>
      </c>
      <c r="I885" s="28"/>
      <c r="J885" s="28"/>
      <c r="K885" s="28"/>
      <c r="L885" s="29"/>
      <c r="M885" s="22"/>
      <c r="N885" s="22"/>
      <c r="O885" s="22"/>
      <c r="P885" s="22"/>
      <c r="Q885" s="22"/>
      <c r="R885" s="22"/>
      <c r="S885" s="22"/>
      <c r="T885" s="23"/>
    </row>
    <row r="886">
      <c r="A886" s="16" t="s">
        <v>3940</v>
      </c>
      <c r="B886" s="17" t="s">
        <v>3932</v>
      </c>
      <c r="C886" s="17" t="s">
        <v>56</v>
      </c>
      <c r="D886" s="17" t="str">
        <f>vlookup(C886,'1. 신청자리스트'!J:N,2,false)</f>
        <v>중복</v>
      </c>
      <c r="E886" s="17"/>
      <c r="F886" s="17" t="s">
        <v>56</v>
      </c>
      <c r="G886" s="18">
        <v>35000.0</v>
      </c>
      <c r="H886" s="19" t="s">
        <v>4387</v>
      </c>
      <c r="I886" s="20"/>
      <c r="J886" s="20"/>
      <c r="K886" s="20"/>
      <c r="L886" s="21"/>
      <c r="M886" s="22"/>
      <c r="N886" s="22"/>
      <c r="O886" s="22"/>
      <c r="P886" s="22"/>
      <c r="Q886" s="22"/>
      <c r="R886" s="22"/>
      <c r="S886" s="22"/>
      <c r="T886" s="23"/>
    </row>
    <row r="887">
      <c r="A887" s="24" t="s">
        <v>3955</v>
      </c>
      <c r="B887" s="25" t="s">
        <v>3935</v>
      </c>
      <c r="C887" s="25" t="s">
        <v>58</v>
      </c>
      <c r="D887" s="17" t="str">
        <f>vlookup(C887,'1. 신청자리스트'!J:N,2,false)</f>
        <v>중복</v>
      </c>
      <c r="E887" s="25"/>
      <c r="F887" s="25" t="s">
        <v>2809</v>
      </c>
      <c r="G887" s="26">
        <v>35000.0</v>
      </c>
      <c r="H887" s="27" t="s">
        <v>3952</v>
      </c>
      <c r="I887" s="28"/>
      <c r="J887" s="28"/>
      <c r="K887" s="28"/>
      <c r="L887" s="29"/>
      <c r="M887" s="22"/>
      <c r="N887" s="22"/>
      <c r="O887" s="22"/>
      <c r="P887" s="22"/>
      <c r="Q887" s="22"/>
      <c r="R887" s="22"/>
      <c r="S887" s="22"/>
      <c r="T887" s="23"/>
    </row>
    <row r="888">
      <c r="A888" s="16" t="s">
        <v>4071</v>
      </c>
      <c r="B888" s="17" t="s">
        <v>3935</v>
      </c>
      <c r="C888" s="17" t="s">
        <v>58</v>
      </c>
      <c r="D888" s="17" t="str">
        <f>vlookup(C888,'1. 신청자리스트'!J:N,2,false)</f>
        <v>중복</v>
      </c>
      <c r="E888" s="17"/>
      <c r="F888" s="17" t="s">
        <v>4388</v>
      </c>
      <c r="G888" s="18">
        <v>35000.0</v>
      </c>
      <c r="H888" s="19" t="s">
        <v>3952</v>
      </c>
      <c r="I888" s="20"/>
      <c r="J888" s="20"/>
      <c r="K888" s="20"/>
      <c r="L888" s="21"/>
      <c r="M888" s="22"/>
      <c r="N888" s="22"/>
      <c r="O888" s="22"/>
      <c r="P888" s="22"/>
      <c r="Q888" s="22"/>
      <c r="R888" s="22"/>
      <c r="S888" s="22"/>
      <c r="T888" s="23"/>
    </row>
    <row r="889">
      <c r="A889" s="16" t="s">
        <v>3940</v>
      </c>
      <c r="B889" s="17" t="s">
        <v>3943</v>
      </c>
      <c r="C889" s="17" t="s">
        <v>60</v>
      </c>
      <c r="D889" s="17" t="str">
        <f>vlookup(C889,'1. 신청자리스트'!J:N,2,false)</f>
        <v>중복</v>
      </c>
      <c r="E889" s="17"/>
      <c r="F889" s="17" t="s">
        <v>60</v>
      </c>
      <c r="G889" s="18">
        <v>35000.0</v>
      </c>
      <c r="H889" s="19" t="s">
        <v>3944</v>
      </c>
      <c r="I889" s="20"/>
      <c r="J889" s="20"/>
      <c r="K889" s="20"/>
      <c r="L889" s="21"/>
      <c r="M889" s="22"/>
      <c r="N889" s="22"/>
      <c r="O889" s="22"/>
      <c r="P889" s="22"/>
      <c r="Q889" s="22"/>
      <c r="R889" s="22"/>
      <c r="S889" s="22"/>
      <c r="T889" s="23"/>
    </row>
    <row r="890">
      <c r="A890" s="24" t="s">
        <v>3942</v>
      </c>
      <c r="B890" s="25" t="s">
        <v>3943</v>
      </c>
      <c r="C890" s="25" t="s">
        <v>60</v>
      </c>
      <c r="D890" s="17" t="str">
        <f>vlookup(C890,'1. 신청자리스트'!J:N,2,false)</f>
        <v>중복</v>
      </c>
      <c r="E890" s="17"/>
      <c r="F890" s="25" t="s">
        <v>4389</v>
      </c>
      <c r="G890" s="26">
        <v>35000.0</v>
      </c>
      <c r="H890" s="27" t="s">
        <v>3944</v>
      </c>
      <c r="I890" s="28"/>
      <c r="J890" s="28"/>
      <c r="K890" s="28"/>
      <c r="L890" s="29"/>
      <c r="M890" s="22"/>
      <c r="N890" s="22"/>
      <c r="O890" s="22"/>
      <c r="P890" s="22"/>
      <c r="Q890" s="22"/>
      <c r="R890" s="22"/>
      <c r="S890" s="22"/>
      <c r="T890" s="23"/>
    </row>
    <row r="891">
      <c r="A891" s="16" t="s">
        <v>3955</v>
      </c>
      <c r="B891" s="17" t="s">
        <v>3943</v>
      </c>
      <c r="C891" s="17" t="s">
        <v>63</v>
      </c>
      <c r="D891" s="17" t="str">
        <f>vlookup(C891,'1. 신청자리스트'!J:N,2,false)</f>
        <v>중복</v>
      </c>
      <c r="E891" s="17"/>
      <c r="F891" s="17" t="s">
        <v>63</v>
      </c>
      <c r="G891" s="18">
        <v>35000.0</v>
      </c>
      <c r="H891" s="19" t="s">
        <v>3944</v>
      </c>
      <c r="I891" s="20"/>
      <c r="J891" s="20"/>
      <c r="K891" s="20"/>
      <c r="L891" s="21"/>
      <c r="M891" s="22"/>
      <c r="N891" s="22"/>
      <c r="O891" s="22"/>
      <c r="P891" s="22"/>
      <c r="Q891" s="22"/>
      <c r="R891" s="22"/>
      <c r="S891" s="22"/>
      <c r="T891" s="23"/>
    </row>
    <row r="892">
      <c r="A892" s="24" t="s">
        <v>3942</v>
      </c>
      <c r="B892" s="25" t="s">
        <v>3943</v>
      </c>
      <c r="C892" s="25" t="s">
        <v>63</v>
      </c>
      <c r="D892" s="17" t="str">
        <f>vlookup(C892,'1. 신청자리스트'!J:N,2,false)</f>
        <v>중복</v>
      </c>
      <c r="E892" s="17" t="str">
        <f>if(vlookup(C892,'문의'!D:D,1,false)=C892,"있음")</f>
        <v>있음</v>
      </c>
      <c r="F892" s="25" t="s">
        <v>4390</v>
      </c>
      <c r="G892" s="26">
        <v>35000.0</v>
      </c>
      <c r="H892" s="27" t="s">
        <v>3944</v>
      </c>
      <c r="I892" s="28"/>
      <c r="J892" s="28"/>
      <c r="K892" s="28"/>
      <c r="L892" s="29"/>
      <c r="M892" s="22"/>
      <c r="N892" s="22"/>
      <c r="O892" s="22"/>
      <c r="P892" s="22"/>
      <c r="Q892" s="22"/>
      <c r="R892" s="22"/>
      <c r="S892" s="22"/>
      <c r="T892" s="23"/>
    </row>
    <row r="893">
      <c r="A893" s="24" t="s">
        <v>4391</v>
      </c>
      <c r="B893" s="25" t="s">
        <v>3935</v>
      </c>
      <c r="C893" s="25" t="s">
        <v>64</v>
      </c>
      <c r="D893" s="17" t="str">
        <f>vlookup(C893,'1. 신청자리스트'!J:N,2,false)</f>
        <v>중복</v>
      </c>
      <c r="E893" s="25"/>
      <c r="F893" s="25" t="s">
        <v>4392</v>
      </c>
      <c r="G893" s="26">
        <v>35000.0</v>
      </c>
      <c r="H893" s="27" t="s">
        <v>3948</v>
      </c>
      <c r="I893" s="28"/>
      <c r="J893" s="28"/>
      <c r="K893" s="28"/>
      <c r="L893" s="29"/>
      <c r="M893" s="22"/>
      <c r="N893" s="22"/>
      <c r="O893" s="22"/>
      <c r="P893" s="22"/>
      <c r="Q893" s="22"/>
      <c r="R893" s="22"/>
      <c r="S893" s="22"/>
      <c r="T893" s="23"/>
    </row>
    <row r="894">
      <c r="A894" s="16" t="s">
        <v>3940</v>
      </c>
      <c r="B894" s="17" t="s">
        <v>3935</v>
      </c>
      <c r="C894" s="17" t="s">
        <v>64</v>
      </c>
      <c r="D894" s="17" t="str">
        <f>vlookup(C894,'1. 신청자리스트'!J:N,2,false)</f>
        <v>중복</v>
      </c>
      <c r="E894" s="17"/>
      <c r="F894" s="17" t="s">
        <v>64</v>
      </c>
      <c r="G894" s="18">
        <v>35000.0</v>
      </c>
      <c r="H894" s="19" t="s">
        <v>3948</v>
      </c>
      <c r="I894" s="28"/>
      <c r="J894" s="28"/>
      <c r="K894" s="28"/>
      <c r="L894" s="29"/>
      <c r="M894" s="22"/>
      <c r="N894" s="22"/>
      <c r="O894" s="22"/>
      <c r="P894" s="22"/>
      <c r="Q894" s="22"/>
      <c r="R894" s="22"/>
      <c r="S894" s="22"/>
      <c r="T894" s="23"/>
    </row>
    <row r="895">
      <c r="A895" s="24" t="s">
        <v>4030</v>
      </c>
      <c r="B895" s="25" t="s">
        <v>3935</v>
      </c>
      <c r="C895" s="25" t="s">
        <v>64</v>
      </c>
      <c r="D895" s="17" t="str">
        <f>vlookup(C895,'1. 신청자리스트'!J:N,2,false)</f>
        <v>중복</v>
      </c>
      <c r="E895" s="25"/>
      <c r="F895" s="25" t="s">
        <v>4393</v>
      </c>
      <c r="G895" s="26">
        <v>35000.0</v>
      </c>
      <c r="H895" s="27" t="s">
        <v>3948</v>
      </c>
      <c r="I895" s="28"/>
      <c r="J895" s="28"/>
      <c r="K895" s="28"/>
      <c r="L895" s="29"/>
      <c r="M895" s="22"/>
      <c r="N895" s="22"/>
      <c r="O895" s="22"/>
      <c r="P895" s="22"/>
      <c r="Q895" s="22"/>
      <c r="R895" s="22"/>
      <c r="S895" s="22"/>
      <c r="T895" s="23"/>
    </row>
    <row r="896">
      <c r="A896" s="24" t="s">
        <v>3942</v>
      </c>
      <c r="B896" s="25" t="s">
        <v>3935</v>
      </c>
      <c r="C896" s="25" t="s">
        <v>65</v>
      </c>
      <c r="D896" s="17" t="str">
        <f>vlookup(C896,'1. 신청자리스트'!J:N,2,false)</f>
        <v>중복</v>
      </c>
      <c r="E896" s="25"/>
      <c r="F896" s="25" t="s">
        <v>2815</v>
      </c>
      <c r="G896" s="26">
        <v>35000.0</v>
      </c>
      <c r="H896" s="27" t="s">
        <v>3983</v>
      </c>
      <c r="I896" s="28"/>
      <c r="J896" s="28"/>
      <c r="K896" s="28"/>
      <c r="L896" s="29"/>
      <c r="M896" s="22"/>
      <c r="N896" s="22"/>
      <c r="O896" s="22"/>
      <c r="P896" s="22"/>
      <c r="Q896" s="22"/>
      <c r="R896" s="22"/>
      <c r="S896" s="22"/>
      <c r="T896" s="23"/>
    </row>
    <row r="897">
      <c r="A897" s="16" t="s">
        <v>3955</v>
      </c>
      <c r="B897" s="17" t="s">
        <v>3935</v>
      </c>
      <c r="C897" s="17" t="s">
        <v>65</v>
      </c>
      <c r="D897" s="17" t="str">
        <f>vlookup(C897,'1. 신청자리스트'!J:N,2,false)</f>
        <v>중복</v>
      </c>
      <c r="E897" s="17"/>
      <c r="F897" s="17" t="s">
        <v>65</v>
      </c>
      <c r="G897" s="18">
        <v>35000.0</v>
      </c>
      <c r="H897" s="19" t="s">
        <v>3983</v>
      </c>
      <c r="I897" s="20"/>
      <c r="J897" s="20"/>
      <c r="K897" s="20"/>
      <c r="L897" s="21"/>
      <c r="M897" s="22"/>
      <c r="N897" s="22"/>
      <c r="O897" s="22"/>
      <c r="P897" s="22"/>
      <c r="Q897" s="22"/>
      <c r="R897" s="22"/>
      <c r="S897" s="22"/>
      <c r="T897" s="23"/>
    </row>
    <row r="898">
      <c r="A898" s="24" t="s">
        <v>4002</v>
      </c>
      <c r="B898" s="25" t="s">
        <v>3935</v>
      </c>
      <c r="C898" s="25" t="s">
        <v>67</v>
      </c>
      <c r="D898" s="17" t="str">
        <f>vlookup(C898,'1. 신청자리스트'!J:N,2,false)</f>
        <v>중복</v>
      </c>
      <c r="E898" s="25"/>
      <c r="F898" s="25" t="s">
        <v>2769</v>
      </c>
      <c r="G898" s="26">
        <v>70000.0</v>
      </c>
      <c r="H898" s="27" t="s">
        <v>3946</v>
      </c>
      <c r="I898" s="28"/>
      <c r="J898" s="28"/>
      <c r="K898" s="28"/>
      <c r="L898" s="29"/>
      <c r="M898" s="22"/>
      <c r="N898" s="22"/>
      <c r="O898" s="22"/>
      <c r="P898" s="22"/>
      <c r="Q898" s="22"/>
      <c r="R898" s="22"/>
      <c r="S898" s="22"/>
      <c r="T898" s="23"/>
    </row>
    <row r="899">
      <c r="A899" s="16" t="s">
        <v>4071</v>
      </c>
      <c r="B899" s="17" t="s">
        <v>3935</v>
      </c>
      <c r="C899" s="17" t="s">
        <v>67</v>
      </c>
      <c r="D899" s="17" t="str">
        <f>vlookup(C899,'1. 신청자리스트'!J:N,2,false)</f>
        <v>중복</v>
      </c>
      <c r="E899" s="17"/>
      <c r="F899" s="17" t="s">
        <v>67</v>
      </c>
      <c r="G899" s="18">
        <v>35000.0</v>
      </c>
      <c r="H899" s="19" t="s">
        <v>3946</v>
      </c>
      <c r="I899" s="20"/>
      <c r="J899" s="20"/>
      <c r="K899" s="20"/>
      <c r="L899" s="21"/>
      <c r="M899" s="22"/>
      <c r="N899" s="22"/>
      <c r="O899" s="22"/>
      <c r="P899" s="22"/>
      <c r="Q899" s="22"/>
      <c r="R899" s="22"/>
      <c r="S899" s="22"/>
      <c r="T899" s="23"/>
    </row>
    <row r="900">
      <c r="A900" s="24" t="s">
        <v>3989</v>
      </c>
      <c r="B900" s="25" t="s">
        <v>3935</v>
      </c>
      <c r="C900" s="25" t="s">
        <v>75</v>
      </c>
      <c r="D900" s="17" t="str">
        <f>vlookup(C900,'1. 신청자리스트'!J:N,2,false)</f>
        <v>중복</v>
      </c>
      <c r="E900" s="25"/>
      <c r="F900" s="25" t="s">
        <v>2817</v>
      </c>
      <c r="G900" s="26">
        <v>35000.0</v>
      </c>
      <c r="H900" s="27" t="s">
        <v>3948</v>
      </c>
      <c r="I900" s="28"/>
      <c r="J900" s="28"/>
      <c r="K900" s="28"/>
      <c r="L900" s="29"/>
      <c r="M900" s="22"/>
      <c r="N900" s="22"/>
      <c r="O900" s="22"/>
      <c r="P900" s="22"/>
      <c r="Q900" s="22"/>
      <c r="R900" s="22"/>
      <c r="S900" s="22"/>
      <c r="T900" s="23"/>
    </row>
    <row r="901">
      <c r="A901" s="16" t="s">
        <v>3940</v>
      </c>
      <c r="B901" s="17" t="s">
        <v>3935</v>
      </c>
      <c r="C901" s="17" t="s">
        <v>75</v>
      </c>
      <c r="D901" s="17" t="str">
        <f>vlookup(C901,'1. 신청자리스트'!J:N,2,false)</f>
        <v>중복</v>
      </c>
      <c r="E901" s="17"/>
      <c r="F901" s="17" t="s">
        <v>75</v>
      </c>
      <c r="G901" s="18">
        <v>35000.0</v>
      </c>
      <c r="H901" s="19" t="s">
        <v>3948</v>
      </c>
      <c r="I901" s="20"/>
      <c r="J901" s="20"/>
      <c r="K901" s="20"/>
      <c r="L901" s="21"/>
      <c r="M901" s="22"/>
      <c r="N901" s="22"/>
      <c r="O901" s="22"/>
      <c r="P901" s="22"/>
      <c r="Q901" s="22"/>
      <c r="R901" s="22"/>
      <c r="S901" s="22"/>
      <c r="T901" s="23"/>
    </row>
    <row r="902">
      <c r="A902" s="16" t="s">
        <v>3962</v>
      </c>
      <c r="B902" s="17" t="s">
        <v>3935</v>
      </c>
      <c r="C902" s="17" t="s">
        <v>611</v>
      </c>
      <c r="D902" s="17" t="str">
        <f>vlookup(C902,'1. 신청자리스트'!J:N,2,false)</f>
        <v>중복</v>
      </c>
      <c r="E902" s="17"/>
      <c r="F902" s="17" t="s">
        <v>4394</v>
      </c>
      <c r="G902" s="18">
        <v>70000.0</v>
      </c>
      <c r="H902" s="19" t="s">
        <v>3992</v>
      </c>
      <c r="I902" s="20"/>
      <c r="J902" s="20"/>
      <c r="K902" s="20"/>
      <c r="L902" s="21"/>
      <c r="M902" s="22"/>
      <c r="N902" s="22"/>
      <c r="O902" s="22"/>
      <c r="P902" s="22"/>
      <c r="Q902" s="22"/>
      <c r="R902" s="22"/>
      <c r="S902" s="22"/>
      <c r="T902" s="23"/>
    </row>
    <row r="903">
      <c r="A903" s="16" t="s">
        <v>3931</v>
      </c>
      <c r="B903" s="17" t="s">
        <v>3935</v>
      </c>
      <c r="C903" s="17" t="s">
        <v>611</v>
      </c>
      <c r="D903" s="17" t="str">
        <f>vlookup(C903,'1. 신청자리스트'!J:N,2,false)</f>
        <v>중복</v>
      </c>
      <c r="E903" s="17"/>
      <c r="F903" s="17" t="s">
        <v>611</v>
      </c>
      <c r="G903" s="18">
        <v>70000.0</v>
      </c>
      <c r="H903" s="19" t="s">
        <v>3948</v>
      </c>
      <c r="I903" s="20"/>
      <c r="J903" s="20"/>
      <c r="K903" s="20"/>
      <c r="L903" s="21"/>
      <c r="M903" s="22"/>
      <c r="N903" s="22"/>
      <c r="O903" s="22"/>
      <c r="P903" s="22"/>
      <c r="Q903" s="22"/>
      <c r="R903" s="22"/>
      <c r="S903" s="22"/>
      <c r="T903" s="23"/>
    </row>
    <row r="904">
      <c r="A904" s="24" t="s">
        <v>3940</v>
      </c>
      <c r="B904" s="25" t="s">
        <v>3935</v>
      </c>
      <c r="C904" s="25" t="s">
        <v>94</v>
      </c>
      <c r="D904" s="17" t="str">
        <f>vlookup(C904,'1. 신청자리스트'!J:N,2,false)</f>
        <v>중복</v>
      </c>
      <c r="E904" s="25"/>
      <c r="F904" s="25" t="s">
        <v>2819</v>
      </c>
      <c r="G904" s="26">
        <v>35000.0</v>
      </c>
      <c r="H904" s="27" t="s">
        <v>3968</v>
      </c>
      <c r="I904" s="28"/>
      <c r="J904" s="28"/>
      <c r="K904" s="28"/>
      <c r="L904" s="29"/>
      <c r="M904" s="22"/>
      <c r="N904" s="22"/>
      <c r="O904" s="22"/>
      <c r="P904" s="22"/>
      <c r="Q904" s="22"/>
      <c r="R904" s="22"/>
      <c r="S904" s="22"/>
      <c r="T904" s="23"/>
    </row>
    <row r="905">
      <c r="A905" s="16" t="s">
        <v>4395</v>
      </c>
      <c r="B905" s="17" t="s">
        <v>3935</v>
      </c>
      <c r="C905" s="17" t="s">
        <v>94</v>
      </c>
      <c r="D905" s="17" t="str">
        <f>vlookup(C905,'1. 신청자리스트'!J:N,2,false)</f>
        <v>중복</v>
      </c>
      <c r="E905" s="17"/>
      <c r="F905" s="17" t="s">
        <v>94</v>
      </c>
      <c r="G905" s="18">
        <v>35000.0</v>
      </c>
      <c r="H905" s="19" t="s">
        <v>3968</v>
      </c>
      <c r="I905" s="20"/>
      <c r="J905" s="20"/>
      <c r="K905" s="20"/>
      <c r="L905" s="21"/>
      <c r="M905" s="22"/>
      <c r="N905" s="22"/>
      <c r="O905" s="22"/>
      <c r="P905" s="22"/>
      <c r="Q905" s="22"/>
      <c r="R905" s="22"/>
      <c r="S905" s="22"/>
      <c r="T905" s="23"/>
    </row>
    <row r="906">
      <c r="A906" s="24" t="s">
        <v>3945</v>
      </c>
      <c r="B906" s="25" t="s">
        <v>3935</v>
      </c>
      <c r="C906" s="25" t="s">
        <v>618</v>
      </c>
      <c r="D906" s="17" t="str">
        <f>vlookup(C906,'1. 신청자리스트'!J:N,2,false)</f>
        <v>중복</v>
      </c>
      <c r="E906" s="25"/>
      <c r="F906" s="25" t="s">
        <v>1224</v>
      </c>
      <c r="G906" s="26">
        <v>70000.0</v>
      </c>
      <c r="H906" s="27" t="s">
        <v>3983</v>
      </c>
      <c r="I906" s="28"/>
      <c r="J906" s="28"/>
      <c r="K906" s="28"/>
      <c r="L906" s="29"/>
      <c r="M906" s="22"/>
      <c r="N906" s="22"/>
      <c r="O906" s="22"/>
      <c r="P906" s="22"/>
      <c r="Q906" s="22"/>
      <c r="R906" s="22"/>
      <c r="S906" s="22"/>
      <c r="T906" s="23"/>
    </row>
    <row r="907">
      <c r="A907" s="16" t="s">
        <v>4012</v>
      </c>
      <c r="B907" s="17" t="s">
        <v>3935</v>
      </c>
      <c r="C907" s="17" t="s">
        <v>618</v>
      </c>
      <c r="D907" s="17" t="str">
        <f>vlookup(C907,'1. 신청자리스트'!J:N,2,false)</f>
        <v>중복</v>
      </c>
      <c r="E907" s="17"/>
      <c r="F907" s="17" t="s">
        <v>618</v>
      </c>
      <c r="G907" s="18">
        <v>70000.0</v>
      </c>
      <c r="H907" s="19" t="s">
        <v>3983</v>
      </c>
      <c r="I907" s="20"/>
      <c r="J907" s="20"/>
      <c r="K907" s="20"/>
      <c r="L907" s="21"/>
      <c r="M907" s="22"/>
      <c r="N907" s="22"/>
      <c r="O907" s="22"/>
      <c r="P907" s="22"/>
      <c r="Q907" s="22"/>
      <c r="R907" s="22"/>
      <c r="S907" s="22"/>
      <c r="T907" s="23"/>
    </row>
    <row r="908">
      <c r="A908" s="24" t="s">
        <v>3962</v>
      </c>
      <c r="B908" s="25" t="s">
        <v>3935</v>
      </c>
      <c r="C908" s="25" t="s">
        <v>621</v>
      </c>
      <c r="D908" s="17" t="str">
        <f>vlookup(C908,'1. 신청자리스트'!J:N,2,false)</f>
        <v>중복</v>
      </c>
      <c r="E908" s="25"/>
      <c r="F908" s="25" t="s">
        <v>1270</v>
      </c>
      <c r="G908" s="26">
        <v>70000.0</v>
      </c>
      <c r="H908" s="27" t="s">
        <v>3948</v>
      </c>
      <c r="I908" s="28"/>
      <c r="J908" s="28"/>
      <c r="K908" s="28"/>
      <c r="L908" s="29"/>
      <c r="M908" s="22"/>
      <c r="N908" s="22"/>
      <c r="O908" s="22"/>
      <c r="P908" s="22"/>
      <c r="Q908" s="22"/>
      <c r="R908" s="22"/>
      <c r="S908" s="22"/>
      <c r="T908" s="23"/>
    </row>
    <row r="909">
      <c r="A909" s="24" t="s">
        <v>4071</v>
      </c>
      <c r="B909" s="25" t="s">
        <v>3935</v>
      </c>
      <c r="C909" s="25" t="s">
        <v>621</v>
      </c>
      <c r="D909" s="17" t="str">
        <f>vlookup(C909,'1. 신청자리스트'!J:N,2,false)</f>
        <v>중복</v>
      </c>
      <c r="E909" s="17" t="str">
        <f>if(vlookup(C909,'문의'!D:D,1,false)=C909,"있음")</f>
        <v>있음</v>
      </c>
      <c r="F909" s="25" t="s">
        <v>4396</v>
      </c>
      <c r="G909" s="26">
        <v>60000.0</v>
      </c>
      <c r="H909" s="27" t="s">
        <v>3948</v>
      </c>
      <c r="I909" s="28"/>
      <c r="J909" s="28"/>
      <c r="K909" s="28"/>
      <c r="L909" s="29"/>
      <c r="M909" s="22"/>
      <c r="N909" s="22"/>
      <c r="O909" s="22"/>
      <c r="P909" s="22"/>
      <c r="Q909" s="22"/>
      <c r="R909" s="22"/>
      <c r="S909" s="22"/>
      <c r="T909" s="23"/>
    </row>
    <row r="910">
      <c r="A910" s="24" t="s">
        <v>4397</v>
      </c>
      <c r="B910" s="25" t="s">
        <v>3943</v>
      </c>
      <c r="C910" s="25" t="s">
        <v>622</v>
      </c>
      <c r="D910" s="17" t="str">
        <f>vlookup(C910,'1. 신청자리스트'!J:N,2,false)</f>
        <v>중복</v>
      </c>
      <c r="E910" s="25"/>
      <c r="F910" s="25" t="s">
        <v>622</v>
      </c>
      <c r="G910" s="26">
        <v>35000.0</v>
      </c>
      <c r="H910" s="27" t="s">
        <v>3944</v>
      </c>
      <c r="I910" s="28"/>
      <c r="J910" s="28"/>
      <c r="K910" s="28"/>
      <c r="L910" s="29"/>
      <c r="M910" s="22"/>
      <c r="N910" s="22"/>
      <c r="O910" s="22"/>
      <c r="P910" s="22"/>
      <c r="Q910" s="22"/>
      <c r="R910" s="22"/>
      <c r="S910" s="22"/>
      <c r="T910" s="23"/>
    </row>
    <row r="911">
      <c r="A911" s="24" t="s">
        <v>3945</v>
      </c>
      <c r="B911" s="25" t="s">
        <v>3935</v>
      </c>
      <c r="C911" s="25" t="s">
        <v>622</v>
      </c>
      <c r="D911" s="17" t="str">
        <f>vlookup(C911,'1. 신청자리스트'!J:N,2,false)</f>
        <v>중복</v>
      </c>
      <c r="E911" s="25"/>
      <c r="F911" s="25" t="s">
        <v>4398</v>
      </c>
      <c r="G911" s="26">
        <v>70000.0</v>
      </c>
      <c r="H911" s="27" t="s">
        <v>3946</v>
      </c>
      <c r="I911" s="28"/>
      <c r="J911" s="28"/>
      <c r="K911" s="45" t="s">
        <v>4399</v>
      </c>
      <c r="L911" s="29"/>
      <c r="M911" s="22"/>
      <c r="N911" s="22"/>
      <c r="O911" s="22"/>
      <c r="P911" s="22"/>
      <c r="Q911" s="22"/>
      <c r="R911" s="22"/>
      <c r="S911" s="22"/>
      <c r="T911" s="23"/>
    </row>
    <row r="912">
      <c r="A912" s="24" t="s">
        <v>4400</v>
      </c>
      <c r="B912" s="25" t="s">
        <v>3943</v>
      </c>
      <c r="C912" s="25" t="s">
        <v>622</v>
      </c>
      <c r="D912" s="17" t="str">
        <f>vlookup(C912,'1. 신청자리스트'!J:N,2,false)</f>
        <v>중복</v>
      </c>
      <c r="E912" s="25"/>
      <c r="F912" s="25" t="s">
        <v>622</v>
      </c>
      <c r="G912" s="26">
        <v>35000.0</v>
      </c>
      <c r="H912" s="27" t="s">
        <v>3944</v>
      </c>
      <c r="I912" s="28"/>
      <c r="J912" s="28"/>
      <c r="K912" s="28"/>
      <c r="L912" s="29"/>
      <c r="M912" s="22"/>
      <c r="N912" s="22"/>
      <c r="O912" s="22"/>
      <c r="P912" s="22"/>
      <c r="Q912" s="22"/>
      <c r="R912" s="22"/>
      <c r="S912" s="22"/>
      <c r="T912" s="23"/>
    </row>
    <row r="913">
      <c r="A913" s="24" t="s">
        <v>3942</v>
      </c>
      <c r="B913" s="25" t="s">
        <v>3943</v>
      </c>
      <c r="C913" s="25" t="s">
        <v>106</v>
      </c>
      <c r="D913" s="17" t="str">
        <f>vlookup(C913,'1. 신청자리스트'!J:N,2,false)</f>
        <v>중복</v>
      </c>
      <c r="E913" s="25"/>
      <c r="F913" s="25" t="s">
        <v>4401</v>
      </c>
      <c r="G913" s="26">
        <v>35000.0</v>
      </c>
      <c r="H913" s="27" t="s">
        <v>3944</v>
      </c>
      <c r="I913" s="28"/>
      <c r="J913" s="28"/>
      <c r="K913" s="28"/>
      <c r="L913" s="29"/>
      <c r="M913" s="22"/>
      <c r="N913" s="22"/>
      <c r="O913" s="22"/>
      <c r="P913" s="22"/>
      <c r="Q913" s="22"/>
      <c r="R913" s="22"/>
      <c r="S913" s="22"/>
      <c r="T913" s="23"/>
    </row>
    <row r="914">
      <c r="A914" s="16" t="s">
        <v>3940</v>
      </c>
      <c r="B914" s="17" t="s">
        <v>3935</v>
      </c>
      <c r="C914" s="17" t="s">
        <v>106</v>
      </c>
      <c r="D914" s="17" t="str">
        <f>vlookup(C914,'1. 신청자리스트'!J:N,2,false)</f>
        <v>중복</v>
      </c>
      <c r="E914" s="17"/>
      <c r="F914" s="17" t="s">
        <v>106</v>
      </c>
      <c r="G914" s="18">
        <v>35000.0</v>
      </c>
      <c r="H914" s="19" t="s">
        <v>3941</v>
      </c>
      <c r="I914" s="20"/>
      <c r="J914" s="20"/>
      <c r="K914" s="20"/>
      <c r="L914" s="21"/>
      <c r="M914" s="22"/>
      <c r="N914" s="22"/>
      <c r="O914" s="22"/>
      <c r="P914" s="22"/>
      <c r="Q914" s="22"/>
      <c r="R914" s="22"/>
      <c r="S914" s="22"/>
      <c r="T914" s="23"/>
    </row>
    <row r="915">
      <c r="A915" s="30" t="s">
        <v>3931</v>
      </c>
      <c r="B915" s="31" t="s">
        <v>3935</v>
      </c>
      <c r="C915" s="31" t="s">
        <v>4402</v>
      </c>
      <c r="D915" s="17" t="str">
        <f>vlookup(C915,'1. 신청자리스트'!J:N,2,false)</f>
        <v>정상</v>
      </c>
      <c r="E915" s="31"/>
      <c r="F915" s="31" t="s">
        <v>1406</v>
      </c>
      <c r="G915" s="32">
        <v>35000.0</v>
      </c>
      <c r="H915" s="33" t="s">
        <v>3952</v>
      </c>
      <c r="I915" s="34" t="str">
        <f>VLOOKUP(C915, '문의'!D:E, 2, FALSE)</f>
        <v>[기타문의] 신청확인이 됐는데 신청확인이 안되네요.</v>
      </c>
      <c r="J915" s="34">
        <f t="array" ref="J915">INDEX('문의'!C:C, MATCH(C915, '문의'!D:D, 0))</f>
        <v>1054335394</v>
      </c>
      <c r="K915" s="54" t="s">
        <v>4403</v>
      </c>
      <c r="L915" s="37" t="s">
        <v>4404</v>
      </c>
      <c r="M915" s="42"/>
      <c r="N915" s="42"/>
      <c r="O915" s="42"/>
      <c r="P915" s="43"/>
      <c r="Q915" s="42"/>
      <c r="R915" s="44"/>
      <c r="S915" s="42"/>
      <c r="T915" s="41"/>
    </row>
    <row r="916">
      <c r="A916" s="30"/>
      <c r="B916" s="31"/>
      <c r="C916" s="31" t="s">
        <v>4402</v>
      </c>
      <c r="D916" s="17" t="str">
        <f>vlookup(C916,'1. 신청자리스트'!J:N,2,false)</f>
        <v>정상</v>
      </c>
      <c r="E916" s="31"/>
      <c r="F916" s="53" t="s">
        <v>3811</v>
      </c>
      <c r="G916" s="46">
        <v>35000.0</v>
      </c>
      <c r="H916" s="33"/>
      <c r="I916" s="34"/>
      <c r="J916" s="34"/>
      <c r="K916" s="54"/>
      <c r="L916" s="37"/>
      <c r="M916" s="42"/>
      <c r="N916" s="42"/>
      <c r="O916" s="42"/>
      <c r="P916" s="43"/>
      <c r="Q916" s="42"/>
      <c r="R916" s="44"/>
      <c r="S916" s="42"/>
      <c r="T916" s="41"/>
    </row>
    <row r="917">
      <c r="A917" s="24" t="s">
        <v>3985</v>
      </c>
      <c r="B917" s="25" t="s">
        <v>3943</v>
      </c>
      <c r="C917" s="25" t="s">
        <v>114</v>
      </c>
      <c r="D917" s="17" t="str">
        <f>vlookup(C917,'1. 신청자리스트'!J:N,2,false)</f>
        <v>중복</v>
      </c>
      <c r="E917" s="25"/>
      <c r="F917" s="25" t="s">
        <v>2822</v>
      </c>
      <c r="G917" s="26">
        <v>35000.0</v>
      </c>
      <c r="H917" s="27" t="s">
        <v>3944</v>
      </c>
      <c r="I917" s="28"/>
      <c r="J917" s="28"/>
      <c r="K917" s="28"/>
      <c r="L917" s="29"/>
      <c r="M917" s="22"/>
      <c r="N917" s="22"/>
      <c r="O917" s="22"/>
      <c r="P917" s="22"/>
      <c r="Q917" s="22"/>
      <c r="R917" s="22"/>
      <c r="S917" s="22"/>
      <c r="T917" s="23"/>
    </row>
    <row r="918">
      <c r="A918" s="16" t="s">
        <v>4018</v>
      </c>
      <c r="B918" s="17" t="s">
        <v>3943</v>
      </c>
      <c r="C918" s="17" t="s">
        <v>114</v>
      </c>
      <c r="D918" s="17" t="str">
        <f>vlookup(C918,'1. 신청자리스트'!J:N,2,false)</f>
        <v>중복</v>
      </c>
      <c r="E918" s="17"/>
      <c r="F918" s="17" t="s">
        <v>114</v>
      </c>
      <c r="G918" s="18">
        <v>35000.0</v>
      </c>
      <c r="H918" s="19" t="s">
        <v>3944</v>
      </c>
      <c r="I918" s="20"/>
      <c r="J918" s="20"/>
      <c r="K918" s="20"/>
      <c r="L918" s="21"/>
      <c r="M918" s="22"/>
      <c r="N918" s="22"/>
      <c r="O918" s="22"/>
      <c r="P918" s="22"/>
      <c r="Q918" s="22"/>
      <c r="R918" s="22"/>
      <c r="S918" s="22"/>
      <c r="T918" s="23"/>
    </row>
    <row r="919">
      <c r="A919" s="24" t="s">
        <v>3945</v>
      </c>
      <c r="B919" s="25" t="s">
        <v>3935</v>
      </c>
      <c r="C919" s="25" t="s">
        <v>115</v>
      </c>
      <c r="D919" s="17" t="str">
        <f>vlookup(C919,'1. 신청자리스트'!J:N,2,false)</f>
        <v>중복</v>
      </c>
      <c r="E919" s="25"/>
      <c r="F919" s="25" t="s">
        <v>2824</v>
      </c>
      <c r="G919" s="26">
        <v>35000.0</v>
      </c>
      <c r="H919" s="27" t="s">
        <v>4041</v>
      </c>
      <c r="I919" s="28"/>
      <c r="J919" s="28"/>
      <c r="K919" s="28"/>
      <c r="L919" s="29"/>
      <c r="M919" s="22"/>
      <c r="N919" s="22"/>
      <c r="O919" s="22"/>
      <c r="P919" s="22"/>
      <c r="Q919" s="22"/>
      <c r="R919" s="22"/>
      <c r="S919" s="22"/>
      <c r="T919" s="23"/>
    </row>
    <row r="920">
      <c r="A920" s="16" t="s">
        <v>4140</v>
      </c>
      <c r="B920" s="17" t="s">
        <v>3935</v>
      </c>
      <c r="C920" s="17" t="s">
        <v>115</v>
      </c>
      <c r="D920" s="17" t="str">
        <f>vlookup(C920,'1. 신청자리스트'!J:N,2,false)</f>
        <v>중복</v>
      </c>
      <c r="E920" s="17"/>
      <c r="F920" s="17" t="s">
        <v>4405</v>
      </c>
      <c r="G920" s="18">
        <v>35000.0</v>
      </c>
      <c r="H920" s="19" t="s">
        <v>4041</v>
      </c>
      <c r="I920" s="20"/>
      <c r="J920" s="20"/>
      <c r="K920" s="20"/>
      <c r="L920" s="21"/>
      <c r="M920" s="22"/>
      <c r="N920" s="22"/>
      <c r="O920" s="22"/>
      <c r="P920" s="22"/>
      <c r="Q920" s="22"/>
      <c r="R920" s="22"/>
      <c r="S920" s="22"/>
      <c r="T920" s="23"/>
    </row>
    <row r="921">
      <c r="A921" s="24" t="s">
        <v>3940</v>
      </c>
      <c r="B921" s="25" t="s">
        <v>3935</v>
      </c>
      <c r="C921" s="25" t="s">
        <v>116</v>
      </c>
      <c r="D921" s="17" t="str">
        <f>vlookup(C921,'1. 신청자리스트'!J:N,2,false)</f>
        <v>중복</v>
      </c>
      <c r="E921" s="25"/>
      <c r="F921" s="25" t="s">
        <v>2826</v>
      </c>
      <c r="G921" s="26">
        <v>35000.0</v>
      </c>
      <c r="H921" s="27" t="s">
        <v>3983</v>
      </c>
      <c r="I921" s="28"/>
      <c r="J921" s="28"/>
      <c r="K921" s="28"/>
      <c r="L921" s="29"/>
      <c r="M921" s="22"/>
      <c r="N921" s="22"/>
      <c r="O921" s="22"/>
      <c r="P921" s="22"/>
      <c r="Q921" s="22"/>
      <c r="R921" s="22"/>
      <c r="S921" s="22"/>
      <c r="T921" s="23"/>
    </row>
    <row r="922">
      <c r="A922" s="16" t="s">
        <v>3938</v>
      </c>
      <c r="B922" s="17" t="s">
        <v>3935</v>
      </c>
      <c r="C922" s="17" t="s">
        <v>116</v>
      </c>
      <c r="D922" s="17" t="str">
        <f>vlookup(C922,'1. 신청자리스트'!J:N,2,false)</f>
        <v>중복</v>
      </c>
      <c r="E922" s="17"/>
      <c r="F922" s="17" t="s">
        <v>116</v>
      </c>
      <c r="G922" s="18">
        <v>35000.0</v>
      </c>
      <c r="H922" s="19" t="s">
        <v>3983</v>
      </c>
      <c r="I922" s="20"/>
      <c r="J922" s="20"/>
      <c r="K922" s="20"/>
      <c r="L922" s="21"/>
      <c r="M922" s="22"/>
      <c r="N922" s="22"/>
      <c r="O922" s="22"/>
      <c r="P922" s="22"/>
      <c r="Q922" s="22"/>
      <c r="R922" s="22"/>
      <c r="S922" s="22"/>
      <c r="T922" s="23"/>
    </row>
    <row r="923">
      <c r="A923" s="24" t="s">
        <v>3989</v>
      </c>
      <c r="B923" s="25" t="s">
        <v>3932</v>
      </c>
      <c r="C923" s="25" t="s">
        <v>631</v>
      </c>
      <c r="D923" s="17" t="str">
        <f>vlookup(C923,'1. 신청자리스트'!J:N,2,false)</f>
        <v>중복</v>
      </c>
      <c r="E923" s="25"/>
      <c r="F923" s="25" t="s">
        <v>1283</v>
      </c>
      <c r="G923" s="26">
        <v>35000.0</v>
      </c>
      <c r="H923" s="27" t="s">
        <v>4142</v>
      </c>
      <c r="I923" s="28"/>
      <c r="J923" s="28"/>
      <c r="K923" s="28"/>
      <c r="L923" s="29"/>
      <c r="M923" s="22"/>
      <c r="N923" s="22"/>
      <c r="O923" s="22"/>
      <c r="P923" s="22"/>
      <c r="Q923" s="22"/>
      <c r="R923" s="22"/>
      <c r="S923" s="22"/>
      <c r="T923" s="23"/>
    </row>
    <row r="924">
      <c r="A924" s="16" t="s">
        <v>3940</v>
      </c>
      <c r="B924" s="17" t="s">
        <v>3935</v>
      </c>
      <c r="C924" s="17" t="s">
        <v>631</v>
      </c>
      <c r="D924" s="17" t="str">
        <f>vlookup(C924,'1. 신청자리스트'!J:N,2,false)</f>
        <v>중복</v>
      </c>
      <c r="E924" s="17"/>
      <c r="F924" s="17" t="s">
        <v>631</v>
      </c>
      <c r="G924" s="18">
        <v>70000.0</v>
      </c>
      <c r="H924" s="19" t="s">
        <v>3946</v>
      </c>
      <c r="I924" s="20"/>
      <c r="J924" s="20"/>
      <c r="K924" s="20"/>
      <c r="L924" s="21"/>
      <c r="M924" s="22"/>
      <c r="N924" s="22"/>
      <c r="O924" s="22"/>
      <c r="P924" s="22"/>
      <c r="Q924" s="22"/>
      <c r="R924" s="22"/>
      <c r="S924" s="22"/>
      <c r="T924" s="23"/>
    </row>
    <row r="925">
      <c r="A925" s="16" t="s">
        <v>3962</v>
      </c>
      <c r="B925" s="17" t="s">
        <v>3935</v>
      </c>
      <c r="C925" s="17" t="s">
        <v>117</v>
      </c>
      <c r="D925" s="17" t="str">
        <f>vlookup(C925,'1. 신청자리스트'!J:N,2,false)</f>
        <v>중복</v>
      </c>
      <c r="E925" s="17"/>
      <c r="F925" s="17" t="s">
        <v>117</v>
      </c>
      <c r="G925" s="18">
        <v>35000.0</v>
      </c>
      <c r="H925" s="19" t="s">
        <v>3939</v>
      </c>
      <c r="I925" s="20"/>
      <c r="J925" s="20"/>
      <c r="K925" s="20"/>
      <c r="L925" s="21"/>
      <c r="M925" s="22"/>
      <c r="N925" s="22"/>
      <c r="O925" s="22"/>
      <c r="P925" s="22"/>
      <c r="Q925" s="22"/>
      <c r="R925" s="22"/>
      <c r="S925" s="22"/>
      <c r="T925" s="23"/>
    </row>
    <row r="926">
      <c r="A926" s="24" t="s">
        <v>3931</v>
      </c>
      <c r="B926" s="25" t="s">
        <v>3935</v>
      </c>
      <c r="C926" s="25" t="s">
        <v>117</v>
      </c>
      <c r="D926" s="17" t="str">
        <f>vlookup(C926,'1. 신청자리스트'!J:N,2,false)</f>
        <v>중복</v>
      </c>
      <c r="E926" s="25"/>
      <c r="F926" s="25" t="s">
        <v>2771</v>
      </c>
      <c r="G926" s="26">
        <v>35000.0</v>
      </c>
      <c r="H926" s="27" t="s">
        <v>3983</v>
      </c>
      <c r="I926" s="28"/>
      <c r="J926" s="28"/>
      <c r="K926" s="28"/>
      <c r="L926" s="29"/>
      <c r="M926" s="22"/>
      <c r="N926" s="22"/>
      <c r="O926" s="22"/>
      <c r="P926" s="22"/>
      <c r="Q926" s="22"/>
      <c r="R926" s="22"/>
      <c r="S926" s="22"/>
      <c r="T926" s="23"/>
    </row>
    <row r="927">
      <c r="A927" s="16" t="s">
        <v>4002</v>
      </c>
      <c r="B927" s="17" t="s">
        <v>3935</v>
      </c>
      <c r="C927" s="17" t="s">
        <v>117</v>
      </c>
      <c r="D927" s="17" t="str">
        <f>vlookup(C927,'1. 신청자리스트'!J:N,2,false)</f>
        <v>중복</v>
      </c>
      <c r="E927" s="17"/>
      <c r="F927" s="17" t="s">
        <v>117</v>
      </c>
      <c r="G927" s="18">
        <v>35000.0</v>
      </c>
      <c r="H927" s="19" t="s">
        <v>3983</v>
      </c>
      <c r="I927" s="20"/>
      <c r="J927" s="20"/>
      <c r="K927" s="20"/>
      <c r="L927" s="21"/>
      <c r="M927" s="22"/>
      <c r="N927" s="22"/>
      <c r="O927" s="22"/>
      <c r="P927" s="22"/>
      <c r="Q927" s="22"/>
      <c r="R927" s="22"/>
      <c r="S927" s="22"/>
      <c r="T927" s="23"/>
    </row>
    <row r="928">
      <c r="A928" s="24" t="s">
        <v>3931</v>
      </c>
      <c r="B928" s="25" t="s">
        <v>3935</v>
      </c>
      <c r="C928" s="25" t="s">
        <v>120</v>
      </c>
      <c r="D928" s="17" t="str">
        <f>vlookup(C928,'1. 신청자리스트'!J:N,2,false)</f>
        <v>중복</v>
      </c>
      <c r="E928" s="25"/>
      <c r="F928" s="25" t="s">
        <v>2828</v>
      </c>
      <c r="G928" s="26">
        <v>35000.0</v>
      </c>
      <c r="H928" s="27" t="s">
        <v>3948</v>
      </c>
      <c r="I928" s="28"/>
      <c r="J928" s="28"/>
      <c r="K928" s="28"/>
      <c r="L928" s="29"/>
      <c r="M928" s="22"/>
      <c r="N928" s="22"/>
      <c r="O928" s="22"/>
      <c r="P928" s="22"/>
      <c r="Q928" s="22"/>
      <c r="R928" s="22"/>
      <c r="S928" s="22"/>
      <c r="T928" s="23"/>
    </row>
    <row r="929">
      <c r="A929" s="16" t="s">
        <v>3934</v>
      </c>
      <c r="B929" s="17" t="s">
        <v>3935</v>
      </c>
      <c r="C929" s="17" t="s">
        <v>120</v>
      </c>
      <c r="D929" s="17" t="str">
        <f>vlookup(C929,'1. 신청자리스트'!J:N,2,false)</f>
        <v>중복</v>
      </c>
      <c r="E929" s="17"/>
      <c r="F929" s="17" t="s">
        <v>120</v>
      </c>
      <c r="G929" s="18">
        <v>35000.0</v>
      </c>
      <c r="H929" s="19" t="s">
        <v>3948</v>
      </c>
      <c r="I929" s="20"/>
      <c r="J929" s="20"/>
      <c r="K929" s="20"/>
      <c r="L929" s="21"/>
      <c r="M929" s="22"/>
      <c r="N929" s="22"/>
      <c r="O929" s="22"/>
      <c r="P929" s="22"/>
      <c r="Q929" s="22"/>
      <c r="R929" s="22"/>
      <c r="S929" s="22"/>
      <c r="T929" s="23"/>
    </row>
    <row r="930">
      <c r="A930" s="24" t="s">
        <v>3940</v>
      </c>
      <c r="B930" s="25" t="s">
        <v>3932</v>
      </c>
      <c r="C930" s="25" t="s">
        <v>635</v>
      </c>
      <c r="D930" s="17" t="str">
        <f>vlookup(C930,'1. 신청자리스트'!J:N,2,false)</f>
        <v>중복</v>
      </c>
      <c r="E930" s="25"/>
      <c r="F930" s="25" t="s">
        <v>1063</v>
      </c>
      <c r="G930" s="26">
        <v>70000.0</v>
      </c>
      <c r="H930" s="27" t="s">
        <v>4184</v>
      </c>
      <c r="I930" s="28"/>
      <c r="J930" s="28"/>
      <c r="K930" s="28"/>
      <c r="L930" s="29"/>
      <c r="M930" s="22"/>
      <c r="N930" s="22"/>
      <c r="O930" s="22"/>
      <c r="P930" s="22"/>
      <c r="Q930" s="22"/>
      <c r="R930" s="22"/>
      <c r="S930" s="22"/>
      <c r="T930" s="23"/>
    </row>
    <row r="931">
      <c r="A931" s="24" t="s">
        <v>3962</v>
      </c>
      <c r="B931" s="25" t="s">
        <v>3932</v>
      </c>
      <c r="C931" s="25" t="s">
        <v>635</v>
      </c>
      <c r="D931" s="17" t="str">
        <f>vlookup(C931,'1. 신청자리스트'!J:N,2,false)</f>
        <v>중복</v>
      </c>
      <c r="E931" s="25"/>
      <c r="F931" s="25" t="s">
        <v>4406</v>
      </c>
      <c r="G931" s="26">
        <v>70000.0</v>
      </c>
      <c r="H931" s="27" t="s">
        <v>4184</v>
      </c>
      <c r="I931" s="28"/>
      <c r="J931" s="28"/>
      <c r="K931" s="28"/>
      <c r="L931" s="29"/>
      <c r="M931" s="22"/>
      <c r="N931" s="22"/>
      <c r="O931" s="22"/>
      <c r="P931" s="22"/>
      <c r="Q931" s="22"/>
      <c r="R931" s="22"/>
      <c r="S931" s="22"/>
      <c r="T931" s="23"/>
    </row>
    <row r="932">
      <c r="A932" s="24" t="s">
        <v>3942</v>
      </c>
      <c r="B932" s="25" t="s">
        <v>3935</v>
      </c>
      <c r="C932" s="25" t="s">
        <v>127</v>
      </c>
      <c r="D932" s="17" t="str">
        <f>vlookup(C932,'1. 신청자리스트'!J:N,2,false)</f>
        <v>중복</v>
      </c>
      <c r="E932" s="25"/>
      <c r="F932" s="25" t="s">
        <v>2774</v>
      </c>
      <c r="G932" s="26">
        <v>35000.0</v>
      </c>
      <c r="H932" s="27" t="s">
        <v>3983</v>
      </c>
      <c r="I932" s="28"/>
      <c r="J932" s="28"/>
      <c r="K932" s="28"/>
      <c r="L932" s="29"/>
      <c r="M932" s="22"/>
      <c r="N932" s="22"/>
      <c r="O932" s="22"/>
      <c r="P932" s="22"/>
      <c r="Q932" s="22"/>
      <c r="R932" s="22"/>
      <c r="S932" s="22"/>
      <c r="T932" s="23"/>
    </row>
    <row r="933">
      <c r="A933" s="16" t="s">
        <v>3940</v>
      </c>
      <c r="B933" s="17" t="s">
        <v>3935</v>
      </c>
      <c r="C933" s="17" t="s">
        <v>127</v>
      </c>
      <c r="D933" s="17" t="str">
        <f>vlookup(C933,'1. 신청자리스트'!J:N,2,false)</f>
        <v>중복</v>
      </c>
      <c r="E933" s="17"/>
      <c r="F933" s="17" t="s">
        <v>127</v>
      </c>
      <c r="G933" s="18">
        <v>35000.0</v>
      </c>
      <c r="H933" s="19" t="s">
        <v>3983</v>
      </c>
      <c r="I933" s="20"/>
      <c r="J933" s="20"/>
      <c r="K933" s="20"/>
      <c r="L933" s="21"/>
      <c r="M933" s="22"/>
      <c r="N933" s="22"/>
      <c r="O933" s="22"/>
      <c r="P933" s="22"/>
      <c r="Q933" s="22"/>
      <c r="R933" s="22"/>
      <c r="S933" s="22"/>
      <c r="T933" s="23"/>
    </row>
    <row r="934">
      <c r="A934" s="16" t="s">
        <v>3931</v>
      </c>
      <c r="B934" s="17" t="s">
        <v>3935</v>
      </c>
      <c r="C934" s="25" t="s">
        <v>127</v>
      </c>
      <c r="D934" s="17" t="str">
        <f>vlookup(C934,'1. 신청자리스트'!J:N,2,false)</f>
        <v>중복</v>
      </c>
      <c r="E934" s="17"/>
      <c r="F934" s="17" t="s">
        <v>4407</v>
      </c>
      <c r="G934" s="18">
        <v>35000.0</v>
      </c>
      <c r="H934" s="19" t="s">
        <v>3946</v>
      </c>
      <c r="I934" s="20"/>
      <c r="J934" s="20"/>
      <c r="K934" s="20"/>
      <c r="L934" s="21"/>
      <c r="M934" s="22"/>
      <c r="N934" s="22"/>
      <c r="O934" s="22"/>
      <c r="P934" s="22"/>
      <c r="Q934" s="22"/>
      <c r="R934" s="22"/>
      <c r="S934" s="22"/>
      <c r="T934" s="23"/>
    </row>
    <row r="935">
      <c r="A935" s="16" t="s">
        <v>4408</v>
      </c>
      <c r="B935" s="17" t="s">
        <v>3932</v>
      </c>
      <c r="C935" s="17" t="s">
        <v>643</v>
      </c>
      <c r="D935" s="17" t="str">
        <f>vlookup(C935,'1. 신청자리스트'!J:N,2,false)</f>
        <v>중복</v>
      </c>
      <c r="E935" s="17"/>
      <c r="F935" s="17" t="s">
        <v>643</v>
      </c>
      <c r="G935" s="18">
        <v>70000.0</v>
      </c>
      <c r="H935" s="19" t="s">
        <v>4122</v>
      </c>
      <c r="I935" s="20"/>
      <c r="J935" s="20"/>
      <c r="K935" s="20"/>
      <c r="L935" s="21"/>
      <c r="M935" s="22"/>
      <c r="N935" s="22"/>
      <c r="O935" s="22"/>
      <c r="P935" s="22"/>
      <c r="Q935" s="22"/>
      <c r="R935" s="22"/>
      <c r="S935" s="22"/>
      <c r="T935" s="23"/>
    </row>
    <row r="936">
      <c r="A936" s="24" t="s">
        <v>3945</v>
      </c>
      <c r="B936" s="25" t="s">
        <v>3932</v>
      </c>
      <c r="C936" s="25" t="s">
        <v>643</v>
      </c>
      <c r="D936" s="17" t="str">
        <f>vlookup(C936,'1. 신청자리스트'!J:N,2,false)</f>
        <v>중복</v>
      </c>
      <c r="E936" s="25"/>
      <c r="F936" s="25" t="s">
        <v>1058</v>
      </c>
      <c r="G936" s="26">
        <v>70000.0</v>
      </c>
      <c r="H936" s="27" t="s">
        <v>4122</v>
      </c>
      <c r="I936" s="28"/>
      <c r="J936" s="28"/>
      <c r="K936" s="28"/>
      <c r="L936" s="29"/>
      <c r="M936" s="22"/>
      <c r="N936" s="22"/>
      <c r="O936" s="22"/>
      <c r="P936" s="22"/>
      <c r="Q936" s="22"/>
      <c r="R936" s="22"/>
      <c r="S936" s="22"/>
      <c r="T936" s="23"/>
    </row>
    <row r="937">
      <c r="A937" s="16" t="s">
        <v>3942</v>
      </c>
      <c r="B937" s="17" t="s">
        <v>3932</v>
      </c>
      <c r="C937" s="17" t="s">
        <v>131</v>
      </c>
      <c r="D937" s="17" t="str">
        <f>vlookup(C937,'1. 신청자리스트'!J:N,2,false)</f>
        <v>중복</v>
      </c>
      <c r="E937" s="17"/>
      <c r="F937" s="17" t="s">
        <v>131</v>
      </c>
      <c r="G937" s="18">
        <v>35000.0</v>
      </c>
      <c r="H937" s="19" t="s">
        <v>4409</v>
      </c>
      <c r="I937" s="20"/>
      <c r="J937" s="20"/>
      <c r="K937" s="20"/>
      <c r="L937" s="21"/>
      <c r="M937" s="22"/>
      <c r="N937" s="22"/>
      <c r="O937" s="22"/>
      <c r="P937" s="22"/>
      <c r="Q937" s="22"/>
      <c r="R937" s="22"/>
      <c r="S937" s="22"/>
      <c r="T937" s="23"/>
    </row>
    <row r="938">
      <c r="A938" s="16" t="s">
        <v>3940</v>
      </c>
      <c r="B938" s="17" t="s">
        <v>3932</v>
      </c>
      <c r="C938" s="17" t="s">
        <v>131</v>
      </c>
      <c r="D938" s="17" t="str">
        <f>vlookup(C938,'1. 신청자리스트'!J:N,2,false)</f>
        <v>중복</v>
      </c>
      <c r="E938" s="17"/>
      <c r="F938" s="17" t="s">
        <v>131</v>
      </c>
      <c r="G938" s="18">
        <v>35000.0</v>
      </c>
      <c r="H938" s="19" t="s">
        <v>4409</v>
      </c>
      <c r="I938" s="20"/>
      <c r="J938" s="20"/>
      <c r="K938" s="20"/>
      <c r="L938" s="21"/>
      <c r="M938" s="22"/>
      <c r="N938" s="22"/>
      <c r="O938" s="22"/>
      <c r="P938" s="22"/>
      <c r="Q938" s="22"/>
      <c r="R938" s="22"/>
      <c r="S938" s="22"/>
      <c r="T938" s="23"/>
    </row>
    <row r="939">
      <c r="A939" s="16" t="s">
        <v>3953</v>
      </c>
      <c r="B939" s="17" t="s">
        <v>3935</v>
      </c>
      <c r="C939" s="17" t="s">
        <v>134</v>
      </c>
      <c r="D939" s="17" t="str">
        <f>vlookup(C939,'1. 신청자리스트'!J:N,2,false)</f>
        <v>중복</v>
      </c>
      <c r="E939" s="17"/>
      <c r="F939" s="17" t="s">
        <v>134</v>
      </c>
      <c r="G939" s="18">
        <v>35000.0</v>
      </c>
      <c r="H939" s="19" t="s">
        <v>3983</v>
      </c>
      <c r="I939" s="20"/>
      <c r="J939" s="20"/>
      <c r="K939" s="20"/>
      <c r="L939" s="21"/>
      <c r="M939" s="22"/>
      <c r="N939" s="22"/>
      <c r="O939" s="22"/>
      <c r="P939" s="22"/>
      <c r="Q939" s="22"/>
      <c r="R939" s="22"/>
      <c r="S939" s="22"/>
      <c r="T939" s="23"/>
    </row>
    <row r="940">
      <c r="A940" s="16" t="s">
        <v>3953</v>
      </c>
      <c r="B940" s="17" t="s">
        <v>3935</v>
      </c>
      <c r="C940" s="17" t="s">
        <v>134</v>
      </c>
      <c r="D940" s="17" t="str">
        <f>vlookup(C940,'1. 신청자리스트'!J:N,2,false)</f>
        <v>중복</v>
      </c>
      <c r="E940" s="17"/>
      <c r="F940" s="17" t="s">
        <v>134</v>
      </c>
      <c r="G940" s="18">
        <v>35000.0</v>
      </c>
      <c r="H940" s="19" t="s">
        <v>4410</v>
      </c>
      <c r="I940" s="20"/>
      <c r="J940" s="20"/>
      <c r="K940" s="20"/>
      <c r="L940" s="21"/>
      <c r="M940" s="22"/>
      <c r="N940" s="22"/>
      <c r="O940" s="22"/>
      <c r="P940" s="22"/>
      <c r="Q940" s="22"/>
      <c r="R940" s="22"/>
      <c r="S940" s="22"/>
      <c r="T940" s="23"/>
    </row>
    <row r="941">
      <c r="A941" s="16" t="s">
        <v>3942</v>
      </c>
      <c r="B941" s="17" t="s">
        <v>3935</v>
      </c>
      <c r="C941" s="17" t="s">
        <v>647</v>
      </c>
      <c r="D941" s="17" t="str">
        <f>vlookup(C941,'1. 신청자리스트'!J:N,2,false)</f>
        <v>중복</v>
      </c>
      <c r="E941" s="17"/>
      <c r="F941" s="17" t="s">
        <v>647</v>
      </c>
      <c r="G941" s="18">
        <v>70000.0</v>
      </c>
      <c r="H941" s="19" t="s">
        <v>3939</v>
      </c>
      <c r="I941" s="20"/>
      <c r="J941" s="20"/>
      <c r="K941" s="20"/>
      <c r="L941" s="21"/>
      <c r="M941" s="22"/>
      <c r="N941" s="22"/>
      <c r="O941" s="22"/>
      <c r="P941" s="22"/>
      <c r="Q941" s="22"/>
      <c r="R941" s="22"/>
      <c r="S941" s="22"/>
      <c r="T941" s="23"/>
    </row>
    <row r="942">
      <c r="A942" s="24" t="s">
        <v>4170</v>
      </c>
      <c r="B942" s="25" t="s">
        <v>3935</v>
      </c>
      <c r="C942" s="25" t="s">
        <v>647</v>
      </c>
      <c r="D942" s="17" t="str">
        <f>vlookup(C942,'1. 신청자리스트'!J:N,2,false)</f>
        <v>중복</v>
      </c>
      <c r="E942" s="25"/>
      <c r="F942" s="25" t="s">
        <v>1267</v>
      </c>
      <c r="G942" s="26">
        <v>70000.0</v>
      </c>
      <c r="H942" s="27" t="s">
        <v>3939</v>
      </c>
      <c r="I942" s="45"/>
      <c r="J942" s="45"/>
      <c r="K942" s="45" t="s">
        <v>4411</v>
      </c>
      <c r="L942" s="29"/>
      <c r="M942" s="22"/>
      <c r="N942" s="22"/>
      <c r="O942" s="22"/>
      <c r="P942" s="22"/>
      <c r="Q942" s="22"/>
      <c r="R942" s="22"/>
      <c r="S942" s="22"/>
      <c r="T942" s="23"/>
    </row>
    <row r="943">
      <c r="A943" s="24" t="s">
        <v>3989</v>
      </c>
      <c r="B943" s="25" t="s">
        <v>3935</v>
      </c>
      <c r="C943" s="25" t="s">
        <v>141</v>
      </c>
      <c r="D943" s="17" t="str">
        <f>vlookup(C943,'1. 신청자리스트'!J:N,2,false)</f>
        <v>중복</v>
      </c>
      <c r="E943" s="25"/>
      <c r="F943" s="25" t="s">
        <v>2834</v>
      </c>
      <c r="G943" s="26">
        <v>35000.0</v>
      </c>
      <c r="H943" s="27" t="s">
        <v>3946</v>
      </c>
      <c r="I943" s="28"/>
      <c r="J943" s="28"/>
      <c r="K943" s="28"/>
      <c r="L943" s="29"/>
      <c r="M943" s="22"/>
      <c r="N943" s="22"/>
      <c r="O943" s="22"/>
      <c r="P943" s="22"/>
      <c r="Q943" s="22"/>
      <c r="R943" s="22"/>
      <c r="S943" s="22"/>
      <c r="T943" s="23"/>
    </row>
    <row r="944">
      <c r="A944" s="16" t="s">
        <v>3940</v>
      </c>
      <c r="B944" s="17" t="s">
        <v>3935</v>
      </c>
      <c r="C944" s="17" t="s">
        <v>141</v>
      </c>
      <c r="D944" s="17" t="str">
        <f>vlookup(C944,'1. 신청자리스트'!J:N,2,false)</f>
        <v>중복</v>
      </c>
      <c r="E944" s="17"/>
      <c r="F944" s="17" t="s">
        <v>4412</v>
      </c>
      <c r="G944" s="18">
        <v>35000.0</v>
      </c>
      <c r="H944" s="19" t="s">
        <v>3946</v>
      </c>
      <c r="I944" s="20"/>
      <c r="J944" s="20"/>
      <c r="K944" s="20"/>
      <c r="L944" s="21"/>
      <c r="M944" s="22"/>
      <c r="N944" s="22"/>
      <c r="O944" s="22"/>
      <c r="P944" s="22"/>
      <c r="Q944" s="22"/>
      <c r="R944" s="22"/>
      <c r="S944" s="22"/>
      <c r="T944" s="23"/>
    </row>
    <row r="945">
      <c r="A945" s="24" t="s">
        <v>3942</v>
      </c>
      <c r="B945" s="25" t="s">
        <v>3932</v>
      </c>
      <c r="C945" s="25" t="s">
        <v>652</v>
      </c>
      <c r="D945" s="17" t="str">
        <f>vlookup(C945,'1. 신청자리스트'!J:N,2,false)</f>
        <v>중복</v>
      </c>
      <c r="E945" s="25"/>
      <c r="F945" s="25" t="s">
        <v>1183</v>
      </c>
      <c r="G945" s="26">
        <v>70000.0</v>
      </c>
      <c r="H945" s="27" t="s">
        <v>4116</v>
      </c>
      <c r="I945" s="28"/>
      <c r="J945" s="28"/>
      <c r="K945" s="28"/>
      <c r="L945" s="29"/>
      <c r="M945" s="22"/>
      <c r="N945" s="22"/>
      <c r="O945" s="22"/>
      <c r="P945" s="22"/>
      <c r="Q945" s="22"/>
      <c r="R945" s="22"/>
      <c r="S945" s="22"/>
      <c r="T945" s="23"/>
    </row>
    <row r="946">
      <c r="A946" s="16" t="s">
        <v>3940</v>
      </c>
      <c r="B946" s="17" t="s">
        <v>3932</v>
      </c>
      <c r="C946" s="17" t="s">
        <v>652</v>
      </c>
      <c r="D946" s="17" t="str">
        <f>vlookup(C946,'1. 신청자리스트'!J:N,2,false)</f>
        <v>중복</v>
      </c>
      <c r="E946" s="17"/>
      <c r="F946" s="17" t="s">
        <v>652</v>
      </c>
      <c r="G946" s="18">
        <v>70000.0</v>
      </c>
      <c r="H946" s="19" t="s">
        <v>4116</v>
      </c>
      <c r="I946" s="20"/>
      <c r="J946" s="20"/>
      <c r="K946" s="20"/>
      <c r="L946" s="21"/>
      <c r="M946" s="22"/>
      <c r="N946" s="22"/>
      <c r="O946" s="22"/>
      <c r="P946" s="22"/>
      <c r="Q946" s="22"/>
      <c r="R946" s="22"/>
      <c r="S946" s="22"/>
      <c r="T946" s="23"/>
    </row>
    <row r="947">
      <c r="A947" s="16" t="s">
        <v>4330</v>
      </c>
      <c r="B947" s="17" t="s">
        <v>3935</v>
      </c>
      <c r="C947" s="17" t="s">
        <v>149</v>
      </c>
      <c r="D947" s="17" t="str">
        <f>vlookup(C947,'1. 신청자리스트'!J:N,2,false)</f>
        <v>중복</v>
      </c>
      <c r="E947" s="17"/>
      <c r="F947" s="17" t="s">
        <v>149</v>
      </c>
      <c r="G947" s="18">
        <v>35000.0</v>
      </c>
      <c r="H947" s="19" t="s">
        <v>3983</v>
      </c>
      <c r="I947" s="20"/>
      <c r="J947" s="20"/>
      <c r="K947" s="20"/>
      <c r="L947" s="21"/>
      <c r="M947" s="22"/>
      <c r="N947" s="22"/>
      <c r="O947" s="22"/>
      <c r="P947" s="22"/>
      <c r="Q947" s="22"/>
      <c r="R947" s="22"/>
      <c r="S947" s="22"/>
      <c r="T947" s="23"/>
    </row>
    <row r="948">
      <c r="A948" s="24" t="s">
        <v>3940</v>
      </c>
      <c r="B948" s="25" t="s">
        <v>3935</v>
      </c>
      <c r="C948" s="25" t="s">
        <v>149</v>
      </c>
      <c r="D948" s="17" t="str">
        <f>vlookup(C948,'1. 신청자리스트'!J:N,2,false)</f>
        <v>중복</v>
      </c>
      <c r="E948" s="25"/>
      <c r="F948" s="25" t="s">
        <v>4413</v>
      </c>
      <c r="G948" s="26">
        <v>35000.0</v>
      </c>
      <c r="H948" s="27" t="s">
        <v>3983</v>
      </c>
      <c r="I948" s="28"/>
      <c r="J948" s="28"/>
      <c r="K948" s="28"/>
      <c r="L948" s="29"/>
      <c r="M948" s="22"/>
      <c r="N948" s="22"/>
      <c r="O948" s="22"/>
      <c r="P948" s="22"/>
      <c r="Q948" s="22"/>
      <c r="R948" s="22"/>
      <c r="S948" s="22"/>
      <c r="T948" s="23"/>
    </row>
    <row r="949">
      <c r="A949" s="24" t="s">
        <v>3945</v>
      </c>
      <c r="B949" s="25" t="s">
        <v>3935</v>
      </c>
      <c r="C949" s="25" t="s">
        <v>151</v>
      </c>
      <c r="D949" s="17" t="str">
        <f>vlookup(C949,'1. 신청자리스트'!J:N,2,false)</f>
        <v>중복</v>
      </c>
      <c r="E949" s="25"/>
      <c r="F949" s="25" t="s">
        <v>1804</v>
      </c>
      <c r="G949" s="26">
        <v>35000.0</v>
      </c>
      <c r="H949" s="27" t="s">
        <v>3939</v>
      </c>
      <c r="I949" s="28"/>
      <c r="J949" s="28"/>
      <c r="K949" s="28"/>
      <c r="L949" s="29"/>
      <c r="M949" s="22"/>
      <c r="N949" s="22"/>
      <c r="O949" s="22"/>
      <c r="P949" s="22"/>
      <c r="Q949" s="22"/>
      <c r="R949" s="22"/>
      <c r="S949" s="22"/>
      <c r="T949" s="23"/>
    </row>
    <row r="950">
      <c r="A950" s="16" t="s">
        <v>3985</v>
      </c>
      <c r="B950" s="17" t="s">
        <v>3935</v>
      </c>
      <c r="C950" s="17" t="s">
        <v>151</v>
      </c>
      <c r="D950" s="17" t="str">
        <f>vlookup(C950,'1. 신청자리스트'!J:N,2,false)</f>
        <v>중복</v>
      </c>
      <c r="E950" s="17"/>
      <c r="F950" s="17" t="s">
        <v>4414</v>
      </c>
      <c r="G950" s="18">
        <v>35000.0</v>
      </c>
      <c r="H950" s="19" t="s">
        <v>3939</v>
      </c>
      <c r="I950" s="20"/>
      <c r="J950" s="20"/>
      <c r="K950" s="20"/>
      <c r="L950" s="21"/>
      <c r="M950" s="22"/>
      <c r="N950" s="22"/>
      <c r="O950" s="22"/>
      <c r="P950" s="22"/>
      <c r="Q950" s="22"/>
      <c r="R950" s="22"/>
      <c r="S950" s="22"/>
      <c r="T950" s="23"/>
    </row>
    <row r="951">
      <c r="A951" s="24" t="s">
        <v>3945</v>
      </c>
      <c r="B951" s="25" t="s">
        <v>3935</v>
      </c>
      <c r="C951" s="25" t="s">
        <v>157</v>
      </c>
      <c r="D951" s="17" t="str">
        <f>vlookup(C951,'1. 신청자리스트'!J:N,2,false)</f>
        <v>중복</v>
      </c>
      <c r="E951" s="25"/>
      <c r="F951" s="25" t="s">
        <v>2355</v>
      </c>
      <c r="G951" s="26">
        <v>35000.0</v>
      </c>
      <c r="H951" s="27" t="s">
        <v>3983</v>
      </c>
      <c r="I951" s="28"/>
      <c r="J951" s="28"/>
      <c r="K951" s="28"/>
      <c r="L951" s="29"/>
      <c r="M951" s="22"/>
      <c r="N951" s="22"/>
      <c r="O951" s="22"/>
      <c r="P951" s="22"/>
      <c r="Q951" s="22"/>
      <c r="R951" s="22"/>
      <c r="S951" s="22"/>
      <c r="T951" s="23"/>
    </row>
    <row r="952">
      <c r="A952" s="16" t="s">
        <v>4071</v>
      </c>
      <c r="B952" s="17" t="s">
        <v>3935</v>
      </c>
      <c r="C952" s="17" t="s">
        <v>157</v>
      </c>
      <c r="D952" s="17" t="str">
        <f>vlookup(C952,'1. 신청자리스트'!J:N,2,false)</f>
        <v>중복</v>
      </c>
      <c r="E952" s="17"/>
      <c r="F952" s="17" t="s">
        <v>157</v>
      </c>
      <c r="G952" s="18">
        <v>35000.0</v>
      </c>
      <c r="H952" s="19" t="s">
        <v>3983</v>
      </c>
      <c r="I952" s="20"/>
      <c r="J952" s="20"/>
      <c r="K952" s="20"/>
      <c r="L952" s="21"/>
      <c r="M952" s="22"/>
      <c r="N952" s="22"/>
      <c r="O952" s="22"/>
      <c r="P952" s="22"/>
      <c r="Q952" s="22"/>
      <c r="R952" s="22"/>
      <c r="S952" s="22"/>
      <c r="T952" s="23"/>
    </row>
    <row r="953">
      <c r="A953" s="24" t="s">
        <v>3945</v>
      </c>
      <c r="B953" s="25" t="s">
        <v>3935</v>
      </c>
      <c r="C953" s="25" t="s">
        <v>659</v>
      </c>
      <c r="D953" s="17" t="str">
        <f>vlookup(C953,'1. 신청자리스트'!J:N,2,false)</f>
        <v>중복</v>
      </c>
      <c r="E953" s="25"/>
      <c r="F953" s="25" t="s">
        <v>1096</v>
      </c>
      <c r="G953" s="26">
        <v>70000.0</v>
      </c>
      <c r="H953" s="27" t="s">
        <v>3948</v>
      </c>
      <c r="I953" s="28"/>
      <c r="J953" s="28"/>
      <c r="K953" s="28"/>
      <c r="L953" s="29"/>
      <c r="M953" s="22"/>
      <c r="N953" s="22"/>
      <c r="O953" s="22"/>
      <c r="P953" s="22"/>
      <c r="Q953" s="22"/>
      <c r="R953" s="22"/>
      <c r="S953" s="22"/>
      <c r="T953" s="23"/>
    </row>
    <row r="954">
      <c r="A954" s="16" t="s">
        <v>4019</v>
      </c>
      <c r="B954" s="17" t="s">
        <v>3935</v>
      </c>
      <c r="C954" s="17" t="s">
        <v>659</v>
      </c>
      <c r="D954" s="17" t="str">
        <f>vlookup(C954,'1. 신청자리스트'!J:N,2,false)</f>
        <v>중복</v>
      </c>
      <c r="E954" s="17"/>
      <c r="F954" s="17" t="s">
        <v>659</v>
      </c>
      <c r="G954" s="18">
        <v>70000.0</v>
      </c>
      <c r="H954" s="19" t="s">
        <v>3948</v>
      </c>
      <c r="I954" s="20"/>
      <c r="J954" s="20"/>
      <c r="K954" s="20"/>
      <c r="L954" s="21"/>
      <c r="M954" s="22"/>
      <c r="N954" s="22"/>
      <c r="O954" s="22"/>
      <c r="P954" s="22"/>
      <c r="Q954" s="22"/>
      <c r="R954" s="22"/>
      <c r="S954" s="22"/>
      <c r="T954" s="23"/>
    </row>
    <row r="955">
      <c r="A955" s="24" t="s">
        <v>4415</v>
      </c>
      <c r="B955" s="25" t="s">
        <v>3935</v>
      </c>
      <c r="C955" s="25" t="s">
        <v>160</v>
      </c>
      <c r="D955" s="17" t="str">
        <f>vlookup(C955,'1. 신청자리스트'!J:N,2,false)</f>
        <v>중복</v>
      </c>
      <c r="E955" s="25"/>
      <c r="F955" s="25" t="s">
        <v>2842</v>
      </c>
      <c r="G955" s="26">
        <v>35000.0</v>
      </c>
      <c r="H955" s="27" t="s">
        <v>3995</v>
      </c>
      <c r="I955" s="28"/>
      <c r="J955" s="28"/>
      <c r="K955" s="28"/>
      <c r="L955" s="29"/>
      <c r="M955" s="22"/>
      <c r="N955" s="22"/>
      <c r="O955" s="22"/>
      <c r="P955" s="22"/>
      <c r="Q955" s="22"/>
      <c r="R955" s="22"/>
      <c r="S955" s="22"/>
      <c r="T955" s="23"/>
    </row>
    <row r="956">
      <c r="A956" s="16" t="s">
        <v>4416</v>
      </c>
      <c r="B956" s="17" t="s">
        <v>3935</v>
      </c>
      <c r="C956" s="17" t="s">
        <v>160</v>
      </c>
      <c r="D956" s="17" t="str">
        <f>vlookup(C956,'1. 신청자리스트'!J:N,2,false)</f>
        <v>중복</v>
      </c>
      <c r="E956" s="17"/>
      <c r="F956" s="17" t="s">
        <v>160</v>
      </c>
      <c r="G956" s="18">
        <v>35000.0</v>
      </c>
      <c r="H956" s="19" t="s">
        <v>3995</v>
      </c>
      <c r="I956" s="20"/>
      <c r="J956" s="20"/>
      <c r="K956" s="20"/>
      <c r="L956" s="21"/>
      <c r="M956" s="22"/>
      <c r="N956" s="22"/>
      <c r="O956" s="22"/>
      <c r="P956" s="22"/>
      <c r="Q956" s="22"/>
      <c r="R956" s="22"/>
      <c r="S956" s="22"/>
      <c r="T956" s="23"/>
    </row>
    <row r="957">
      <c r="A957" s="24" t="s">
        <v>3931</v>
      </c>
      <c r="B957" s="25" t="s">
        <v>3935</v>
      </c>
      <c r="C957" s="25" t="s">
        <v>162</v>
      </c>
      <c r="D957" s="17" t="str">
        <f>vlookup(C957,'1. 신청자리스트'!J:N,2,false)</f>
        <v>중복</v>
      </c>
      <c r="E957" s="25"/>
      <c r="F957" s="25" t="s">
        <v>162</v>
      </c>
      <c r="G957" s="26">
        <v>70000.0</v>
      </c>
      <c r="H957" s="27" t="s">
        <v>3939</v>
      </c>
      <c r="I957" s="28"/>
      <c r="J957" s="28"/>
      <c r="K957" s="28"/>
      <c r="L957" s="29"/>
      <c r="M957" s="22"/>
      <c r="N957" s="22"/>
      <c r="O957" s="22"/>
      <c r="P957" s="22"/>
      <c r="Q957" s="22"/>
      <c r="R957" s="22"/>
      <c r="S957" s="22"/>
      <c r="T957" s="23"/>
    </row>
    <row r="958">
      <c r="A958" s="24" t="s">
        <v>4002</v>
      </c>
      <c r="B958" s="25" t="s">
        <v>3935</v>
      </c>
      <c r="C958" s="25" t="s">
        <v>162</v>
      </c>
      <c r="D958" s="17" t="str">
        <f>vlookup(C958,'1. 신청자리스트'!J:N,2,false)</f>
        <v>중복</v>
      </c>
      <c r="E958" s="25"/>
      <c r="F958" s="25" t="s">
        <v>162</v>
      </c>
      <c r="G958" s="26">
        <v>60000.0</v>
      </c>
      <c r="H958" s="27" t="s">
        <v>3941</v>
      </c>
      <c r="I958" s="28"/>
      <c r="J958" s="28"/>
      <c r="K958" s="28"/>
      <c r="L958" s="29"/>
      <c r="M958" s="22"/>
      <c r="N958" s="22"/>
      <c r="O958" s="22"/>
      <c r="P958" s="22"/>
      <c r="Q958" s="22"/>
      <c r="R958" s="22"/>
      <c r="S958" s="22"/>
      <c r="T958" s="23"/>
    </row>
    <row r="959">
      <c r="A959" s="24" t="s">
        <v>3953</v>
      </c>
      <c r="B959" s="25" t="s">
        <v>3935</v>
      </c>
      <c r="C959" s="25" t="s">
        <v>162</v>
      </c>
      <c r="D959" s="17" t="str">
        <f>vlookup(C959,'1. 신청자리스트'!J:N,2,false)</f>
        <v>중복</v>
      </c>
      <c r="E959" s="25"/>
      <c r="F959" s="25" t="s">
        <v>162</v>
      </c>
      <c r="G959" s="26">
        <v>10000.0</v>
      </c>
      <c r="H959" s="27" t="s">
        <v>3941</v>
      </c>
      <c r="I959" s="28"/>
      <c r="J959" s="28"/>
      <c r="K959" s="28"/>
      <c r="L959" s="29"/>
      <c r="M959" s="22"/>
      <c r="N959" s="22"/>
      <c r="O959" s="22"/>
      <c r="P959" s="22"/>
      <c r="Q959" s="22"/>
      <c r="R959" s="22"/>
      <c r="S959" s="22"/>
      <c r="T959" s="23"/>
    </row>
    <row r="960">
      <c r="A960" s="24" t="s">
        <v>3945</v>
      </c>
      <c r="B960" s="25" t="s">
        <v>3932</v>
      </c>
      <c r="C960" s="25" t="s">
        <v>163</v>
      </c>
      <c r="D960" s="17" t="str">
        <f>vlookup(C960,'1. 신청자리스트'!J:N,2,false)</f>
        <v>중복</v>
      </c>
      <c r="E960" s="25"/>
      <c r="F960" s="25" t="s">
        <v>2333</v>
      </c>
      <c r="G960" s="26">
        <v>35000.0</v>
      </c>
      <c r="H960" s="27" t="s">
        <v>4417</v>
      </c>
      <c r="I960" s="28"/>
      <c r="J960" s="28"/>
      <c r="K960" s="28"/>
      <c r="L960" s="29"/>
      <c r="M960" s="22"/>
      <c r="N960" s="22"/>
      <c r="O960" s="22"/>
      <c r="P960" s="22"/>
      <c r="Q960" s="22"/>
      <c r="R960" s="22"/>
      <c r="S960" s="22"/>
      <c r="T960" s="23"/>
    </row>
    <row r="961">
      <c r="A961" s="16" t="s">
        <v>4002</v>
      </c>
      <c r="B961" s="17" t="s">
        <v>3932</v>
      </c>
      <c r="C961" s="17" t="s">
        <v>163</v>
      </c>
      <c r="D961" s="17" t="str">
        <f>vlookup(C961,'1. 신청자리스트'!J:N,2,false)</f>
        <v>중복</v>
      </c>
      <c r="E961" s="17"/>
      <c r="F961" s="17" t="s">
        <v>163</v>
      </c>
      <c r="G961" s="18">
        <v>35000.0</v>
      </c>
      <c r="H961" s="19" t="s">
        <v>4417</v>
      </c>
      <c r="I961" s="20"/>
      <c r="J961" s="20"/>
      <c r="K961" s="20"/>
      <c r="L961" s="21"/>
      <c r="M961" s="22"/>
      <c r="N961" s="22"/>
      <c r="O961" s="22"/>
      <c r="P961" s="22"/>
      <c r="Q961" s="22"/>
      <c r="R961" s="22"/>
      <c r="S961" s="22"/>
      <c r="T961" s="23"/>
    </row>
    <row r="962">
      <c r="A962" s="16" t="s">
        <v>3942</v>
      </c>
      <c r="B962" s="17" t="s">
        <v>3935</v>
      </c>
      <c r="C962" s="17" t="s">
        <v>165</v>
      </c>
      <c r="D962" s="17" t="str">
        <f>vlookup(C962,'1. 신청자리스트'!J:N,2,false)</f>
        <v>중복</v>
      </c>
      <c r="E962" s="17"/>
      <c r="F962" s="17" t="s">
        <v>165</v>
      </c>
      <c r="G962" s="18">
        <v>35000.0</v>
      </c>
      <c r="H962" s="19" t="s">
        <v>3948</v>
      </c>
      <c r="I962" s="20"/>
      <c r="J962" s="20"/>
      <c r="K962" s="20"/>
      <c r="L962" s="21"/>
      <c r="M962" s="22"/>
      <c r="N962" s="22"/>
      <c r="O962" s="22"/>
      <c r="P962" s="22"/>
      <c r="Q962" s="22"/>
      <c r="R962" s="22"/>
      <c r="S962" s="22"/>
      <c r="T962" s="23"/>
    </row>
    <row r="963">
      <c r="A963" s="16" t="s">
        <v>3942</v>
      </c>
      <c r="B963" s="17" t="s">
        <v>3935</v>
      </c>
      <c r="C963" s="17" t="s">
        <v>165</v>
      </c>
      <c r="D963" s="17" t="str">
        <f>vlookup(C963,'1. 신청자리스트'!J:N,2,false)</f>
        <v>중복</v>
      </c>
      <c r="E963" s="17"/>
      <c r="F963" s="17" t="s">
        <v>4418</v>
      </c>
      <c r="G963" s="18">
        <v>35000.0</v>
      </c>
      <c r="H963" s="19" t="s">
        <v>3952</v>
      </c>
      <c r="I963" s="20"/>
      <c r="J963" s="20"/>
      <c r="K963" s="20"/>
      <c r="L963" s="21"/>
      <c r="M963" s="22"/>
      <c r="N963" s="22"/>
      <c r="O963" s="22"/>
      <c r="P963" s="22"/>
      <c r="Q963" s="22"/>
      <c r="R963" s="22"/>
      <c r="S963" s="22"/>
      <c r="T963" s="23"/>
    </row>
    <row r="964">
      <c r="A964" s="24" t="s">
        <v>3940</v>
      </c>
      <c r="B964" s="25" t="s">
        <v>3932</v>
      </c>
      <c r="C964" s="25" t="s">
        <v>674</v>
      </c>
      <c r="D964" s="17" t="str">
        <f>vlookup(C964,'1. 신청자리스트'!J:N,2,false)</f>
        <v>중복</v>
      </c>
      <c r="E964" s="17" t="str">
        <f>if(vlookup(C964,'문의'!D:D,1,false)=C964,"있음")</f>
        <v>있음</v>
      </c>
      <c r="F964" s="25" t="s">
        <v>4419</v>
      </c>
      <c r="G964" s="26">
        <v>70000.0</v>
      </c>
      <c r="H964" s="27" t="s">
        <v>4420</v>
      </c>
      <c r="I964" s="28"/>
      <c r="J964" s="28"/>
      <c r="K964" s="28"/>
      <c r="L964" s="29"/>
      <c r="M964" s="22"/>
      <c r="N964" s="22"/>
      <c r="O964" s="22"/>
      <c r="P964" s="22"/>
      <c r="Q964" s="22"/>
      <c r="R964" s="22"/>
      <c r="S964" s="22"/>
      <c r="T964" s="23"/>
    </row>
    <row r="965">
      <c r="A965" s="24" t="s">
        <v>3962</v>
      </c>
      <c r="B965" s="25" t="s">
        <v>3932</v>
      </c>
      <c r="C965" s="25" t="s">
        <v>674</v>
      </c>
      <c r="D965" s="17" t="str">
        <f>vlookup(C965,'1. 신청자리스트'!J:N,2,false)</f>
        <v>중복</v>
      </c>
      <c r="E965" s="25"/>
      <c r="F965" s="25" t="s">
        <v>1023</v>
      </c>
      <c r="G965" s="26">
        <v>70000.0</v>
      </c>
      <c r="H965" s="27" t="s">
        <v>4420</v>
      </c>
      <c r="I965" s="28"/>
      <c r="J965" s="28"/>
      <c r="K965" s="28"/>
      <c r="L965" s="29"/>
      <c r="M965" s="22"/>
      <c r="N965" s="22"/>
      <c r="O965" s="22"/>
      <c r="P965" s="22"/>
      <c r="Q965" s="22"/>
      <c r="R965" s="22"/>
      <c r="S965" s="22"/>
      <c r="T965" s="23"/>
    </row>
    <row r="966">
      <c r="A966" s="16" t="s">
        <v>3955</v>
      </c>
      <c r="B966" s="17" t="s">
        <v>3932</v>
      </c>
      <c r="C966" s="17" t="s">
        <v>674</v>
      </c>
      <c r="D966" s="17" t="str">
        <f>vlookup(C966,'1. 신청자리스트'!J:N,2,false)</f>
        <v>중복</v>
      </c>
      <c r="E966" s="17"/>
      <c r="F966" s="17" t="s">
        <v>674</v>
      </c>
      <c r="G966" s="18">
        <v>70000.0</v>
      </c>
      <c r="H966" s="19" t="s">
        <v>4420</v>
      </c>
      <c r="I966" s="20"/>
      <c r="J966" s="20"/>
      <c r="K966" s="20"/>
      <c r="L966" s="21"/>
      <c r="M966" s="22"/>
      <c r="N966" s="22"/>
      <c r="O966" s="22"/>
      <c r="P966" s="22"/>
      <c r="Q966" s="22"/>
      <c r="R966" s="22"/>
      <c r="S966" s="22"/>
      <c r="T966" s="23"/>
    </row>
    <row r="967">
      <c r="A967" s="24" t="s">
        <v>3942</v>
      </c>
      <c r="B967" s="25" t="s">
        <v>3935</v>
      </c>
      <c r="C967" s="25" t="s">
        <v>193</v>
      </c>
      <c r="D967" s="17" t="str">
        <f>vlookup(C967,'1. 신청자리스트'!J:N,2,false)</f>
        <v>중복</v>
      </c>
      <c r="E967" s="25"/>
      <c r="F967" s="25" t="s">
        <v>2847</v>
      </c>
      <c r="G967" s="26">
        <v>35000.0</v>
      </c>
      <c r="H967" s="27" t="s">
        <v>3948</v>
      </c>
      <c r="I967" s="28"/>
      <c r="J967" s="28"/>
      <c r="K967" s="28"/>
      <c r="L967" s="29"/>
      <c r="M967" s="22"/>
      <c r="N967" s="22"/>
      <c r="O967" s="22"/>
      <c r="P967" s="22"/>
      <c r="Q967" s="22"/>
      <c r="R967" s="22"/>
      <c r="S967" s="22"/>
      <c r="T967" s="23"/>
    </row>
    <row r="968">
      <c r="A968" s="16" t="s">
        <v>4002</v>
      </c>
      <c r="B968" s="17" t="s">
        <v>3935</v>
      </c>
      <c r="C968" s="17" t="s">
        <v>193</v>
      </c>
      <c r="D968" s="17" t="str">
        <f>vlookup(C968,'1. 신청자리스트'!J:N,2,false)</f>
        <v>중복</v>
      </c>
      <c r="E968" s="17"/>
      <c r="F968" s="17" t="s">
        <v>193</v>
      </c>
      <c r="G968" s="18">
        <v>35000.0</v>
      </c>
      <c r="H968" s="19" t="s">
        <v>3948</v>
      </c>
      <c r="I968" s="20"/>
      <c r="J968" s="20"/>
      <c r="K968" s="20"/>
      <c r="L968" s="21"/>
      <c r="M968" s="22"/>
      <c r="N968" s="22"/>
      <c r="O968" s="22"/>
      <c r="P968" s="22"/>
      <c r="Q968" s="22"/>
      <c r="R968" s="22"/>
      <c r="S968" s="22"/>
      <c r="T968" s="23"/>
    </row>
    <row r="969">
      <c r="A969" s="24" t="s">
        <v>3945</v>
      </c>
      <c r="B969" s="25" t="s">
        <v>3935</v>
      </c>
      <c r="C969" s="25" t="s">
        <v>696</v>
      </c>
      <c r="D969" s="17" t="str">
        <f>vlookup(C969,'1. 신청자리스트'!J:N,2,false)</f>
        <v>중복</v>
      </c>
      <c r="E969" s="17"/>
      <c r="F969" s="25" t="s">
        <v>4421</v>
      </c>
      <c r="G969" s="26">
        <v>70000.0</v>
      </c>
      <c r="H969" s="27" t="s">
        <v>4006</v>
      </c>
      <c r="I969" s="28"/>
      <c r="J969" s="28"/>
      <c r="K969" s="28"/>
      <c r="L969" s="29"/>
      <c r="M969" s="22"/>
      <c r="N969" s="22"/>
      <c r="O969" s="22"/>
      <c r="P969" s="22"/>
      <c r="Q969" s="22"/>
      <c r="R969" s="22"/>
      <c r="S969" s="22"/>
      <c r="T969" s="23"/>
    </row>
    <row r="970">
      <c r="A970" s="16" t="s">
        <v>3955</v>
      </c>
      <c r="B970" s="17" t="s">
        <v>3935</v>
      </c>
      <c r="C970" s="17" t="s">
        <v>696</v>
      </c>
      <c r="D970" s="17" t="str">
        <f>vlookup(C970,'1. 신청자리스트'!J:N,2,false)</f>
        <v>중복</v>
      </c>
      <c r="E970" s="17"/>
      <c r="F970" s="17" t="s">
        <v>4422</v>
      </c>
      <c r="G970" s="18">
        <v>70000.0</v>
      </c>
      <c r="H970" s="19" t="s">
        <v>4006</v>
      </c>
      <c r="I970" s="20"/>
      <c r="J970" s="20"/>
      <c r="K970" s="20"/>
      <c r="L970" s="21"/>
      <c r="M970" s="22"/>
      <c r="N970" s="22"/>
      <c r="O970" s="22"/>
      <c r="P970" s="22"/>
      <c r="Q970" s="22"/>
      <c r="R970" s="22"/>
      <c r="S970" s="22"/>
      <c r="T970" s="23"/>
    </row>
    <row r="971">
      <c r="A971" s="24" t="s">
        <v>3940</v>
      </c>
      <c r="B971" s="25" t="s">
        <v>3932</v>
      </c>
      <c r="C971" s="25" t="s">
        <v>701</v>
      </c>
      <c r="D971" s="17" t="str">
        <f>vlookup(C971,'1. 신청자리스트'!J:N,2,false)</f>
        <v>중복</v>
      </c>
      <c r="E971" s="25"/>
      <c r="F971" s="25" t="s">
        <v>1138</v>
      </c>
      <c r="G971" s="26">
        <v>70000.0</v>
      </c>
      <c r="H971" s="27" t="s">
        <v>4423</v>
      </c>
      <c r="I971" s="28"/>
      <c r="J971" s="28"/>
      <c r="K971" s="28"/>
      <c r="L971" s="29"/>
      <c r="M971" s="22"/>
      <c r="N971" s="22"/>
      <c r="O971" s="22"/>
      <c r="P971" s="22"/>
      <c r="Q971" s="22"/>
      <c r="R971" s="22"/>
      <c r="S971" s="22"/>
      <c r="T971" s="23"/>
    </row>
    <row r="972">
      <c r="A972" s="16" t="s">
        <v>3938</v>
      </c>
      <c r="B972" s="17" t="s">
        <v>3932</v>
      </c>
      <c r="C972" s="17" t="s">
        <v>701</v>
      </c>
      <c r="D972" s="17" t="str">
        <f>vlookup(C972,'1. 신청자리스트'!J:N,2,false)</f>
        <v>중복</v>
      </c>
      <c r="E972" s="17"/>
      <c r="F972" s="17" t="s">
        <v>701</v>
      </c>
      <c r="G972" s="18">
        <v>70000.0</v>
      </c>
      <c r="H972" s="19" t="s">
        <v>4423</v>
      </c>
      <c r="I972" s="20"/>
      <c r="J972" s="20"/>
      <c r="K972" s="20"/>
      <c r="L972" s="21"/>
      <c r="M972" s="22"/>
      <c r="N972" s="22"/>
      <c r="O972" s="22"/>
      <c r="P972" s="22"/>
      <c r="Q972" s="22"/>
      <c r="R972" s="22"/>
      <c r="S972" s="22"/>
      <c r="T972" s="23"/>
    </row>
    <row r="973">
      <c r="A973" s="24" t="s">
        <v>3940</v>
      </c>
      <c r="B973" s="25" t="s">
        <v>3935</v>
      </c>
      <c r="C973" s="25" t="s">
        <v>725</v>
      </c>
      <c r="D973" s="17" t="str">
        <f>vlookup(C973,'1. 신청자리스트'!J:N,2,false)</f>
        <v>중복</v>
      </c>
      <c r="E973" s="25"/>
      <c r="F973" s="25" t="s">
        <v>1191</v>
      </c>
      <c r="G973" s="26">
        <v>70000.0</v>
      </c>
      <c r="H973" s="27" t="s">
        <v>3983</v>
      </c>
      <c r="I973" s="28"/>
      <c r="J973" s="28"/>
      <c r="K973" s="28"/>
      <c r="L973" s="29"/>
      <c r="M973" s="22"/>
      <c r="N973" s="22"/>
      <c r="O973" s="22"/>
      <c r="P973" s="22"/>
      <c r="Q973" s="22"/>
      <c r="R973" s="22"/>
      <c r="S973" s="22"/>
      <c r="T973" s="23"/>
    </row>
    <row r="974">
      <c r="A974" s="16" t="s">
        <v>3931</v>
      </c>
      <c r="B974" s="17" t="s">
        <v>3935</v>
      </c>
      <c r="C974" s="17" t="s">
        <v>725</v>
      </c>
      <c r="D974" s="17" t="str">
        <f>vlookup(C974,'1. 신청자리스트'!J:N,2,false)</f>
        <v>중복</v>
      </c>
      <c r="E974" s="17"/>
      <c r="F974" s="17" t="s">
        <v>725</v>
      </c>
      <c r="G974" s="18">
        <v>70000.0</v>
      </c>
      <c r="H974" s="19" t="s">
        <v>3983</v>
      </c>
      <c r="I974" s="20"/>
      <c r="J974" s="20"/>
      <c r="K974" s="20"/>
      <c r="L974" s="21"/>
      <c r="M974" s="22"/>
      <c r="N974" s="22"/>
      <c r="O974" s="22"/>
      <c r="P974" s="22"/>
      <c r="Q974" s="22"/>
      <c r="R974" s="22"/>
      <c r="S974" s="22"/>
      <c r="T974" s="23"/>
    </row>
    <row r="975">
      <c r="A975" s="24" t="s">
        <v>3942</v>
      </c>
      <c r="B975" s="25" t="s">
        <v>3943</v>
      </c>
      <c r="C975" s="25" t="s">
        <v>726</v>
      </c>
      <c r="D975" s="17" t="str">
        <f>vlookup(C975,'1. 신청자리스트'!J:N,2,false)</f>
        <v>중복</v>
      </c>
      <c r="E975" s="25"/>
      <c r="F975" s="25" t="s">
        <v>4424</v>
      </c>
      <c r="G975" s="26">
        <v>70000.0</v>
      </c>
      <c r="H975" s="27" t="s">
        <v>3944</v>
      </c>
      <c r="I975" s="45"/>
      <c r="J975" s="45"/>
      <c r="K975" s="45" t="s">
        <v>4425</v>
      </c>
      <c r="L975" s="29"/>
      <c r="M975" s="22"/>
      <c r="N975" s="22"/>
      <c r="O975" s="22"/>
      <c r="P975" s="22"/>
      <c r="Q975" s="22"/>
      <c r="R975" s="22"/>
      <c r="S975" s="22"/>
      <c r="T975" s="23"/>
    </row>
    <row r="976">
      <c r="A976" s="24" t="s">
        <v>3931</v>
      </c>
      <c r="B976" s="25" t="s">
        <v>3943</v>
      </c>
      <c r="C976" s="25" t="s">
        <v>726</v>
      </c>
      <c r="D976" s="17" t="str">
        <f>vlookup(C976,'1. 신청자리스트'!J:N,2,false)</f>
        <v>중복</v>
      </c>
      <c r="E976" s="25"/>
      <c r="F976" s="25" t="s">
        <v>726</v>
      </c>
      <c r="G976" s="26">
        <v>70000.0</v>
      </c>
      <c r="H976" s="27" t="s">
        <v>3944</v>
      </c>
      <c r="I976" s="28"/>
      <c r="J976" s="28"/>
      <c r="K976" s="28"/>
      <c r="L976" s="29"/>
      <c r="M976" s="22"/>
      <c r="N976" s="22"/>
      <c r="O976" s="22"/>
      <c r="P976" s="22"/>
      <c r="Q976" s="22"/>
      <c r="R976" s="22"/>
      <c r="S976" s="22"/>
      <c r="T976" s="23"/>
    </row>
    <row r="977">
      <c r="A977" s="24" t="s">
        <v>4255</v>
      </c>
      <c r="B977" s="25" t="s">
        <v>3932</v>
      </c>
      <c r="C977" s="25" t="s">
        <v>726</v>
      </c>
      <c r="D977" s="17" t="str">
        <f>vlookup(C977,'1. 신청자리스트'!J:N,2,false)</f>
        <v>중복</v>
      </c>
      <c r="E977" s="25"/>
      <c r="F977" s="25" t="s">
        <v>726</v>
      </c>
      <c r="G977" s="26">
        <v>60000.0</v>
      </c>
      <c r="H977" s="27" t="s">
        <v>4426</v>
      </c>
      <c r="I977" s="28"/>
      <c r="J977" s="28"/>
      <c r="K977" s="28"/>
      <c r="L977" s="29"/>
      <c r="M977" s="22"/>
      <c r="N977" s="22"/>
      <c r="O977" s="22"/>
      <c r="P977" s="22"/>
      <c r="Q977" s="22"/>
      <c r="R977" s="22"/>
      <c r="S977" s="22"/>
      <c r="T977" s="23"/>
    </row>
    <row r="978">
      <c r="A978" s="24" t="s">
        <v>3945</v>
      </c>
      <c r="B978" s="25" t="s">
        <v>3935</v>
      </c>
      <c r="C978" s="25" t="s">
        <v>235</v>
      </c>
      <c r="D978" s="17" t="str">
        <f>vlookup(C978,'1. 신청자리스트'!J:N,2,false)</f>
        <v>중복</v>
      </c>
      <c r="E978" s="25"/>
      <c r="F978" s="25" t="s">
        <v>2101</v>
      </c>
      <c r="G978" s="26">
        <v>35000.0</v>
      </c>
      <c r="H978" s="27" t="s">
        <v>3983</v>
      </c>
      <c r="I978" s="28"/>
      <c r="J978" s="28"/>
      <c r="K978" s="28"/>
      <c r="L978" s="29"/>
      <c r="M978" s="22"/>
      <c r="N978" s="22"/>
      <c r="O978" s="22"/>
      <c r="P978" s="22"/>
      <c r="Q978" s="22"/>
      <c r="R978" s="22"/>
      <c r="S978" s="22"/>
      <c r="T978" s="23"/>
    </row>
    <row r="979">
      <c r="A979" s="16" t="s">
        <v>4011</v>
      </c>
      <c r="B979" s="17" t="s">
        <v>3935</v>
      </c>
      <c r="C979" s="17" t="s">
        <v>235</v>
      </c>
      <c r="D979" s="17" t="str">
        <f>vlookup(C979,'1. 신청자리스트'!J:N,2,false)</f>
        <v>중복</v>
      </c>
      <c r="E979" s="17"/>
      <c r="F979" s="17" t="s">
        <v>235</v>
      </c>
      <c r="G979" s="18">
        <v>35000.0</v>
      </c>
      <c r="H979" s="19" t="s">
        <v>3983</v>
      </c>
      <c r="I979" s="20"/>
      <c r="J979" s="20"/>
      <c r="K979" s="20"/>
      <c r="L979" s="21"/>
      <c r="M979" s="22"/>
      <c r="N979" s="22"/>
      <c r="O979" s="22"/>
      <c r="P979" s="22"/>
      <c r="Q979" s="22"/>
      <c r="R979" s="22"/>
      <c r="S979" s="22"/>
      <c r="T979" s="23"/>
    </row>
    <row r="980">
      <c r="A980" s="30" t="s">
        <v>4096</v>
      </c>
      <c r="B980" s="31" t="s">
        <v>3935</v>
      </c>
      <c r="C980" s="53" t="s">
        <v>728</v>
      </c>
      <c r="D980" s="17" t="str">
        <f>vlookup(C980,'1. 신청자리스트'!J:N,2,false)</f>
        <v>정상</v>
      </c>
      <c r="E980" s="31"/>
      <c r="F980" s="31" t="s">
        <v>2194</v>
      </c>
      <c r="G980" s="32">
        <v>35000.0</v>
      </c>
      <c r="H980" s="55" t="s">
        <v>3983</v>
      </c>
      <c r="I980" s="20"/>
      <c r="J980" s="20"/>
      <c r="K980" s="20"/>
      <c r="L980" s="21"/>
      <c r="M980" s="22"/>
      <c r="N980" s="22"/>
      <c r="O980" s="22"/>
      <c r="P980" s="22"/>
      <c r="Q980" s="22"/>
      <c r="R980" s="22"/>
      <c r="S980" s="22"/>
      <c r="T980" s="23"/>
    </row>
    <row r="981">
      <c r="A981" s="24" t="s">
        <v>4150</v>
      </c>
      <c r="B981" s="25" t="s">
        <v>3935</v>
      </c>
      <c r="C981" s="25" t="s">
        <v>728</v>
      </c>
      <c r="D981" s="17" t="str">
        <f>vlookup(C981,'1. 신청자리스트'!J:N,2,false)</f>
        <v>정상</v>
      </c>
      <c r="E981" s="25"/>
      <c r="F981" s="25" t="s">
        <v>2192</v>
      </c>
      <c r="G981" s="26">
        <v>35000.0</v>
      </c>
      <c r="H981" s="27" t="s">
        <v>3948</v>
      </c>
      <c r="I981" s="28"/>
      <c r="J981" s="28"/>
      <c r="K981" s="28"/>
      <c r="L981" s="29"/>
      <c r="M981" s="22"/>
      <c r="N981" s="22"/>
      <c r="O981" s="22"/>
      <c r="P981" s="22"/>
      <c r="Q981" s="22"/>
      <c r="R981" s="22"/>
      <c r="S981" s="22"/>
      <c r="T981" s="23"/>
    </row>
    <row r="982">
      <c r="A982" s="24" t="s">
        <v>3942</v>
      </c>
      <c r="B982" s="25" t="s">
        <v>3935</v>
      </c>
      <c r="C982" s="25" t="s">
        <v>239</v>
      </c>
      <c r="D982" s="17" t="str">
        <f>vlookup(C982,'1. 신청자리스트'!J:N,2,false)</f>
        <v>중복</v>
      </c>
      <c r="E982" s="25"/>
      <c r="F982" s="25" t="s">
        <v>2852</v>
      </c>
      <c r="G982" s="26">
        <v>35000.0</v>
      </c>
      <c r="H982" s="27" t="s">
        <v>3948</v>
      </c>
      <c r="I982" s="28"/>
      <c r="J982" s="28"/>
      <c r="K982" s="28"/>
      <c r="L982" s="29"/>
      <c r="M982" s="22"/>
      <c r="N982" s="22"/>
      <c r="O982" s="22"/>
      <c r="P982" s="25" t="s">
        <v>4427</v>
      </c>
      <c r="Q982" s="22"/>
      <c r="R982" s="22"/>
      <c r="S982" s="22"/>
      <c r="T982" s="23"/>
    </row>
    <row r="983">
      <c r="A983" s="24" t="s">
        <v>4428</v>
      </c>
      <c r="B983" s="17"/>
      <c r="C983" s="25" t="s">
        <v>239</v>
      </c>
      <c r="D983" s="17" t="str">
        <f>vlookup(C983,'1. 신청자리스트'!J:N,2,false)</f>
        <v>중복</v>
      </c>
      <c r="E983" s="17"/>
      <c r="F983" s="25" t="s">
        <v>239</v>
      </c>
      <c r="G983" s="26">
        <v>35000.0</v>
      </c>
      <c r="H983" s="19"/>
      <c r="I983" s="20"/>
      <c r="J983" s="20"/>
      <c r="K983" s="20"/>
      <c r="L983" s="21"/>
      <c r="M983" s="22"/>
      <c r="N983" s="22"/>
      <c r="O983" s="22"/>
      <c r="P983" s="22"/>
      <c r="Q983" s="22"/>
      <c r="R983" s="22"/>
      <c r="S983" s="22"/>
      <c r="T983" s="23"/>
    </row>
    <row r="984">
      <c r="A984" s="16" t="s">
        <v>4002</v>
      </c>
      <c r="B984" s="17" t="s">
        <v>3935</v>
      </c>
      <c r="C984" s="17" t="s">
        <v>241</v>
      </c>
      <c r="D984" s="17" t="str">
        <f>vlookup(C984,'1. 신청자리스트'!J:N,2,false)</f>
        <v>중복</v>
      </c>
      <c r="E984" s="17"/>
      <c r="F984" s="17" t="s">
        <v>241</v>
      </c>
      <c r="G984" s="18">
        <v>35000.0</v>
      </c>
      <c r="H984" s="19" t="s">
        <v>3948</v>
      </c>
      <c r="I984" s="20"/>
      <c r="J984" s="20"/>
      <c r="K984" s="20"/>
      <c r="L984" s="21"/>
      <c r="M984" s="22"/>
      <c r="N984" s="22"/>
      <c r="O984" s="22"/>
      <c r="P984" s="22"/>
      <c r="Q984" s="22"/>
      <c r="R984" s="22"/>
      <c r="S984" s="22"/>
      <c r="T984" s="23"/>
    </row>
    <row r="985">
      <c r="A985" s="16" t="s">
        <v>4429</v>
      </c>
      <c r="B985" s="17" t="s">
        <v>3935</v>
      </c>
      <c r="C985" s="17" t="s">
        <v>241</v>
      </c>
      <c r="D985" s="17" t="str">
        <f>vlookup(C985,'1. 신청자리스트'!J:N,2,false)</f>
        <v>중복</v>
      </c>
      <c r="E985" s="17"/>
      <c r="F985" s="17" t="s">
        <v>241</v>
      </c>
      <c r="G985" s="18">
        <v>35000.0</v>
      </c>
      <c r="H985" s="19" t="s">
        <v>3948</v>
      </c>
      <c r="I985" s="20"/>
      <c r="J985" s="20"/>
      <c r="K985" s="20"/>
      <c r="L985" s="21"/>
      <c r="M985" s="22"/>
      <c r="N985" s="22"/>
      <c r="O985" s="22"/>
      <c r="P985" s="22"/>
      <c r="Q985" s="22"/>
      <c r="R985" s="22"/>
      <c r="S985" s="22"/>
      <c r="T985" s="23"/>
    </row>
    <row r="986">
      <c r="A986" s="24" t="s">
        <v>3962</v>
      </c>
      <c r="B986" s="25" t="s">
        <v>3932</v>
      </c>
      <c r="C986" s="25" t="s">
        <v>732</v>
      </c>
      <c r="D986" s="17" t="str">
        <f>vlookup(C986,'1. 신청자리스트'!J:N,2,false)</f>
        <v>중복</v>
      </c>
      <c r="E986" s="25"/>
      <c r="F986" s="25" t="s">
        <v>1166</v>
      </c>
      <c r="G986" s="26">
        <v>70000.0</v>
      </c>
      <c r="H986" s="27" t="s">
        <v>4430</v>
      </c>
      <c r="I986" s="28"/>
      <c r="J986" s="28"/>
      <c r="K986" s="28"/>
      <c r="L986" s="29"/>
      <c r="M986" s="22"/>
      <c r="N986" s="22"/>
      <c r="O986" s="22"/>
      <c r="P986" s="22"/>
      <c r="Q986" s="22"/>
      <c r="R986" s="22"/>
      <c r="S986" s="22"/>
      <c r="T986" s="23"/>
    </row>
    <row r="987">
      <c r="A987" s="16" t="s">
        <v>4071</v>
      </c>
      <c r="B987" s="17" t="s">
        <v>3932</v>
      </c>
      <c r="C987" s="17" t="s">
        <v>732</v>
      </c>
      <c r="D987" s="17" t="str">
        <f>vlookup(C987,'1. 신청자리스트'!J:N,2,false)</f>
        <v>중복</v>
      </c>
      <c r="E987" s="17"/>
      <c r="F987" s="17" t="s">
        <v>732</v>
      </c>
      <c r="G987" s="18">
        <v>70000.0</v>
      </c>
      <c r="H987" s="19" t="s">
        <v>4430</v>
      </c>
      <c r="I987" s="20"/>
      <c r="J987" s="20"/>
      <c r="K987" s="20"/>
      <c r="L987" s="21"/>
      <c r="M987" s="22"/>
      <c r="N987" s="22"/>
      <c r="O987" s="22"/>
      <c r="P987" s="22"/>
      <c r="Q987" s="22"/>
      <c r="R987" s="22"/>
      <c r="S987" s="22"/>
      <c r="T987" s="23"/>
    </row>
    <row r="988">
      <c r="A988" s="24" t="s">
        <v>3942</v>
      </c>
      <c r="B988" s="25" t="s">
        <v>3993</v>
      </c>
      <c r="C988" s="25" t="s">
        <v>243</v>
      </c>
      <c r="D988" s="17" t="str">
        <f>vlookup(C988,'1. 신청자리스트'!J:N,2,false)</f>
        <v>중복</v>
      </c>
      <c r="E988" s="25"/>
      <c r="F988" s="25" t="s">
        <v>2776</v>
      </c>
      <c r="G988" s="26">
        <v>35000.0</v>
      </c>
      <c r="H988" s="27" t="s">
        <v>3939</v>
      </c>
      <c r="I988" s="28"/>
      <c r="J988" s="28"/>
      <c r="K988" s="28"/>
      <c r="L988" s="29"/>
      <c r="M988" s="22"/>
      <c r="N988" s="22"/>
      <c r="O988" s="22"/>
      <c r="P988" s="22"/>
      <c r="Q988" s="22"/>
      <c r="R988" s="22"/>
      <c r="S988" s="22"/>
      <c r="T988" s="23"/>
    </row>
    <row r="989">
      <c r="A989" s="16" t="s">
        <v>4056</v>
      </c>
      <c r="B989" s="17" t="s">
        <v>3943</v>
      </c>
      <c r="C989" s="17" t="s">
        <v>243</v>
      </c>
      <c r="D989" s="17" t="str">
        <f>vlookup(C989,'1. 신청자리스트'!J:N,2,false)</f>
        <v>중복</v>
      </c>
      <c r="E989" s="17"/>
      <c r="F989" s="17" t="s">
        <v>243</v>
      </c>
      <c r="G989" s="18">
        <v>35000.0</v>
      </c>
      <c r="H989" s="19" t="s">
        <v>3944</v>
      </c>
      <c r="I989" s="20"/>
      <c r="J989" s="20"/>
      <c r="K989" s="20"/>
      <c r="L989" s="21"/>
      <c r="M989" s="22"/>
      <c r="N989" s="22"/>
      <c r="O989" s="22"/>
      <c r="P989" s="22"/>
      <c r="Q989" s="22"/>
      <c r="R989" s="22"/>
      <c r="S989" s="22"/>
      <c r="T989" s="23"/>
    </row>
    <row r="990">
      <c r="A990" s="16" t="s">
        <v>4008</v>
      </c>
      <c r="B990" s="17" t="s">
        <v>3935</v>
      </c>
      <c r="C990" s="17" t="s">
        <v>243</v>
      </c>
      <c r="D990" s="17" t="str">
        <f>vlookup(C990,'1. 신청자리스트'!J:N,2,false)</f>
        <v>중복</v>
      </c>
      <c r="E990" s="17"/>
      <c r="F990" s="17" t="s">
        <v>4431</v>
      </c>
      <c r="G990" s="18">
        <v>35000.0</v>
      </c>
      <c r="H990" s="19" t="s">
        <v>4006</v>
      </c>
      <c r="I990" s="20"/>
      <c r="J990" s="20"/>
      <c r="K990" s="20"/>
      <c r="L990" s="21"/>
      <c r="M990" s="22"/>
      <c r="N990" s="22"/>
      <c r="O990" s="22"/>
      <c r="P990" s="22"/>
      <c r="Q990" s="22"/>
      <c r="R990" s="22"/>
      <c r="S990" s="22"/>
      <c r="T990" s="23"/>
    </row>
    <row r="991">
      <c r="A991" s="16" t="s">
        <v>4432</v>
      </c>
      <c r="B991" s="17" t="s">
        <v>3935</v>
      </c>
      <c r="C991" s="17" t="s">
        <v>733</v>
      </c>
      <c r="D991" s="17" t="str">
        <f>vlookup(C991,'1. 신청자리스트'!J:N,2,false)</f>
        <v>중복</v>
      </c>
      <c r="E991" s="17"/>
      <c r="F991" s="17" t="s">
        <v>733</v>
      </c>
      <c r="G991" s="18">
        <v>70000.0</v>
      </c>
      <c r="H991" s="19" t="s">
        <v>3948</v>
      </c>
      <c r="I991" s="20"/>
      <c r="J991" s="20"/>
      <c r="K991" s="20"/>
      <c r="L991" s="21"/>
      <c r="M991" s="22"/>
      <c r="N991" s="22"/>
      <c r="O991" s="22"/>
      <c r="P991" s="22"/>
      <c r="Q991" s="22"/>
      <c r="R991" s="22"/>
      <c r="S991" s="22"/>
      <c r="T991" s="23"/>
    </row>
    <row r="992">
      <c r="A992" s="24" t="s">
        <v>4433</v>
      </c>
      <c r="B992" s="25" t="s">
        <v>3935</v>
      </c>
      <c r="C992" s="25" t="s">
        <v>733</v>
      </c>
      <c r="D992" s="17" t="str">
        <f>vlookup(C992,'1. 신청자리스트'!J:N,2,false)</f>
        <v>중복</v>
      </c>
      <c r="E992" s="25"/>
      <c r="F992" s="25" t="s">
        <v>1143</v>
      </c>
      <c r="G992" s="26">
        <v>70000.0</v>
      </c>
      <c r="H992" s="27" t="s">
        <v>3948</v>
      </c>
      <c r="I992" s="28"/>
      <c r="J992" s="28"/>
      <c r="K992" s="28"/>
      <c r="L992" s="29"/>
      <c r="M992" s="22"/>
      <c r="N992" s="22"/>
      <c r="O992" s="22"/>
      <c r="P992" s="22"/>
      <c r="Q992" s="22"/>
      <c r="R992" s="22"/>
      <c r="S992" s="22"/>
      <c r="T992" s="23"/>
    </row>
    <row r="993">
      <c r="A993" s="24" t="s">
        <v>3940</v>
      </c>
      <c r="B993" s="25" t="s">
        <v>3935</v>
      </c>
      <c r="C993" s="25" t="s">
        <v>245</v>
      </c>
      <c r="D993" s="17" t="str">
        <f>vlookup(C993,'1. 신청자리스트'!J:N,2,false)</f>
        <v>중복</v>
      </c>
      <c r="E993" s="25"/>
      <c r="F993" s="25" t="s">
        <v>2856</v>
      </c>
      <c r="G993" s="26">
        <v>35000.0</v>
      </c>
      <c r="H993" s="27" t="s">
        <v>3939</v>
      </c>
      <c r="I993" s="28"/>
      <c r="J993" s="28"/>
      <c r="K993" s="28"/>
      <c r="L993" s="29"/>
      <c r="M993" s="22"/>
      <c r="N993" s="22"/>
      <c r="O993" s="22"/>
      <c r="P993" s="22"/>
      <c r="Q993" s="22"/>
      <c r="R993" s="22"/>
      <c r="S993" s="22"/>
      <c r="T993" s="23"/>
    </row>
    <row r="994">
      <c r="A994" s="16" t="s">
        <v>4019</v>
      </c>
      <c r="B994" s="17" t="s">
        <v>3935</v>
      </c>
      <c r="C994" s="17" t="s">
        <v>245</v>
      </c>
      <c r="D994" s="17" t="str">
        <f>vlookup(C994,'1. 신청자리스트'!J:N,2,false)</f>
        <v>중복</v>
      </c>
      <c r="E994" s="17"/>
      <c r="F994" s="17" t="s">
        <v>245</v>
      </c>
      <c r="G994" s="18">
        <v>35000.0</v>
      </c>
      <c r="H994" s="19" t="s">
        <v>3939</v>
      </c>
      <c r="I994" s="20"/>
      <c r="J994" s="20"/>
      <c r="K994" s="20"/>
      <c r="L994" s="21"/>
      <c r="M994" s="22"/>
      <c r="N994" s="22"/>
      <c r="O994" s="22"/>
      <c r="P994" s="22"/>
      <c r="Q994" s="22"/>
      <c r="R994" s="22"/>
      <c r="S994" s="22"/>
      <c r="T994" s="23"/>
    </row>
    <row r="995">
      <c r="A995" s="24" t="s">
        <v>3940</v>
      </c>
      <c r="B995" s="25" t="s">
        <v>3935</v>
      </c>
      <c r="C995" s="25" t="s">
        <v>736</v>
      </c>
      <c r="D995" s="17" t="str">
        <f>vlookup(C995,'1. 신청자리스트'!J:N,2,false)</f>
        <v>중복</v>
      </c>
      <c r="E995" s="17" t="str">
        <f>if(vlookup(C995,'문의'!D:D,1,false)=C995,"있음")</f>
        <v>#N/A</v>
      </c>
      <c r="F995" s="25" t="s">
        <v>4434</v>
      </c>
      <c r="G995" s="26">
        <v>60000.0</v>
      </c>
      <c r="H995" s="27" t="s">
        <v>3941</v>
      </c>
      <c r="I995" s="28"/>
      <c r="J995" s="28"/>
      <c r="K995" s="28"/>
      <c r="L995" s="29"/>
      <c r="M995" s="22"/>
      <c r="N995" s="22"/>
      <c r="O995" s="22"/>
      <c r="P995" s="22"/>
      <c r="Q995" s="22"/>
      <c r="R995" s="22"/>
      <c r="S995" s="22"/>
      <c r="T995" s="23"/>
    </row>
    <row r="996">
      <c r="A996" s="16" t="s">
        <v>4435</v>
      </c>
      <c r="B996" s="17" t="s">
        <v>3935</v>
      </c>
      <c r="C996" s="17" t="s">
        <v>736</v>
      </c>
      <c r="D996" s="17" t="str">
        <f>vlookup(C996,'1. 신청자리스트'!J:N,2,false)</f>
        <v>중복</v>
      </c>
      <c r="E996" s="17"/>
      <c r="F996" s="17" t="s">
        <v>736</v>
      </c>
      <c r="G996" s="18">
        <v>70000.0</v>
      </c>
      <c r="H996" s="19" t="s">
        <v>3941</v>
      </c>
      <c r="I996" s="20"/>
      <c r="J996" s="20"/>
      <c r="K996" s="20"/>
      <c r="L996" s="21"/>
      <c r="M996" s="22"/>
      <c r="N996" s="22"/>
      <c r="O996" s="22"/>
      <c r="P996" s="22"/>
      <c r="Q996" s="22"/>
      <c r="R996" s="22"/>
      <c r="S996" s="22"/>
      <c r="T996" s="23"/>
    </row>
    <row r="997">
      <c r="A997" s="16" t="s">
        <v>3985</v>
      </c>
      <c r="B997" s="17" t="s">
        <v>3935</v>
      </c>
      <c r="C997" s="17" t="s">
        <v>736</v>
      </c>
      <c r="D997" s="17" t="str">
        <f>vlookup(C997,'1. 신청자리스트'!J:N,2,false)</f>
        <v>중복</v>
      </c>
      <c r="E997" s="17"/>
      <c r="F997" s="17" t="s">
        <v>736</v>
      </c>
      <c r="G997" s="18">
        <v>60000.0</v>
      </c>
      <c r="H997" s="19" t="s">
        <v>3941</v>
      </c>
      <c r="I997" s="20"/>
      <c r="J997" s="20"/>
      <c r="K997" s="20"/>
      <c r="L997" s="21"/>
      <c r="M997" s="22"/>
      <c r="N997" s="22"/>
      <c r="O997" s="22"/>
      <c r="P997" s="22"/>
      <c r="Q997" s="22"/>
      <c r="R997" s="22"/>
      <c r="S997" s="22"/>
      <c r="T997" s="23"/>
    </row>
    <row r="998">
      <c r="A998" s="24" t="s">
        <v>3940</v>
      </c>
      <c r="B998" s="25" t="s">
        <v>3935</v>
      </c>
      <c r="C998" s="25" t="s">
        <v>250</v>
      </c>
      <c r="D998" s="17" t="str">
        <f>vlookup(C998,'1. 신청자리스트'!J:N,2,false)</f>
        <v>중복</v>
      </c>
      <c r="E998" s="25"/>
      <c r="F998" s="25" t="s">
        <v>2858</v>
      </c>
      <c r="G998" s="26">
        <v>35000.0</v>
      </c>
      <c r="H998" s="27" t="s">
        <v>3946</v>
      </c>
      <c r="I998" s="28"/>
      <c r="J998" s="28"/>
      <c r="K998" s="28"/>
      <c r="L998" s="29"/>
      <c r="M998" s="22"/>
      <c r="N998" s="22"/>
      <c r="O998" s="22"/>
      <c r="P998" s="22"/>
      <c r="Q998" s="22"/>
      <c r="R998" s="22"/>
      <c r="S998" s="22"/>
      <c r="T998" s="23"/>
    </row>
    <row r="999">
      <c r="A999" s="16" t="s">
        <v>4395</v>
      </c>
      <c r="B999" s="17" t="s">
        <v>3935</v>
      </c>
      <c r="C999" s="17" t="s">
        <v>250</v>
      </c>
      <c r="D999" s="17" t="str">
        <f>vlookup(C999,'1. 신청자리스트'!J:N,2,false)</f>
        <v>중복</v>
      </c>
      <c r="E999" s="17"/>
      <c r="F999" s="17" t="s">
        <v>250</v>
      </c>
      <c r="G999" s="18">
        <v>35000.0</v>
      </c>
      <c r="H999" s="19" t="s">
        <v>3946</v>
      </c>
      <c r="I999" s="20"/>
      <c r="J999" s="20"/>
      <c r="K999" s="20"/>
      <c r="L999" s="21"/>
      <c r="M999" s="22"/>
      <c r="N999" s="22"/>
      <c r="O999" s="22"/>
      <c r="P999" s="22"/>
      <c r="Q999" s="22"/>
      <c r="R999" s="22"/>
      <c r="S999" s="22"/>
      <c r="T999" s="23"/>
    </row>
    <row r="1000">
      <c r="A1000" s="24" t="s">
        <v>4436</v>
      </c>
      <c r="B1000" s="17"/>
      <c r="C1000" s="25" t="s">
        <v>253</v>
      </c>
      <c r="D1000" s="17" t="str">
        <f>vlookup(C1000,'1. 신청자리스트'!J:N,2,false)</f>
        <v>중복</v>
      </c>
      <c r="E1000" s="17"/>
      <c r="F1000" s="25" t="s">
        <v>253</v>
      </c>
      <c r="G1000" s="26">
        <v>35000.0</v>
      </c>
      <c r="H1000" s="19"/>
      <c r="I1000" s="20"/>
      <c r="J1000" s="20"/>
      <c r="K1000" s="20"/>
      <c r="L1000" s="21"/>
      <c r="M1000" s="22"/>
      <c r="N1000" s="22"/>
      <c r="O1000" s="22"/>
      <c r="P1000" s="22"/>
      <c r="Q1000" s="22"/>
      <c r="R1000" s="22"/>
      <c r="S1000" s="22"/>
      <c r="T1000" s="23"/>
    </row>
    <row r="1001">
      <c r="A1001" s="24" t="s">
        <v>3940</v>
      </c>
      <c r="B1001" s="25" t="s">
        <v>3935</v>
      </c>
      <c r="C1001" s="25" t="s">
        <v>253</v>
      </c>
      <c r="D1001" s="17" t="str">
        <f>vlookup(C1001,'1. 신청자리스트'!J:N,2,false)</f>
        <v>중복</v>
      </c>
      <c r="E1001" s="25"/>
      <c r="F1001" s="25" t="s">
        <v>2860</v>
      </c>
      <c r="G1001" s="26">
        <v>35000.0</v>
      </c>
      <c r="H1001" s="27" t="s">
        <v>3983</v>
      </c>
      <c r="I1001" s="28"/>
      <c r="J1001" s="28"/>
      <c r="K1001" s="28"/>
      <c r="L1001" s="29"/>
      <c r="M1001" s="22"/>
      <c r="N1001" s="22"/>
      <c r="O1001" s="22"/>
      <c r="P1001" s="22"/>
      <c r="Q1001" s="22"/>
      <c r="R1001" s="22"/>
      <c r="S1001" s="22"/>
      <c r="T1001" s="23"/>
    </row>
    <row r="1002">
      <c r="A1002" s="24" t="s">
        <v>3931</v>
      </c>
      <c r="B1002" s="25" t="s">
        <v>3935</v>
      </c>
      <c r="C1002" s="25" t="s">
        <v>256</v>
      </c>
      <c r="D1002" s="17" t="str">
        <f>vlookup(C1002,'1. 신청자리스트'!J:N,2,false)</f>
        <v>중복</v>
      </c>
      <c r="E1002" s="25"/>
      <c r="F1002" s="25" t="s">
        <v>2039</v>
      </c>
      <c r="G1002" s="26">
        <v>35000.0</v>
      </c>
      <c r="H1002" s="27" t="s">
        <v>3946</v>
      </c>
      <c r="I1002" s="28"/>
      <c r="J1002" s="28"/>
      <c r="K1002" s="28"/>
      <c r="L1002" s="29"/>
      <c r="M1002" s="22"/>
      <c r="N1002" s="22"/>
      <c r="O1002" s="22"/>
      <c r="P1002" s="22"/>
      <c r="Q1002" s="22"/>
      <c r="R1002" s="22"/>
      <c r="S1002" s="22"/>
      <c r="T1002" s="23"/>
    </row>
    <row r="1003">
      <c r="A1003" s="16" t="s">
        <v>4002</v>
      </c>
      <c r="B1003" s="17" t="s">
        <v>3935</v>
      </c>
      <c r="C1003" s="17" t="s">
        <v>256</v>
      </c>
      <c r="D1003" s="17" t="str">
        <f>vlookup(C1003,'1. 신청자리스트'!J:N,2,false)</f>
        <v>중복</v>
      </c>
      <c r="E1003" s="17"/>
      <c r="F1003" s="17" t="s">
        <v>256</v>
      </c>
      <c r="G1003" s="18">
        <v>35000.0</v>
      </c>
      <c r="H1003" s="19" t="s">
        <v>3946</v>
      </c>
      <c r="I1003" s="20"/>
      <c r="J1003" s="20"/>
      <c r="K1003" s="20"/>
      <c r="L1003" s="21"/>
      <c r="M1003" s="22"/>
      <c r="N1003" s="22"/>
      <c r="O1003" s="22"/>
      <c r="P1003" s="22"/>
      <c r="Q1003" s="22"/>
      <c r="R1003" s="22"/>
      <c r="S1003" s="22"/>
      <c r="T1003" s="23"/>
    </row>
    <row r="1004">
      <c r="A1004" s="16" t="s">
        <v>4437</v>
      </c>
      <c r="B1004" s="17" t="s">
        <v>3932</v>
      </c>
      <c r="C1004" s="17" t="s">
        <v>258</v>
      </c>
      <c r="D1004" s="17" t="str">
        <f>vlookup(C1004,'1. 신청자리스트'!J:N,2,false)</f>
        <v>중복</v>
      </c>
      <c r="E1004" s="17"/>
      <c r="F1004" s="17" t="s">
        <v>258</v>
      </c>
      <c r="G1004" s="18">
        <v>35000.0</v>
      </c>
      <c r="H1004" s="19" t="s">
        <v>4438</v>
      </c>
      <c r="I1004" s="20"/>
      <c r="J1004" s="20"/>
      <c r="K1004" s="20"/>
      <c r="L1004" s="21"/>
      <c r="M1004" s="22"/>
      <c r="N1004" s="22"/>
      <c r="O1004" s="22"/>
      <c r="P1004" s="22"/>
      <c r="Q1004" s="22"/>
      <c r="R1004" s="22"/>
      <c r="S1004" s="22"/>
      <c r="T1004" s="23"/>
    </row>
    <row r="1005">
      <c r="A1005" s="16" t="s">
        <v>3938</v>
      </c>
      <c r="B1005" s="17" t="s">
        <v>3932</v>
      </c>
      <c r="C1005" s="17" t="s">
        <v>258</v>
      </c>
      <c r="D1005" s="17" t="str">
        <f>vlookup(C1005,'1. 신청자리스트'!J:N,2,false)</f>
        <v>중복</v>
      </c>
      <c r="E1005" s="17"/>
      <c r="F1005" s="17" t="s">
        <v>258</v>
      </c>
      <c r="G1005" s="18">
        <v>35000.0</v>
      </c>
      <c r="H1005" s="19" t="s">
        <v>4438</v>
      </c>
      <c r="I1005" s="20"/>
      <c r="J1005" s="20"/>
      <c r="K1005" s="20"/>
      <c r="L1005" s="21"/>
      <c r="M1005" s="22"/>
      <c r="N1005" s="22"/>
      <c r="O1005" s="22"/>
      <c r="P1005" s="22"/>
      <c r="Q1005" s="22"/>
      <c r="R1005" s="22"/>
      <c r="S1005" s="22"/>
      <c r="T1005" s="23"/>
    </row>
    <row r="1006">
      <c r="A1006" s="16" t="s">
        <v>3945</v>
      </c>
      <c r="B1006" s="17" t="s">
        <v>3935</v>
      </c>
      <c r="C1006" s="17" t="s">
        <v>750</v>
      </c>
      <c r="D1006" s="17" t="str">
        <f>vlookup(C1006,'1. 신청자리스트'!J:N,2,false)</f>
        <v>중복</v>
      </c>
      <c r="E1006" s="17"/>
      <c r="F1006" s="17" t="s">
        <v>4439</v>
      </c>
      <c r="G1006" s="18">
        <v>70000.0</v>
      </c>
      <c r="H1006" s="19" t="s">
        <v>3983</v>
      </c>
      <c r="I1006" s="20"/>
      <c r="J1006" s="20"/>
      <c r="K1006" s="20"/>
      <c r="L1006" s="21"/>
      <c r="M1006" s="22"/>
      <c r="N1006" s="22"/>
      <c r="O1006" s="22"/>
      <c r="P1006" s="22"/>
      <c r="Q1006" s="22"/>
      <c r="R1006" s="22"/>
      <c r="S1006" s="22"/>
      <c r="T1006" s="23"/>
    </row>
    <row r="1007">
      <c r="A1007" s="16" t="s">
        <v>3931</v>
      </c>
      <c r="B1007" s="17" t="s">
        <v>3935</v>
      </c>
      <c r="C1007" s="17" t="s">
        <v>750</v>
      </c>
      <c r="D1007" s="17" t="str">
        <f>vlookup(C1007,'1. 신청자리스트'!J:N,2,false)</f>
        <v>중복</v>
      </c>
      <c r="E1007" s="17"/>
      <c r="F1007" s="17" t="s">
        <v>750</v>
      </c>
      <c r="G1007" s="18">
        <v>60000.0</v>
      </c>
      <c r="H1007" s="19" t="s">
        <v>3983</v>
      </c>
      <c r="I1007" s="20"/>
      <c r="J1007" s="20"/>
      <c r="K1007" s="20"/>
      <c r="L1007" s="21"/>
      <c r="M1007" s="22"/>
      <c r="N1007" s="22"/>
      <c r="O1007" s="22"/>
      <c r="P1007" s="22"/>
      <c r="Q1007" s="22"/>
      <c r="R1007" s="22"/>
      <c r="S1007" s="22"/>
      <c r="T1007" s="23"/>
    </row>
    <row r="1008">
      <c r="A1008" s="24" t="s">
        <v>3949</v>
      </c>
      <c r="B1008" s="25" t="s">
        <v>3935</v>
      </c>
      <c r="C1008" s="25" t="s">
        <v>267</v>
      </c>
      <c r="D1008" s="17" t="str">
        <f>vlookup(C1008,'1. 신청자리스트'!J:N,2,false)</f>
        <v>중복</v>
      </c>
      <c r="E1008" s="17"/>
      <c r="F1008" s="25" t="s">
        <v>4440</v>
      </c>
      <c r="G1008" s="26">
        <v>35000.0</v>
      </c>
      <c r="H1008" s="27" t="s">
        <v>4006</v>
      </c>
      <c r="I1008" s="28"/>
      <c r="J1008" s="28"/>
      <c r="K1008" s="28"/>
      <c r="L1008" s="29"/>
      <c r="M1008" s="22"/>
      <c r="N1008" s="22"/>
      <c r="O1008" s="22"/>
      <c r="P1008" s="22"/>
      <c r="Q1008" s="22"/>
      <c r="R1008" s="22"/>
      <c r="S1008" s="22"/>
      <c r="T1008" s="23"/>
    </row>
    <row r="1009">
      <c r="A1009" s="16" t="s">
        <v>3942</v>
      </c>
      <c r="B1009" s="17" t="s">
        <v>3935</v>
      </c>
      <c r="C1009" s="17" t="s">
        <v>267</v>
      </c>
      <c r="D1009" s="17" t="str">
        <f>vlookup(C1009,'1. 신청자리스트'!J:N,2,false)</f>
        <v>중복</v>
      </c>
      <c r="E1009" s="17"/>
      <c r="F1009" s="17" t="s">
        <v>267</v>
      </c>
      <c r="G1009" s="18">
        <v>35000.0</v>
      </c>
      <c r="H1009" s="19" t="s">
        <v>4006</v>
      </c>
      <c r="I1009" s="20"/>
      <c r="J1009" s="20"/>
      <c r="K1009" s="20"/>
      <c r="L1009" s="21"/>
      <c r="M1009" s="22"/>
      <c r="N1009" s="22"/>
      <c r="O1009" s="22"/>
      <c r="P1009" s="22"/>
      <c r="Q1009" s="22"/>
      <c r="R1009" s="22"/>
      <c r="S1009" s="22"/>
      <c r="T1009" s="23"/>
    </row>
    <row r="1010">
      <c r="A1010" s="24" t="s">
        <v>3940</v>
      </c>
      <c r="B1010" s="25" t="s">
        <v>3935</v>
      </c>
      <c r="C1010" s="25" t="s">
        <v>756</v>
      </c>
      <c r="D1010" s="17" t="str">
        <f>vlookup(C1010,'1. 신청자리스트'!J:N,2,false)</f>
        <v>중복</v>
      </c>
      <c r="E1010" s="25"/>
      <c r="F1010" s="25" t="s">
        <v>1156</v>
      </c>
      <c r="G1010" s="26">
        <v>70000.0</v>
      </c>
      <c r="H1010" s="27" t="s">
        <v>4270</v>
      </c>
      <c r="I1010" s="28"/>
      <c r="J1010" s="28"/>
      <c r="K1010" s="28"/>
      <c r="L1010" s="29"/>
      <c r="M1010" s="22"/>
      <c r="N1010" s="22"/>
      <c r="O1010" s="22"/>
      <c r="P1010" s="22"/>
      <c r="Q1010" s="22"/>
      <c r="R1010" s="22"/>
      <c r="S1010" s="22"/>
      <c r="T1010" s="23"/>
    </row>
    <row r="1011">
      <c r="A1011" s="16" t="s">
        <v>3962</v>
      </c>
      <c r="B1011" s="17" t="s">
        <v>3935</v>
      </c>
      <c r="C1011" s="17" t="s">
        <v>756</v>
      </c>
      <c r="D1011" s="17" t="str">
        <f>vlookup(C1011,'1. 신청자리스트'!J:N,2,false)</f>
        <v>중복</v>
      </c>
      <c r="E1011" s="17"/>
      <c r="F1011" s="17" t="s">
        <v>756</v>
      </c>
      <c r="G1011" s="18">
        <v>70000.0</v>
      </c>
      <c r="H1011" s="19" t="s">
        <v>4270</v>
      </c>
      <c r="I1011" s="20"/>
      <c r="J1011" s="20"/>
      <c r="K1011" s="20"/>
      <c r="L1011" s="21"/>
      <c r="M1011" s="22"/>
      <c r="N1011" s="22"/>
      <c r="O1011" s="22"/>
      <c r="P1011" s="22"/>
      <c r="Q1011" s="22"/>
      <c r="R1011" s="22"/>
      <c r="S1011" s="22"/>
      <c r="T1011" s="23"/>
    </row>
    <row r="1012">
      <c r="A1012" s="24" t="s">
        <v>3980</v>
      </c>
      <c r="B1012" s="25" t="s">
        <v>3935</v>
      </c>
      <c r="C1012" s="25" t="s">
        <v>759</v>
      </c>
      <c r="D1012" s="17" t="str">
        <f>vlookup(C1012,'1. 신청자리스트'!J:N,2,false)</f>
        <v>중복</v>
      </c>
      <c r="E1012" s="25"/>
      <c r="F1012" s="25" t="s">
        <v>1105</v>
      </c>
      <c r="G1012" s="26">
        <v>70000.0</v>
      </c>
      <c r="H1012" s="27" t="s">
        <v>3941</v>
      </c>
      <c r="I1012" s="28"/>
      <c r="J1012" s="28"/>
      <c r="K1012" s="28"/>
      <c r="L1012" s="29"/>
      <c r="M1012" s="22"/>
      <c r="N1012" s="22"/>
      <c r="O1012" s="22"/>
      <c r="P1012" s="22"/>
      <c r="Q1012" s="22"/>
      <c r="R1012" s="22"/>
      <c r="S1012" s="22"/>
      <c r="T1012" s="23"/>
    </row>
    <row r="1013">
      <c r="A1013" s="16" t="s">
        <v>4011</v>
      </c>
      <c r="B1013" s="17" t="s">
        <v>3935</v>
      </c>
      <c r="C1013" s="17" t="s">
        <v>759</v>
      </c>
      <c r="D1013" s="17" t="str">
        <f>vlookup(C1013,'1. 신청자리스트'!J:N,2,false)</f>
        <v>중복</v>
      </c>
      <c r="E1013" s="17"/>
      <c r="F1013" s="17" t="s">
        <v>759</v>
      </c>
      <c r="G1013" s="18">
        <v>70000.0</v>
      </c>
      <c r="H1013" s="19" t="s">
        <v>3946</v>
      </c>
      <c r="I1013" s="20"/>
      <c r="J1013" s="20"/>
      <c r="K1013" s="20"/>
      <c r="L1013" s="21"/>
      <c r="M1013" s="22"/>
      <c r="N1013" s="22"/>
      <c r="O1013" s="22"/>
      <c r="P1013" s="22"/>
      <c r="Q1013" s="22"/>
      <c r="R1013" s="22"/>
      <c r="S1013" s="22"/>
      <c r="T1013" s="23"/>
    </row>
    <row r="1014">
      <c r="A1014" s="24" t="s">
        <v>4441</v>
      </c>
      <c r="B1014" s="25" t="s">
        <v>3935</v>
      </c>
      <c r="C1014" s="25" t="s">
        <v>272</v>
      </c>
      <c r="D1014" s="17" t="str">
        <f>vlookup(C1014,'1. 신청자리스트'!J:N,2,false)</f>
        <v>중복</v>
      </c>
      <c r="E1014" s="25"/>
      <c r="F1014" s="25" t="s">
        <v>2867</v>
      </c>
      <c r="G1014" s="26">
        <v>35000.0</v>
      </c>
      <c r="H1014" s="27" t="s">
        <v>3983</v>
      </c>
      <c r="I1014" s="28"/>
      <c r="J1014" s="28"/>
      <c r="K1014" s="28"/>
      <c r="L1014" s="29"/>
      <c r="M1014" s="22"/>
      <c r="N1014" s="22"/>
      <c r="O1014" s="22"/>
      <c r="P1014" s="22"/>
      <c r="Q1014" s="22"/>
      <c r="R1014" s="22"/>
      <c r="S1014" s="22"/>
      <c r="T1014" s="23"/>
    </row>
    <row r="1015">
      <c r="A1015" s="16" t="s">
        <v>4442</v>
      </c>
      <c r="B1015" s="17" t="s">
        <v>3935</v>
      </c>
      <c r="C1015" s="17" t="s">
        <v>272</v>
      </c>
      <c r="D1015" s="17" t="str">
        <f>vlookup(C1015,'1. 신청자리스트'!J:N,2,false)</f>
        <v>중복</v>
      </c>
      <c r="E1015" s="17"/>
      <c r="F1015" s="17" t="s">
        <v>272</v>
      </c>
      <c r="G1015" s="18">
        <v>35000.0</v>
      </c>
      <c r="H1015" s="19" t="s">
        <v>3983</v>
      </c>
      <c r="I1015" s="20"/>
      <c r="J1015" s="20"/>
      <c r="K1015" s="20"/>
      <c r="L1015" s="21"/>
      <c r="M1015" s="22"/>
      <c r="N1015" s="22"/>
      <c r="O1015" s="22"/>
      <c r="P1015" s="22"/>
      <c r="Q1015" s="22"/>
      <c r="R1015" s="22"/>
      <c r="S1015" s="22"/>
      <c r="T1015" s="23"/>
    </row>
    <row r="1016">
      <c r="A1016" s="24" t="s">
        <v>3940</v>
      </c>
      <c r="B1016" s="25" t="s">
        <v>3935</v>
      </c>
      <c r="C1016" s="25" t="s">
        <v>277</v>
      </c>
      <c r="D1016" s="17" t="str">
        <f>vlookup(C1016,'1. 신청자리스트'!J:N,2,false)</f>
        <v>중복</v>
      </c>
      <c r="E1016" s="25"/>
      <c r="F1016" s="25" t="s">
        <v>2869</v>
      </c>
      <c r="G1016" s="26">
        <v>35000.0</v>
      </c>
      <c r="H1016" s="27" t="s">
        <v>3990</v>
      </c>
      <c r="I1016" s="28"/>
      <c r="J1016" s="28"/>
      <c r="K1016" s="28"/>
      <c r="L1016" s="29"/>
      <c r="M1016" s="22"/>
      <c r="N1016" s="22"/>
      <c r="O1016" s="22"/>
      <c r="P1016" s="22"/>
      <c r="Q1016" s="22"/>
      <c r="R1016" s="22"/>
      <c r="S1016" s="22"/>
      <c r="T1016" s="23"/>
    </row>
    <row r="1017">
      <c r="A1017" s="16" t="s">
        <v>4002</v>
      </c>
      <c r="B1017" s="17" t="s">
        <v>3935</v>
      </c>
      <c r="C1017" s="17" t="s">
        <v>277</v>
      </c>
      <c r="D1017" s="17" t="str">
        <f>vlookup(C1017,'1. 신청자리스트'!J:N,2,false)</f>
        <v>중복</v>
      </c>
      <c r="E1017" s="17"/>
      <c r="F1017" s="17" t="s">
        <v>277</v>
      </c>
      <c r="G1017" s="18">
        <v>35000.0</v>
      </c>
      <c r="H1017" s="19" t="s">
        <v>3990</v>
      </c>
      <c r="I1017" s="20"/>
      <c r="J1017" s="20"/>
      <c r="K1017" s="20"/>
      <c r="L1017" s="21"/>
      <c r="M1017" s="22"/>
      <c r="N1017" s="22"/>
      <c r="O1017" s="22"/>
      <c r="P1017" s="22"/>
      <c r="Q1017" s="22"/>
      <c r="R1017" s="22"/>
      <c r="S1017" s="22"/>
      <c r="T1017" s="23"/>
    </row>
    <row r="1018">
      <c r="A1018" s="24" t="s">
        <v>4443</v>
      </c>
      <c r="B1018" s="25" t="s">
        <v>3935</v>
      </c>
      <c r="C1018" s="25" t="s">
        <v>765</v>
      </c>
      <c r="D1018" s="17" t="str">
        <f>vlookup(C1018,'1. 신청자리스트'!J:N,2,false)</f>
        <v>중복</v>
      </c>
      <c r="E1018" s="17"/>
      <c r="F1018" s="25" t="s">
        <v>4444</v>
      </c>
      <c r="G1018" s="26">
        <v>70000.0</v>
      </c>
      <c r="H1018" s="27" t="s">
        <v>3983</v>
      </c>
      <c r="I1018" s="28"/>
      <c r="J1018" s="28"/>
      <c r="K1018" s="45" t="s">
        <v>4445</v>
      </c>
      <c r="L1018" s="29"/>
      <c r="M1018" s="22"/>
      <c r="N1018" s="22"/>
      <c r="O1018" s="22"/>
      <c r="P1018" s="22"/>
      <c r="Q1018" s="22"/>
      <c r="R1018" s="22"/>
      <c r="S1018" s="22"/>
      <c r="T1018" s="23"/>
    </row>
    <row r="1019">
      <c r="A1019" s="24" t="s">
        <v>3989</v>
      </c>
      <c r="B1019" s="25" t="s">
        <v>3935</v>
      </c>
      <c r="C1019" s="25" t="s">
        <v>765</v>
      </c>
      <c r="D1019" s="17" t="str">
        <f>vlookup(C1019,'1. 신청자리스트'!J:N,2,false)</f>
        <v>중복</v>
      </c>
      <c r="E1019" s="25"/>
      <c r="F1019" s="25" t="s">
        <v>1087</v>
      </c>
      <c r="G1019" s="26">
        <v>70000.0</v>
      </c>
      <c r="H1019" s="27" t="s">
        <v>3983</v>
      </c>
      <c r="I1019" s="28"/>
      <c r="J1019" s="28"/>
      <c r="K1019" s="28"/>
      <c r="L1019" s="29"/>
      <c r="M1019" s="22"/>
      <c r="N1019" s="22"/>
      <c r="O1019" s="22"/>
      <c r="P1019" s="22"/>
      <c r="Q1019" s="22"/>
      <c r="R1019" s="22"/>
      <c r="S1019" s="22"/>
      <c r="T1019" s="23"/>
    </row>
    <row r="1020">
      <c r="A1020" s="24" t="s">
        <v>3989</v>
      </c>
      <c r="B1020" s="25" t="s">
        <v>3935</v>
      </c>
      <c r="C1020" s="25" t="s">
        <v>766</v>
      </c>
      <c r="D1020" s="17" t="str">
        <f>vlookup(C1020,'1. 신청자리스트'!J:N,2,false)</f>
        <v>중복</v>
      </c>
      <c r="E1020" s="25"/>
      <c r="F1020" s="25" t="s">
        <v>4446</v>
      </c>
      <c r="G1020" s="26">
        <v>70000.0</v>
      </c>
      <c r="H1020" s="27" t="s">
        <v>3946</v>
      </c>
      <c r="I1020" s="28"/>
      <c r="J1020" s="28"/>
      <c r="K1020" s="45" t="s">
        <v>4447</v>
      </c>
      <c r="L1020" s="29"/>
      <c r="M1020" s="22"/>
      <c r="N1020" s="22"/>
      <c r="O1020" s="22"/>
      <c r="P1020" s="22"/>
      <c r="Q1020" s="22"/>
      <c r="R1020" s="22"/>
      <c r="S1020" s="22"/>
      <c r="T1020" s="23"/>
    </row>
    <row r="1021">
      <c r="A1021" s="16" t="s">
        <v>3942</v>
      </c>
      <c r="B1021" s="17" t="s">
        <v>3935</v>
      </c>
      <c r="C1021" s="17" t="s">
        <v>766</v>
      </c>
      <c r="D1021" s="17" t="str">
        <f>vlookup(C1021,'1. 신청자리스트'!J:N,2,false)</f>
        <v>중복</v>
      </c>
      <c r="E1021" s="17"/>
      <c r="F1021" s="17" t="s">
        <v>4448</v>
      </c>
      <c r="G1021" s="18">
        <v>70000.0</v>
      </c>
      <c r="H1021" s="19" t="s">
        <v>3946</v>
      </c>
      <c r="I1021" s="20"/>
      <c r="J1021" s="20"/>
      <c r="K1021" s="20"/>
      <c r="L1021" s="21"/>
      <c r="M1021" s="22"/>
      <c r="N1021" s="22"/>
      <c r="O1021" s="22"/>
      <c r="P1021" s="22"/>
      <c r="Q1021" s="22"/>
      <c r="R1021" s="22"/>
      <c r="S1021" s="22"/>
      <c r="T1021" s="23"/>
    </row>
    <row r="1022">
      <c r="A1022" s="16" t="s">
        <v>3945</v>
      </c>
      <c r="B1022" s="17" t="s">
        <v>3935</v>
      </c>
      <c r="C1022" s="17" t="s">
        <v>766</v>
      </c>
      <c r="D1022" s="17" t="str">
        <f>vlookup(C1022,'1. 신청자리스트'!J:N,2,false)</f>
        <v>중복</v>
      </c>
      <c r="E1022" s="17"/>
      <c r="F1022" s="17" t="s">
        <v>766</v>
      </c>
      <c r="G1022" s="18">
        <v>70000.0</v>
      </c>
      <c r="H1022" s="19" t="s">
        <v>3990</v>
      </c>
      <c r="I1022" s="20"/>
      <c r="J1022" s="20"/>
      <c r="K1022" s="20"/>
      <c r="L1022" s="21"/>
      <c r="M1022" s="22"/>
      <c r="N1022" s="22"/>
      <c r="O1022" s="22"/>
      <c r="P1022" s="22"/>
      <c r="Q1022" s="22"/>
      <c r="R1022" s="22"/>
      <c r="S1022" s="22"/>
      <c r="T1022" s="23"/>
    </row>
    <row r="1023">
      <c r="A1023" s="24" t="s">
        <v>3949</v>
      </c>
      <c r="B1023" s="25" t="s">
        <v>3943</v>
      </c>
      <c r="C1023" s="25" t="s">
        <v>288</v>
      </c>
      <c r="D1023" s="17" t="str">
        <f>vlookup(C1023,'1. 신청자리스트'!J:N,2,false)</f>
        <v>중복</v>
      </c>
      <c r="E1023" s="25"/>
      <c r="F1023" s="25" t="s">
        <v>2873</v>
      </c>
      <c r="G1023" s="26">
        <v>35000.0</v>
      </c>
      <c r="H1023" s="27" t="s">
        <v>3944</v>
      </c>
      <c r="I1023" s="28"/>
      <c r="J1023" s="28"/>
      <c r="K1023" s="28"/>
      <c r="L1023" s="29"/>
      <c r="M1023" s="22"/>
      <c r="N1023" s="22"/>
      <c r="O1023" s="22"/>
      <c r="P1023" s="22"/>
      <c r="Q1023" s="22"/>
      <c r="R1023" s="22"/>
      <c r="S1023" s="22"/>
      <c r="T1023" s="23"/>
    </row>
    <row r="1024">
      <c r="A1024" s="16" t="s">
        <v>3945</v>
      </c>
      <c r="B1024" s="17" t="s">
        <v>3943</v>
      </c>
      <c r="C1024" s="17" t="s">
        <v>288</v>
      </c>
      <c r="D1024" s="17" t="str">
        <f>vlookup(C1024,'1. 신청자리스트'!J:N,2,false)</f>
        <v>중복</v>
      </c>
      <c r="E1024" s="17"/>
      <c r="F1024" s="17" t="s">
        <v>288</v>
      </c>
      <c r="G1024" s="18">
        <v>35000.0</v>
      </c>
      <c r="H1024" s="19" t="s">
        <v>3944</v>
      </c>
      <c r="I1024" s="20"/>
      <c r="J1024" s="20"/>
      <c r="K1024" s="20"/>
      <c r="L1024" s="21"/>
      <c r="M1024" s="22"/>
      <c r="N1024" s="22"/>
      <c r="O1024" s="22"/>
      <c r="P1024" s="22"/>
      <c r="Q1024" s="22"/>
      <c r="R1024" s="22"/>
      <c r="S1024" s="22"/>
      <c r="T1024" s="23"/>
    </row>
    <row r="1025">
      <c r="A1025" s="24" t="s">
        <v>3940</v>
      </c>
      <c r="B1025" s="25" t="s">
        <v>3935</v>
      </c>
      <c r="C1025" s="25" t="s">
        <v>307</v>
      </c>
      <c r="D1025" s="17" t="str">
        <f>vlookup(C1025,'1. 신청자리스트'!J:N,2,false)</f>
        <v>중복</v>
      </c>
      <c r="E1025" s="25"/>
      <c r="F1025" s="25" t="s">
        <v>2875</v>
      </c>
      <c r="G1025" s="26">
        <v>35000.0</v>
      </c>
      <c r="H1025" s="27" t="s">
        <v>3952</v>
      </c>
      <c r="I1025" s="28"/>
      <c r="J1025" s="28"/>
      <c r="K1025" s="28"/>
      <c r="L1025" s="29"/>
      <c r="M1025" s="22"/>
      <c r="N1025" s="22"/>
      <c r="O1025" s="22"/>
      <c r="P1025" s="22"/>
      <c r="Q1025" s="22"/>
      <c r="R1025" s="22"/>
      <c r="S1025" s="22"/>
      <c r="T1025" s="23"/>
    </row>
    <row r="1026">
      <c r="A1026" s="16" t="s">
        <v>3962</v>
      </c>
      <c r="B1026" s="17" t="s">
        <v>3935</v>
      </c>
      <c r="C1026" s="17" t="s">
        <v>307</v>
      </c>
      <c r="D1026" s="17" t="str">
        <f>vlookup(C1026,'1. 신청자리스트'!J:N,2,false)</f>
        <v>중복</v>
      </c>
      <c r="E1026" s="17"/>
      <c r="F1026" s="17" t="s">
        <v>307</v>
      </c>
      <c r="G1026" s="18">
        <v>35000.0</v>
      </c>
      <c r="H1026" s="19" t="s">
        <v>3952</v>
      </c>
      <c r="I1026" s="47"/>
      <c r="J1026" s="20"/>
      <c r="K1026" s="20"/>
      <c r="L1026" s="20"/>
      <c r="M1026" s="29"/>
      <c r="N1026" s="22"/>
      <c r="O1026" s="22"/>
      <c r="P1026" s="22"/>
      <c r="Q1026" s="22"/>
      <c r="R1026" s="22"/>
      <c r="S1026" s="22"/>
      <c r="T1026" s="22"/>
    </row>
    <row r="1027">
      <c r="A1027" s="24" t="s">
        <v>3931</v>
      </c>
      <c r="B1027" s="25" t="s">
        <v>3935</v>
      </c>
      <c r="C1027" s="25" t="s">
        <v>312</v>
      </c>
      <c r="D1027" s="17" t="str">
        <f>vlookup(C1027,'1. 신청자리스트'!J:N,2,false)</f>
        <v>중복</v>
      </c>
      <c r="E1027" s="25"/>
      <c r="F1027" s="25" t="s">
        <v>2778</v>
      </c>
      <c r="G1027" s="26">
        <v>35000.0</v>
      </c>
      <c r="H1027" s="27" t="s">
        <v>3948</v>
      </c>
      <c r="I1027" s="28"/>
      <c r="J1027" s="28"/>
      <c r="K1027" s="28"/>
      <c r="L1027" s="29"/>
      <c r="M1027" s="22"/>
      <c r="N1027" s="22"/>
      <c r="O1027" s="22"/>
      <c r="P1027" s="22"/>
      <c r="Q1027" s="22"/>
      <c r="R1027" s="22"/>
      <c r="S1027" s="22"/>
      <c r="T1027" s="23"/>
    </row>
    <row r="1028">
      <c r="A1028" s="24" t="s">
        <v>4071</v>
      </c>
      <c r="B1028" s="25" t="s">
        <v>3935</v>
      </c>
      <c r="C1028" s="25" t="s">
        <v>312</v>
      </c>
      <c r="D1028" s="17" t="str">
        <f>vlookup(C1028,'1. 신청자리스트'!J:N,2,false)</f>
        <v>중복</v>
      </c>
      <c r="E1028" s="25"/>
      <c r="F1028" s="25" t="s">
        <v>2778</v>
      </c>
      <c r="G1028" s="26">
        <v>35000.0</v>
      </c>
      <c r="H1028" s="27" t="s">
        <v>3948</v>
      </c>
      <c r="I1028" s="28"/>
      <c r="J1028" s="28"/>
      <c r="K1028" s="28"/>
      <c r="L1028" s="29"/>
      <c r="M1028" s="22"/>
      <c r="N1028" s="22"/>
      <c r="O1028" s="22"/>
      <c r="P1028" s="22"/>
      <c r="Q1028" s="22"/>
      <c r="R1028" s="22"/>
      <c r="S1028" s="22"/>
      <c r="T1028" s="23"/>
    </row>
    <row r="1029">
      <c r="A1029" s="16" t="s">
        <v>4140</v>
      </c>
      <c r="B1029" s="17" t="s">
        <v>3935</v>
      </c>
      <c r="C1029" s="17" t="s">
        <v>312</v>
      </c>
      <c r="D1029" s="17" t="str">
        <f>vlookup(C1029,'1. 신청자리스트'!J:N,2,false)</f>
        <v>중복</v>
      </c>
      <c r="E1029" s="17"/>
      <c r="F1029" s="17" t="s">
        <v>312</v>
      </c>
      <c r="G1029" s="18">
        <v>35000.0</v>
      </c>
      <c r="H1029" s="19" t="s">
        <v>3948</v>
      </c>
      <c r="I1029" s="20"/>
      <c r="J1029" s="20"/>
      <c r="K1029" s="20"/>
      <c r="L1029" s="21"/>
      <c r="M1029" s="22"/>
      <c r="N1029" s="22"/>
      <c r="O1029" s="22"/>
      <c r="P1029" s="22"/>
      <c r="Q1029" s="22"/>
      <c r="R1029" s="22"/>
      <c r="S1029" s="22"/>
      <c r="T1029" s="23"/>
    </row>
    <row r="1030">
      <c r="A1030" s="24" t="s">
        <v>3945</v>
      </c>
      <c r="B1030" s="25" t="s">
        <v>3935</v>
      </c>
      <c r="C1030" s="25" t="s">
        <v>315</v>
      </c>
      <c r="D1030" s="17" t="str">
        <f>vlookup(C1030,'1. 신청자리스트'!J:N,2,false)</f>
        <v>중복</v>
      </c>
      <c r="E1030" s="25"/>
      <c r="F1030" s="25" t="s">
        <v>2877</v>
      </c>
      <c r="G1030" s="26">
        <v>35000.0</v>
      </c>
      <c r="H1030" s="27" t="s">
        <v>3941</v>
      </c>
      <c r="I1030" s="28"/>
      <c r="J1030" s="28"/>
      <c r="K1030" s="28"/>
      <c r="L1030" s="29"/>
      <c r="M1030" s="22"/>
      <c r="N1030" s="22"/>
      <c r="O1030" s="22"/>
      <c r="P1030" s="22"/>
      <c r="Q1030" s="22"/>
      <c r="R1030" s="22"/>
      <c r="S1030" s="22"/>
      <c r="T1030" s="23"/>
    </row>
    <row r="1031">
      <c r="A1031" s="16" t="s">
        <v>3972</v>
      </c>
      <c r="B1031" s="17" t="s">
        <v>3935</v>
      </c>
      <c r="C1031" s="17" t="s">
        <v>315</v>
      </c>
      <c r="D1031" s="17" t="str">
        <f>vlookup(C1031,'1. 신청자리스트'!J:N,2,false)</f>
        <v>중복</v>
      </c>
      <c r="E1031" s="17"/>
      <c r="F1031" s="17" t="s">
        <v>4449</v>
      </c>
      <c r="G1031" s="18">
        <v>35000.0</v>
      </c>
      <c r="H1031" s="19" t="s">
        <v>3941</v>
      </c>
      <c r="I1031" s="20"/>
      <c r="J1031" s="20"/>
      <c r="K1031" s="20"/>
      <c r="L1031" s="21"/>
      <c r="M1031" s="22"/>
      <c r="N1031" s="22"/>
      <c r="O1031" s="22"/>
      <c r="P1031" s="22"/>
      <c r="Q1031" s="22"/>
      <c r="R1031" s="22"/>
      <c r="S1031" s="22"/>
      <c r="T1031" s="23"/>
    </row>
    <row r="1032">
      <c r="A1032" s="24" t="s">
        <v>3942</v>
      </c>
      <c r="B1032" s="25" t="s">
        <v>3935</v>
      </c>
      <c r="C1032" s="25" t="s">
        <v>784</v>
      </c>
      <c r="D1032" s="17" t="str">
        <f>vlookup(C1032,'1. 신청자리스트'!J:N,2,false)</f>
        <v>중복</v>
      </c>
      <c r="E1032" s="25"/>
      <c r="F1032" s="25" t="s">
        <v>1072</v>
      </c>
      <c r="G1032" s="26">
        <v>70000.0</v>
      </c>
      <c r="H1032" s="27" t="s">
        <v>3948</v>
      </c>
      <c r="I1032" s="28"/>
      <c r="J1032" s="28"/>
      <c r="K1032" s="28"/>
      <c r="L1032" s="29"/>
      <c r="M1032" s="22"/>
      <c r="N1032" s="22"/>
      <c r="O1032" s="22"/>
      <c r="P1032" s="22"/>
      <c r="Q1032" s="22"/>
      <c r="R1032" s="22"/>
      <c r="S1032" s="22"/>
      <c r="T1032" s="23"/>
    </row>
    <row r="1033">
      <c r="A1033" s="16" t="s">
        <v>3962</v>
      </c>
      <c r="B1033" s="17" t="s">
        <v>3935</v>
      </c>
      <c r="C1033" s="17" t="s">
        <v>784</v>
      </c>
      <c r="D1033" s="17" t="str">
        <f>vlookup(C1033,'1. 신청자리스트'!J:N,2,false)</f>
        <v>중복</v>
      </c>
      <c r="E1033" s="17"/>
      <c r="F1033" s="17" t="s">
        <v>784</v>
      </c>
      <c r="G1033" s="18">
        <v>70000.0</v>
      </c>
      <c r="H1033" s="19" t="s">
        <v>3948</v>
      </c>
      <c r="I1033" s="20"/>
      <c r="J1033" s="20"/>
      <c r="K1033" s="20"/>
      <c r="L1033" s="21"/>
      <c r="M1033" s="22"/>
      <c r="N1033" s="22"/>
      <c r="O1033" s="22"/>
      <c r="P1033" s="22"/>
      <c r="Q1033" s="22"/>
      <c r="R1033" s="22"/>
      <c r="S1033" s="22"/>
      <c r="T1033" s="23"/>
    </row>
    <row r="1034">
      <c r="A1034" s="16" t="s">
        <v>3942</v>
      </c>
      <c r="B1034" s="17" t="s">
        <v>3935</v>
      </c>
      <c r="C1034" s="17" t="s">
        <v>318</v>
      </c>
      <c r="D1034" s="17" t="str">
        <f>vlookup(C1034,'1. 신청자리스트'!J:N,2,false)</f>
        <v>중복</v>
      </c>
      <c r="E1034" s="17"/>
      <c r="F1034" s="17" t="s">
        <v>318</v>
      </c>
      <c r="G1034" s="18">
        <v>35000.0</v>
      </c>
      <c r="H1034" s="19" t="s">
        <v>3946</v>
      </c>
      <c r="I1034" s="20"/>
      <c r="J1034" s="20"/>
      <c r="K1034" s="20"/>
      <c r="L1034" s="21"/>
      <c r="M1034" s="22"/>
      <c r="N1034" s="22"/>
      <c r="O1034" s="22"/>
      <c r="P1034" s="22"/>
      <c r="Q1034" s="22"/>
      <c r="R1034" s="22"/>
      <c r="S1034" s="22"/>
      <c r="T1034" s="23"/>
    </row>
    <row r="1035">
      <c r="A1035" s="16" t="s">
        <v>4071</v>
      </c>
      <c r="B1035" s="17" t="s">
        <v>3935</v>
      </c>
      <c r="C1035" s="17" t="s">
        <v>318</v>
      </c>
      <c r="D1035" s="17" t="str">
        <f>vlookup(C1035,'1. 신청자리스트'!J:N,2,false)</f>
        <v>중복</v>
      </c>
      <c r="E1035" s="17"/>
      <c r="F1035" s="17" t="s">
        <v>318</v>
      </c>
      <c r="G1035" s="18">
        <v>35000.0</v>
      </c>
      <c r="H1035" s="19" t="s">
        <v>3946</v>
      </c>
      <c r="I1035" s="20"/>
      <c r="J1035" s="20"/>
      <c r="K1035" s="20"/>
      <c r="L1035" s="21"/>
      <c r="M1035" s="22"/>
      <c r="N1035" s="22"/>
      <c r="O1035" s="22"/>
      <c r="P1035" s="22"/>
      <c r="Q1035" s="22"/>
      <c r="R1035" s="22"/>
      <c r="S1035" s="22"/>
      <c r="T1035" s="23"/>
    </row>
    <row r="1036">
      <c r="A1036" s="24" t="s">
        <v>3949</v>
      </c>
      <c r="B1036" s="25" t="s">
        <v>3935</v>
      </c>
      <c r="C1036" s="17" t="s">
        <v>318</v>
      </c>
      <c r="D1036" s="17" t="str">
        <f>vlookup(C1036,'1. 신청자리스트'!J:N,2,false)</f>
        <v>중복</v>
      </c>
      <c r="E1036" s="17" t="str">
        <f>if(vlookup(C1036,'문의'!D:D,1,false)=C1036,"있음")</f>
        <v>있음</v>
      </c>
      <c r="F1036" s="25" t="s">
        <v>4450</v>
      </c>
      <c r="G1036" s="26">
        <v>35000.0</v>
      </c>
      <c r="H1036" s="27" t="s">
        <v>3946</v>
      </c>
      <c r="I1036" s="28"/>
      <c r="J1036" s="28"/>
      <c r="K1036" s="28"/>
      <c r="L1036" s="29"/>
      <c r="M1036" s="22"/>
      <c r="N1036" s="22"/>
      <c r="O1036" s="22"/>
      <c r="P1036" s="22"/>
      <c r="Q1036" s="22"/>
      <c r="R1036" s="22"/>
      <c r="S1036" s="22"/>
      <c r="T1036" s="23"/>
    </row>
    <row r="1037">
      <c r="A1037" s="16" t="s">
        <v>4451</v>
      </c>
      <c r="B1037" s="17" t="s">
        <v>3935</v>
      </c>
      <c r="C1037" s="17" t="s">
        <v>789</v>
      </c>
      <c r="D1037" s="17" t="str">
        <f>vlookup(C1037,'1. 신청자리스트'!J:N,2,false)</f>
        <v>중복</v>
      </c>
      <c r="E1037" s="17"/>
      <c r="F1037" s="17" t="s">
        <v>789</v>
      </c>
      <c r="G1037" s="18">
        <v>70000.0</v>
      </c>
      <c r="H1037" s="19" t="s">
        <v>3941</v>
      </c>
      <c r="I1037" s="20"/>
      <c r="J1037" s="20"/>
      <c r="K1037" s="20"/>
      <c r="L1037" s="21"/>
      <c r="M1037" s="22"/>
      <c r="N1037" s="22"/>
      <c r="O1037" s="22"/>
      <c r="P1037" s="22"/>
      <c r="Q1037" s="22"/>
      <c r="R1037" s="22"/>
      <c r="S1037" s="22"/>
      <c r="T1037" s="23"/>
    </row>
    <row r="1038">
      <c r="A1038" s="24" t="s">
        <v>3945</v>
      </c>
      <c r="B1038" s="25" t="s">
        <v>3935</v>
      </c>
      <c r="C1038" s="25" t="s">
        <v>789</v>
      </c>
      <c r="D1038" s="17" t="str">
        <f>vlookup(C1038,'1. 신청자리스트'!J:N,2,false)</f>
        <v>중복</v>
      </c>
      <c r="E1038" s="25"/>
      <c r="F1038" s="25" t="s">
        <v>1200</v>
      </c>
      <c r="G1038" s="26">
        <v>70000.0</v>
      </c>
      <c r="H1038" s="27" t="s">
        <v>3941</v>
      </c>
      <c r="I1038" s="28"/>
      <c r="J1038" s="28"/>
      <c r="K1038" s="28"/>
      <c r="L1038" s="29"/>
      <c r="M1038" s="22"/>
      <c r="N1038" s="22"/>
      <c r="O1038" s="22"/>
      <c r="P1038" s="22"/>
      <c r="Q1038" s="22"/>
      <c r="R1038" s="22"/>
      <c r="S1038" s="22"/>
      <c r="T1038" s="23"/>
    </row>
    <row r="1039">
      <c r="A1039" s="16" t="s">
        <v>4002</v>
      </c>
      <c r="B1039" s="17" t="s">
        <v>3935</v>
      </c>
      <c r="C1039" s="17" t="s">
        <v>319</v>
      </c>
      <c r="D1039" s="17" t="str">
        <f>vlookup(C1039,'1. 신청자리스트'!J:N,2,false)</f>
        <v>중복</v>
      </c>
      <c r="E1039" s="17"/>
      <c r="F1039" s="17" t="s">
        <v>319</v>
      </c>
      <c r="G1039" s="18">
        <v>35000.0</v>
      </c>
      <c r="H1039" s="19" t="s">
        <v>3948</v>
      </c>
      <c r="I1039" s="20"/>
      <c r="J1039" s="20"/>
      <c r="K1039" s="20"/>
      <c r="L1039" s="21"/>
      <c r="M1039" s="22"/>
      <c r="N1039" s="22"/>
      <c r="O1039" s="22"/>
      <c r="P1039" s="22"/>
      <c r="Q1039" s="22"/>
      <c r="R1039" s="22"/>
      <c r="S1039" s="22"/>
      <c r="T1039" s="23"/>
    </row>
    <row r="1040">
      <c r="A1040" s="24" t="s">
        <v>4002</v>
      </c>
      <c r="B1040" s="25" t="s">
        <v>3935</v>
      </c>
      <c r="C1040" s="25" t="s">
        <v>319</v>
      </c>
      <c r="D1040" s="17" t="str">
        <f>vlookup(C1040,'1. 신청자리스트'!J:N,2,false)</f>
        <v>중복</v>
      </c>
      <c r="E1040" s="25"/>
      <c r="F1040" s="25" t="s">
        <v>2782</v>
      </c>
      <c r="G1040" s="26">
        <v>35000.0</v>
      </c>
      <c r="H1040" s="27" t="s">
        <v>3983</v>
      </c>
      <c r="I1040" s="28"/>
      <c r="J1040" s="28"/>
      <c r="K1040" s="28"/>
      <c r="L1040" s="29"/>
      <c r="M1040" s="22"/>
      <c r="N1040" s="22"/>
      <c r="O1040" s="22"/>
      <c r="P1040" s="22"/>
      <c r="Q1040" s="22"/>
      <c r="R1040" s="22"/>
      <c r="S1040" s="22"/>
      <c r="T1040" s="23"/>
    </row>
    <row r="1041">
      <c r="A1041" s="16" t="s">
        <v>3938</v>
      </c>
      <c r="B1041" s="17" t="s">
        <v>3935</v>
      </c>
      <c r="C1041" s="17" t="s">
        <v>319</v>
      </c>
      <c r="D1041" s="17" t="str">
        <f>vlookup(C1041,'1. 신청자리스트'!J:N,2,false)</f>
        <v>중복</v>
      </c>
      <c r="E1041" s="17"/>
      <c r="F1041" s="17" t="s">
        <v>4452</v>
      </c>
      <c r="G1041" s="18">
        <v>35000.0</v>
      </c>
      <c r="H1041" s="19" t="s">
        <v>3983</v>
      </c>
      <c r="I1041" s="20"/>
      <c r="J1041" s="20"/>
      <c r="K1041" s="20"/>
      <c r="L1041" s="21"/>
      <c r="M1041" s="22"/>
      <c r="N1041" s="22"/>
      <c r="O1041" s="22"/>
      <c r="P1041" s="22"/>
      <c r="Q1041" s="22"/>
      <c r="R1041" s="22"/>
      <c r="S1041" s="22"/>
      <c r="T1041" s="23"/>
    </row>
    <row r="1042">
      <c r="A1042" s="16" t="s">
        <v>3940</v>
      </c>
      <c r="B1042" s="17" t="s">
        <v>3932</v>
      </c>
      <c r="C1042" s="17" t="s">
        <v>320</v>
      </c>
      <c r="D1042" s="17" t="str">
        <f>vlookup(C1042,'1. 신청자리스트'!J:N,2,false)</f>
        <v>중복</v>
      </c>
      <c r="E1042" s="17"/>
      <c r="F1042" s="17" t="s">
        <v>320</v>
      </c>
      <c r="G1042" s="18">
        <v>35000.0</v>
      </c>
      <c r="H1042" s="19" t="s">
        <v>4453</v>
      </c>
      <c r="I1042" s="20"/>
      <c r="J1042" s="20"/>
      <c r="K1042" s="20"/>
      <c r="L1042" s="21"/>
      <c r="M1042" s="22"/>
      <c r="N1042" s="22"/>
      <c r="O1042" s="22"/>
      <c r="P1042" s="22"/>
      <c r="Q1042" s="22"/>
      <c r="R1042" s="22"/>
      <c r="S1042" s="22"/>
      <c r="T1042" s="23"/>
    </row>
    <row r="1043">
      <c r="A1043" s="24" t="s">
        <v>4026</v>
      </c>
      <c r="B1043" s="25" t="s">
        <v>3935</v>
      </c>
      <c r="C1043" s="25" t="s">
        <v>320</v>
      </c>
      <c r="D1043" s="17" t="str">
        <f>vlookup(C1043,'1. 신청자리스트'!J:N,2,false)</f>
        <v>중복</v>
      </c>
      <c r="E1043" s="25"/>
      <c r="F1043" s="25" t="s">
        <v>2879</v>
      </c>
      <c r="G1043" s="26">
        <v>35000.0</v>
      </c>
      <c r="H1043" s="27" t="s">
        <v>3946</v>
      </c>
      <c r="I1043" s="28"/>
      <c r="J1043" s="28"/>
      <c r="K1043" s="28"/>
      <c r="L1043" s="29"/>
      <c r="M1043" s="22"/>
      <c r="N1043" s="22"/>
      <c r="O1043" s="22"/>
      <c r="P1043" s="22"/>
      <c r="Q1043" s="22"/>
      <c r="R1043" s="22"/>
      <c r="S1043" s="22"/>
      <c r="T1043" s="23"/>
    </row>
    <row r="1044">
      <c r="A1044" s="24" t="s">
        <v>3940</v>
      </c>
      <c r="B1044" s="25" t="s">
        <v>3943</v>
      </c>
      <c r="C1044" s="25" t="s">
        <v>322</v>
      </c>
      <c r="D1044" s="17" t="str">
        <f>vlookup(C1044,'1. 신청자리스트'!J:N,2,false)</f>
        <v>중복</v>
      </c>
      <c r="E1044" s="25"/>
      <c r="F1044" s="25" t="s">
        <v>2881</v>
      </c>
      <c r="G1044" s="26">
        <v>35000.0</v>
      </c>
      <c r="H1044" s="27" t="s">
        <v>3944</v>
      </c>
      <c r="I1044" s="28"/>
      <c r="J1044" s="28"/>
      <c r="K1044" s="28"/>
      <c r="L1044" s="29"/>
      <c r="M1044" s="22"/>
      <c r="N1044" s="22"/>
      <c r="O1044" s="22"/>
      <c r="P1044" s="22"/>
      <c r="Q1044" s="22"/>
      <c r="R1044" s="22"/>
      <c r="S1044" s="22"/>
      <c r="T1044" s="23"/>
    </row>
    <row r="1045">
      <c r="A1045" s="16" t="s">
        <v>4002</v>
      </c>
      <c r="B1045" s="17" t="s">
        <v>3935</v>
      </c>
      <c r="C1045" s="17" t="s">
        <v>322</v>
      </c>
      <c r="D1045" s="17" t="str">
        <f>vlookup(C1045,'1. 신청자리스트'!J:N,2,false)</f>
        <v>중복</v>
      </c>
      <c r="E1045" s="17"/>
      <c r="F1045" s="17" t="s">
        <v>322</v>
      </c>
      <c r="G1045" s="18">
        <v>35000.0</v>
      </c>
      <c r="H1045" s="19" t="s">
        <v>4041</v>
      </c>
      <c r="I1045" s="20"/>
      <c r="J1045" s="20"/>
      <c r="K1045" s="20"/>
      <c r="L1045" s="21"/>
      <c r="M1045" s="22"/>
      <c r="N1045" s="22"/>
      <c r="O1045" s="22"/>
      <c r="P1045" s="22"/>
      <c r="Q1045" s="22"/>
      <c r="R1045" s="22"/>
      <c r="S1045" s="22"/>
      <c r="T1045" s="23"/>
    </row>
    <row r="1046">
      <c r="A1046" s="16" t="s">
        <v>3942</v>
      </c>
      <c r="B1046" s="17" t="s">
        <v>3935</v>
      </c>
      <c r="C1046" s="17" t="s">
        <v>323</v>
      </c>
      <c r="D1046" s="17" t="str">
        <f>vlookup(C1046,'1. 신청자리스트'!J:N,2,false)</f>
        <v>중복</v>
      </c>
      <c r="E1046" s="17"/>
      <c r="F1046" s="17" t="s">
        <v>323</v>
      </c>
      <c r="G1046" s="18">
        <v>35000.0</v>
      </c>
      <c r="H1046" s="19" t="s">
        <v>3939</v>
      </c>
      <c r="I1046" s="28"/>
      <c r="J1046" s="28"/>
      <c r="K1046" s="28"/>
      <c r="L1046" s="29"/>
      <c r="M1046" s="22"/>
      <c r="N1046" s="22"/>
      <c r="O1046" s="22"/>
      <c r="P1046" s="22"/>
      <c r="Q1046" s="22"/>
      <c r="R1046" s="22"/>
      <c r="S1046" s="22"/>
      <c r="T1046" s="23"/>
    </row>
    <row r="1047">
      <c r="A1047" s="24" t="s">
        <v>3945</v>
      </c>
      <c r="B1047" s="25" t="s">
        <v>3935</v>
      </c>
      <c r="C1047" s="25" t="s">
        <v>323</v>
      </c>
      <c r="D1047" s="17" t="str">
        <f>vlookup(C1047,'1. 신청자리스트'!J:N,2,false)</f>
        <v>중복</v>
      </c>
      <c r="E1047" s="25"/>
      <c r="F1047" s="25" t="s">
        <v>4454</v>
      </c>
      <c r="G1047" s="26">
        <v>35000.0</v>
      </c>
      <c r="H1047" s="27" t="s">
        <v>3939</v>
      </c>
      <c r="I1047" s="28"/>
      <c r="J1047" s="28"/>
      <c r="K1047" s="28"/>
      <c r="L1047" s="29"/>
      <c r="M1047" s="22"/>
      <c r="N1047" s="22"/>
      <c r="O1047" s="22"/>
      <c r="P1047" s="22"/>
      <c r="Q1047" s="22"/>
      <c r="R1047" s="22"/>
      <c r="S1047" s="22"/>
      <c r="T1047" s="23"/>
    </row>
    <row r="1048">
      <c r="A1048" s="24" t="s">
        <v>3940</v>
      </c>
      <c r="B1048" s="25" t="s">
        <v>3935</v>
      </c>
      <c r="C1048" s="25" t="s">
        <v>795</v>
      </c>
      <c r="D1048" s="17" t="str">
        <f>vlookup(C1048,'1. 신청자리스트'!J:N,2,false)</f>
        <v>정상</v>
      </c>
      <c r="E1048" s="25"/>
      <c r="F1048" s="25" t="s">
        <v>795</v>
      </c>
      <c r="G1048" s="26">
        <v>35000.0</v>
      </c>
      <c r="H1048" s="27" t="s">
        <v>3941</v>
      </c>
      <c r="I1048" s="28"/>
      <c r="J1048" s="28"/>
      <c r="K1048" s="28"/>
      <c r="L1048" s="29"/>
      <c r="M1048" s="22"/>
      <c r="N1048" s="22"/>
      <c r="O1048" s="22"/>
      <c r="P1048" s="22"/>
      <c r="Q1048" s="22"/>
      <c r="R1048" s="22"/>
      <c r="S1048" s="22"/>
      <c r="T1048" s="23"/>
    </row>
    <row r="1049">
      <c r="A1049" s="30" t="s">
        <v>3945</v>
      </c>
      <c r="B1049" s="31" t="s">
        <v>3935</v>
      </c>
      <c r="C1049" s="53" t="s">
        <v>795</v>
      </c>
      <c r="D1049" s="17" t="str">
        <f>vlookup(C1049,'1. 신청자리스트'!J:N,2,false)</f>
        <v>정상</v>
      </c>
      <c r="E1049" s="31"/>
      <c r="F1049" s="31" t="s">
        <v>4455</v>
      </c>
      <c r="G1049" s="32">
        <v>35000.0</v>
      </c>
      <c r="H1049" s="33" t="s">
        <v>3941</v>
      </c>
      <c r="I1049" s="28"/>
      <c r="J1049" s="28"/>
      <c r="K1049" s="28"/>
      <c r="L1049" s="29"/>
      <c r="M1049" s="22"/>
      <c r="N1049" s="22"/>
      <c r="O1049" s="22"/>
      <c r="P1049" s="22"/>
      <c r="Q1049" s="22"/>
      <c r="R1049" s="22"/>
      <c r="S1049" s="22"/>
      <c r="T1049" s="23"/>
    </row>
    <row r="1050">
      <c r="A1050" s="24" t="s">
        <v>3940</v>
      </c>
      <c r="B1050" s="25" t="s">
        <v>3935</v>
      </c>
      <c r="C1050" s="25" t="s">
        <v>803</v>
      </c>
      <c r="D1050" s="17" t="str">
        <f>vlookup(C1050,'1. 신청자리스트'!J:N,2,false)</f>
        <v>중복</v>
      </c>
      <c r="E1050" s="25"/>
      <c r="F1050" s="25" t="s">
        <v>1133</v>
      </c>
      <c r="G1050" s="26">
        <v>70000.0</v>
      </c>
      <c r="H1050" s="27" t="s">
        <v>3948</v>
      </c>
      <c r="I1050" s="28"/>
      <c r="J1050" s="28"/>
      <c r="K1050" s="28"/>
      <c r="L1050" s="29"/>
      <c r="M1050" s="22"/>
      <c r="N1050" s="22"/>
      <c r="O1050" s="22"/>
      <c r="P1050" s="22"/>
      <c r="Q1050" s="22"/>
      <c r="R1050" s="22"/>
      <c r="S1050" s="22"/>
      <c r="T1050" s="23"/>
    </row>
    <row r="1051">
      <c r="A1051" s="16" t="s">
        <v>3945</v>
      </c>
      <c r="B1051" s="17" t="s">
        <v>3935</v>
      </c>
      <c r="C1051" s="17" t="s">
        <v>803</v>
      </c>
      <c r="D1051" s="17" t="str">
        <f>vlookup(C1051,'1. 신청자리스트'!J:N,2,false)</f>
        <v>중복</v>
      </c>
      <c r="E1051" s="17"/>
      <c r="F1051" s="17" t="s">
        <v>803</v>
      </c>
      <c r="G1051" s="18">
        <v>70000.0</v>
      </c>
      <c r="H1051" s="19" t="s">
        <v>3948</v>
      </c>
      <c r="I1051" s="20"/>
      <c r="J1051" s="20"/>
      <c r="K1051" s="20"/>
      <c r="L1051" s="21"/>
      <c r="M1051" s="22"/>
      <c r="N1051" s="22"/>
      <c r="O1051" s="22"/>
      <c r="P1051" s="22"/>
      <c r="Q1051" s="22"/>
      <c r="R1051" s="22"/>
      <c r="S1051" s="22"/>
      <c r="T1051" s="23"/>
    </row>
    <row r="1052">
      <c r="A1052" s="24" t="s">
        <v>3940</v>
      </c>
      <c r="B1052" s="25" t="s">
        <v>3935</v>
      </c>
      <c r="C1052" s="25" t="s">
        <v>804</v>
      </c>
      <c r="D1052" s="17" t="str">
        <f>vlookup(C1052,'1. 신청자리스트'!J:N,2,false)</f>
        <v>중복</v>
      </c>
      <c r="E1052" s="25"/>
      <c r="F1052" s="25" t="s">
        <v>1210</v>
      </c>
      <c r="G1052" s="26">
        <v>70000.0</v>
      </c>
      <c r="H1052" s="27" t="s">
        <v>3941</v>
      </c>
      <c r="I1052" s="28"/>
      <c r="J1052" s="28"/>
      <c r="K1052" s="28"/>
      <c r="L1052" s="29"/>
      <c r="M1052" s="22"/>
      <c r="N1052" s="22"/>
      <c r="O1052" s="22"/>
      <c r="P1052" s="22"/>
      <c r="Q1052" s="22"/>
      <c r="R1052" s="22"/>
      <c r="S1052" s="22"/>
      <c r="T1052" s="23"/>
    </row>
    <row r="1053">
      <c r="A1053" s="16" t="s">
        <v>3985</v>
      </c>
      <c r="B1053" s="17" t="s">
        <v>3935</v>
      </c>
      <c r="C1053" s="17" t="s">
        <v>804</v>
      </c>
      <c r="D1053" s="17" t="str">
        <f>vlookup(C1053,'1. 신청자리스트'!J:N,2,false)</f>
        <v>중복</v>
      </c>
      <c r="E1053" s="17"/>
      <c r="F1053" s="17" t="s">
        <v>804</v>
      </c>
      <c r="G1053" s="18">
        <v>70000.0</v>
      </c>
      <c r="H1053" s="19" t="s">
        <v>3941</v>
      </c>
      <c r="I1053" s="20"/>
      <c r="J1053" s="20"/>
      <c r="K1053" s="20"/>
      <c r="L1053" s="21"/>
      <c r="M1053" s="22"/>
      <c r="N1053" s="22"/>
      <c r="O1053" s="22"/>
      <c r="P1053" s="22"/>
      <c r="Q1053" s="22"/>
      <c r="R1053" s="22"/>
      <c r="S1053" s="22"/>
      <c r="T1053" s="23"/>
    </row>
    <row r="1054">
      <c r="A1054" s="24" t="s">
        <v>3942</v>
      </c>
      <c r="B1054" s="25" t="s">
        <v>3935</v>
      </c>
      <c r="C1054" s="25" t="s">
        <v>806</v>
      </c>
      <c r="D1054" s="17" t="str">
        <f>vlookup(C1054,'1. 신청자리스트'!J:N,2,false)</f>
        <v>중복</v>
      </c>
      <c r="E1054" s="25"/>
      <c r="F1054" s="25" t="s">
        <v>1161</v>
      </c>
      <c r="G1054" s="26">
        <v>70000.0</v>
      </c>
      <c r="H1054" s="27" t="s">
        <v>3948</v>
      </c>
      <c r="I1054" s="28"/>
      <c r="J1054" s="28"/>
      <c r="K1054" s="28"/>
      <c r="L1054" s="29"/>
      <c r="M1054" s="22"/>
      <c r="N1054" s="22"/>
      <c r="O1054" s="22"/>
      <c r="P1054" s="22"/>
      <c r="Q1054" s="22"/>
      <c r="R1054" s="22"/>
      <c r="S1054" s="22"/>
      <c r="T1054" s="23"/>
    </row>
    <row r="1055">
      <c r="A1055" s="16" t="s">
        <v>3955</v>
      </c>
      <c r="B1055" s="17" t="s">
        <v>3935</v>
      </c>
      <c r="C1055" s="17" t="s">
        <v>806</v>
      </c>
      <c r="D1055" s="17" t="str">
        <f>vlookup(C1055,'1. 신청자리스트'!J:N,2,false)</f>
        <v>중복</v>
      </c>
      <c r="E1055" s="17"/>
      <c r="F1055" s="17" t="s">
        <v>806</v>
      </c>
      <c r="G1055" s="18">
        <v>70000.0</v>
      </c>
      <c r="H1055" s="19" t="s">
        <v>3948</v>
      </c>
      <c r="I1055" s="20"/>
      <c r="J1055" s="20"/>
      <c r="K1055" s="20"/>
      <c r="L1055" s="21"/>
      <c r="M1055" s="22"/>
      <c r="N1055" s="22"/>
      <c r="O1055" s="22"/>
      <c r="P1055" s="22"/>
      <c r="Q1055" s="22"/>
      <c r="R1055" s="22"/>
      <c r="S1055" s="22"/>
      <c r="T1055" s="23"/>
    </row>
    <row r="1056">
      <c r="A1056" s="24" t="s">
        <v>3962</v>
      </c>
      <c r="B1056" s="25" t="s">
        <v>3993</v>
      </c>
      <c r="C1056" s="25" t="s">
        <v>337</v>
      </c>
      <c r="D1056" s="17" t="str">
        <f>vlookup(C1056,'1. 신청자리스트'!J:N,2,false)</f>
        <v>중복</v>
      </c>
      <c r="E1056" s="25"/>
      <c r="F1056" s="25" t="s">
        <v>2885</v>
      </c>
      <c r="G1056" s="26">
        <v>35000.0</v>
      </c>
      <c r="H1056" s="27" t="s">
        <v>3939</v>
      </c>
      <c r="I1056" s="28"/>
      <c r="J1056" s="28"/>
      <c r="K1056" s="28"/>
      <c r="L1056" s="29"/>
      <c r="M1056" s="22"/>
      <c r="N1056" s="22"/>
      <c r="O1056" s="22"/>
      <c r="P1056" s="22"/>
      <c r="Q1056" s="22"/>
      <c r="R1056" s="22"/>
      <c r="S1056" s="22"/>
      <c r="T1056" s="23"/>
    </row>
    <row r="1057">
      <c r="A1057" s="24" t="s">
        <v>3938</v>
      </c>
      <c r="B1057" s="25" t="s">
        <v>3935</v>
      </c>
      <c r="C1057" s="25" t="s">
        <v>337</v>
      </c>
      <c r="D1057" s="17" t="str">
        <f>vlookup(C1057,'1. 신청자리스트'!J:N,2,false)</f>
        <v>중복</v>
      </c>
      <c r="E1057" s="25"/>
      <c r="F1057" s="25" t="s">
        <v>2885</v>
      </c>
      <c r="G1057" s="26">
        <v>35000.0</v>
      </c>
      <c r="H1057" s="27" t="s">
        <v>3939</v>
      </c>
      <c r="I1057" s="28"/>
      <c r="J1057" s="28"/>
      <c r="K1057" s="28"/>
      <c r="L1057" s="29"/>
      <c r="M1057" s="22"/>
      <c r="N1057" s="22"/>
      <c r="O1057" s="22"/>
      <c r="P1057" s="22"/>
      <c r="Q1057" s="22"/>
      <c r="R1057" s="22"/>
      <c r="S1057" s="22"/>
      <c r="T1057" s="23"/>
    </row>
    <row r="1058">
      <c r="A1058" s="24" t="s">
        <v>3940</v>
      </c>
      <c r="B1058" s="25" t="s">
        <v>3935</v>
      </c>
      <c r="C1058" s="25" t="s">
        <v>810</v>
      </c>
      <c r="D1058" s="17" t="str">
        <f>vlookup(C1058,'1. 신청자리스트'!J:N,2,false)</f>
        <v>중복</v>
      </c>
      <c r="E1058" s="25"/>
      <c r="F1058" s="25" t="s">
        <v>1171</v>
      </c>
      <c r="G1058" s="26">
        <v>70000.0</v>
      </c>
      <c r="H1058" s="27" t="s">
        <v>3946</v>
      </c>
      <c r="I1058" s="28"/>
      <c r="J1058" s="28"/>
      <c r="K1058" s="28"/>
      <c r="L1058" s="29"/>
      <c r="M1058" s="22"/>
      <c r="N1058" s="22"/>
      <c r="O1058" s="22"/>
      <c r="P1058" s="22"/>
      <c r="Q1058" s="22"/>
      <c r="R1058" s="22"/>
      <c r="S1058" s="22"/>
      <c r="T1058" s="23"/>
    </row>
    <row r="1059">
      <c r="A1059" s="16" t="s">
        <v>3962</v>
      </c>
      <c r="B1059" s="17" t="s">
        <v>3935</v>
      </c>
      <c r="C1059" s="17" t="s">
        <v>810</v>
      </c>
      <c r="D1059" s="17" t="str">
        <f>vlookup(C1059,'1. 신청자리스트'!J:N,2,false)</f>
        <v>중복</v>
      </c>
      <c r="E1059" s="17"/>
      <c r="F1059" s="17" t="s">
        <v>810</v>
      </c>
      <c r="G1059" s="18">
        <v>70000.0</v>
      </c>
      <c r="H1059" s="19" t="s">
        <v>3946</v>
      </c>
      <c r="I1059" s="20"/>
      <c r="J1059" s="20"/>
      <c r="K1059" s="20"/>
      <c r="L1059" s="21"/>
      <c r="M1059" s="22"/>
      <c r="N1059" s="22"/>
      <c r="O1059" s="22"/>
      <c r="P1059" s="22"/>
      <c r="Q1059" s="22"/>
      <c r="R1059" s="22"/>
      <c r="S1059" s="22"/>
      <c r="T1059" s="23"/>
    </row>
    <row r="1060">
      <c r="A1060" s="24" t="s">
        <v>3989</v>
      </c>
      <c r="B1060" s="25" t="s">
        <v>3943</v>
      </c>
      <c r="C1060" s="25" t="s">
        <v>346</v>
      </c>
      <c r="D1060" s="17" t="str">
        <f>vlookup(C1060,'1. 신청자리스트'!J:N,2,false)</f>
        <v>중복</v>
      </c>
      <c r="E1060" s="17" t="str">
        <f>if(vlookup(C1060,'문의'!D:D,1,false)=C1060,"있음")</f>
        <v>있음</v>
      </c>
      <c r="F1060" s="25" t="s">
        <v>4456</v>
      </c>
      <c r="G1060" s="26">
        <v>35000.0</v>
      </c>
      <c r="H1060" s="27" t="s">
        <v>3944</v>
      </c>
      <c r="I1060" s="28"/>
      <c r="J1060" s="28"/>
      <c r="K1060" s="28"/>
      <c r="L1060" s="29"/>
      <c r="M1060" s="22"/>
      <c r="N1060" s="22"/>
      <c r="O1060" s="22"/>
      <c r="P1060" s="22"/>
      <c r="Q1060" s="22"/>
      <c r="R1060" s="22"/>
      <c r="S1060" s="22"/>
      <c r="T1060" s="23"/>
    </row>
    <row r="1061">
      <c r="A1061" s="16" t="s">
        <v>3940</v>
      </c>
      <c r="B1061" s="17" t="s">
        <v>3943</v>
      </c>
      <c r="C1061" s="17" t="s">
        <v>346</v>
      </c>
      <c r="D1061" s="17" t="str">
        <f>vlookup(C1061,'1. 신청자리스트'!J:N,2,false)</f>
        <v>중복</v>
      </c>
      <c r="E1061" s="17"/>
      <c r="F1061" s="17" t="s">
        <v>346</v>
      </c>
      <c r="G1061" s="18">
        <v>35000.0</v>
      </c>
      <c r="H1061" s="19" t="s">
        <v>3944</v>
      </c>
      <c r="I1061" s="20"/>
      <c r="J1061" s="20"/>
      <c r="K1061" s="20"/>
      <c r="L1061" s="21"/>
      <c r="M1061" s="22"/>
      <c r="N1061" s="22"/>
      <c r="O1061" s="22"/>
      <c r="P1061" s="22"/>
      <c r="Q1061" s="22"/>
      <c r="R1061" s="22"/>
      <c r="S1061" s="22"/>
      <c r="T1061" s="23"/>
    </row>
    <row r="1062">
      <c r="A1062" s="16" t="s">
        <v>4018</v>
      </c>
      <c r="B1062" s="17" t="s">
        <v>3935</v>
      </c>
      <c r="C1062" s="17" t="s">
        <v>346</v>
      </c>
      <c r="D1062" s="17" t="str">
        <f>vlookup(C1062,'1. 신청자리스트'!J:N,2,false)</f>
        <v>중복</v>
      </c>
      <c r="E1062" s="17"/>
      <c r="F1062" s="17" t="s">
        <v>346</v>
      </c>
      <c r="G1062" s="18">
        <v>35000.0</v>
      </c>
      <c r="H1062" s="19" t="s">
        <v>3952</v>
      </c>
      <c r="I1062" s="20"/>
      <c r="J1062" s="20"/>
      <c r="K1062" s="20"/>
      <c r="L1062" s="21"/>
      <c r="M1062" s="22"/>
      <c r="N1062" s="22"/>
      <c r="O1062" s="22"/>
      <c r="P1062" s="22"/>
      <c r="Q1062" s="22"/>
      <c r="R1062" s="22"/>
      <c r="S1062" s="22"/>
      <c r="T1062" s="23"/>
    </row>
    <row r="1063">
      <c r="A1063" s="24" t="s">
        <v>3942</v>
      </c>
      <c r="B1063" s="25" t="s">
        <v>3993</v>
      </c>
      <c r="C1063" s="25" t="s">
        <v>352</v>
      </c>
      <c r="D1063" s="17" t="str">
        <f>vlookup(C1063,'1. 신청자리스트'!J:N,2,false)</f>
        <v>중복</v>
      </c>
      <c r="E1063" s="25"/>
      <c r="F1063" s="25" t="s">
        <v>2887</v>
      </c>
      <c r="G1063" s="26">
        <v>35000.0</v>
      </c>
      <c r="H1063" s="27" t="s">
        <v>3948</v>
      </c>
      <c r="I1063" s="28"/>
      <c r="J1063" s="28"/>
      <c r="K1063" s="28"/>
      <c r="L1063" s="29"/>
      <c r="M1063" s="22"/>
      <c r="N1063" s="22"/>
      <c r="O1063" s="22"/>
      <c r="P1063" s="22"/>
      <c r="Q1063" s="22"/>
      <c r="R1063" s="22"/>
      <c r="S1063" s="22"/>
      <c r="T1063" s="23"/>
    </row>
    <row r="1064">
      <c r="A1064" s="16" t="s">
        <v>3945</v>
      </c>
      <c r="B1064" s="17" t="s">
        <v>3993</v>
      </c>
      <c r="C1064" s="17" t="s">
        <v>352</v>
      </c>
      <c r="D1064" s="17" t="str">
        <f>vlookup(C1064,'1. 신청자리스트'!J:N,2,false)</f>
        <v>중복</v>
      </c>
      <c r="E1064" s="17"/>
      <c r="F1064" s="17" t="s">
        <v>352</v>
      </c>
      <c r="G1064" s="18">
        <v>35000.0</v>
      </c>
      <c r="H1064" s="19" t="s">
        <v>3948</v>
      </c>
      <c r="I1064" s="20"/>
      <c r="J1064" s="20"/>
      <c r="K1064" s="20"/>
      <c r="L1064" s="21"/>
      <c r="M1064" s="22"/>
      <c r="N1064" s="22"/>
      <c r="O1064" s="22"/>
      <c r="P1064" s="22"/>
      <c r="Q1064" s="22"/>
      <c r="R1064" s="22"/>
      <c r="S1064" s="22"/>
      <c r="T1064" s="23"/>
    </row>
    <row r="1065">
      <c r="A1065" s="24" t="s">
        <v>4383</v>
      </c>
      <c r="B1065" s="25" t="s">
        <v>3935</v>
      </c>
      <c r="C1065" s="25" t="s">
        <v>831</v>
      </c>
      <c r="D1065" s="17" t="str">
        <f>vlookup(C1065,'1. 신청자리스트'!J:N,2,false)</f>
        <v>중복</v>
      </c>
      <c r="E1065" s="17" t="str">
        <f>if(vlookup(C1065,'문의'!D:D,1,false)=C1065,"있음")</f>
        <v>#N/A</v>
      </c>
      <c r="F1065" s="25" t="s">
        <v>1198</v>
      </c>
      <c r="G1065" s="26">
        <v>70000.0</v>
      </c>
      <c r="H1065" s="27" t="s">
        <v>3941</v>
      </c>
      <c r="I1065" s="28"/>
      <c r="J1065" s="28"/>
      <c r="K1065" s="28"/>
      <c r="L1065" s="29"/>
      <c r="M1065" s="22"/>
      <c r="N1065" s="22"/>
      <c r="O1065" s="22"/>
      <c r="P1065" s="22"/>
      <c r="Q1065" s="22"/>
      <c r="R1065" s="22"/>
      <c r="S1065" s="22"/>
      <c r="T1065" s="23"/>
    </row>
    <row r="1066">
      <c r="A1066" s="16" t="s">
        <v>4030</v>
      </c>
      <c r="B1066" s="17" t="s">
        <v>3935</v>
      </c>
      <c r="C1066" s="17" t="s">
        <v>831</v>
      </c>
      <c r="D1066" s="17" t="str">
        <f>vlookup(C1066,'1. 신청자리스트'!J:N,2,false)</f>
        <v>중복</v>
      </c>
      <c r="E1066" s="17"/>
      <c r="F1066" s="17" t="s">
        <v>831</v>
      </c>
      <c r="G1066" s="18">
        <v>70000.0</v>
      </c>
      <c r="H1066" s="19" t="s">
        <v>3948</v>
      </c>
      <c r="I1066" s="20"/>
      <c r="J1066" s="20"/>
      <c r="K1066" s="20"/>
      <c r="L1066" s="21"/>
      <c r="M1066" s="22"/>
      <c r="N1066" s="22"/>
      <c r="O1066" s="22"/>
      <c r="P1066" s="22"/>
      <c r="Q1066" s="22"/>
      <c r="R1066" s="22"/>
      <c r="S1066" s="22"/>
      <c r="T1066" s="23"/>
    </row>
    <row r="1067">
      <c r="A1067" s="24" t="s">
        <v>3940</v>
      </c>
      <c r="B1067" s="25" t="s">
        <v>3935</v>
      </c>
      <c r="C1067" s="25" t="s">
        <v>373</v>
      </c>
      <c r="D1067" s="17" t="str">
        <f>vlookup(C1067,'1. 신청자리스트'!J:N,2,false)</f>
        <v>중복</v>
      </c>
      <c r="E1067" s="25"/>
      <c r="F1067" s="25" t="s">
        <v>2889</v>
      </c>
      <c r="G1067" s="26">
        <v>35000.0</v>
      </c>
      <c r="H1067" s="27" t="s">
        <v>3983</v>
      </c>
      <c r="I1067" s="28"/>
      <c r="J1067" s="28"/>
      <c r="K1067" s="28"/>
      <c r="L1067" s="29"/>
      <c r="M1067" s="22"/>
      <c r="N1067" s="22"/>
      <c r="O1067" s="22"/>
      <c r="P1067" s="22"/>
      <c r="Q1067" s="22"/>
      <c r="R1067" s="22"/>
      <c r="S1067" s="22"/>
      <c r="T1067" s="23"/>
    </row>
    <row r="1068">
      <c r="A1068" s="16" t="s">
        <v>3980</v>
      </c>
      <c r="B1068" s="17" t="s">
        <v>3935</v>
      </c>
      <c r="C1068" s="17" t="s">
        <v>373</v>
      </c>
      <c r="D1068" s="17" t="str">
        <f>vlookup(C1068,'1. 신청자리스트'!J:N,2,false)</f>
        <v>중복</v>
      </c>
      <c r="E1068" s="17"/>
      <c r="F1068" s="17" t="s">
        <v>373</v>
      </c>
      <c r="G1068" s="18">
        <v>35000.0</v>
      </c>
      <c r="H1068" s="19" t="s">
        <v>3983</v>
      </c>
      <c r="I1068" s="20"/>
      <c r="J1068" s="20"/>
      <c r="K1068" s="20"/>
      <c r="L1068" s="21"/>
      <c r="M1068" s="22"/>
      <c r="N1068" s="22"/>
      <c r="O1068" s="22"/>
      <c r="P1068" s="22"/>
      <c r="Q1068" s="22"/>
      <c r="R1068" s="22"/>
      <c r="S1068" s="22"/>
      <c r="T1068" s="23"/>
    </row>
    <row r="1069">
      <c r="A1069" s="24" t="s">
        <v>3945</v>
      </c>
      <c r="B1069" s="25" t="s">
        <v>3935</v>
      </c>
      <c r="C1069" s="25" t="s">
        <v>835</v>
      </c>
      <c r="D1069" s="17" t="str">
        <f>vlookup(C1069,'1. 신청자리스트'!J:N,2,false)</f>
        <v>중복</v>
      </c>
      <c r="E1069" s="25"/>
      <c r="F1069" s="25" t="s">
        <v>1187</v>
      </c>
      <c r="G1069" s="26">
        <v>70000.0</v>
      </c>
      <c r="H1069" s="27" t="s">
        <v>3983</v>
      </c>
      <c r="I1069" s="28"/>
      <c r="J1069" s="28"/>
      <c r="K1069" s="28"/>
      <c r="L1069" s="29"/>
      <c r="M1069" s="22"/>
      <c r="N1069" s="22"/>
      <c r="O1069" s="22"/>
      <c r="P1069" s="22"/>
      <c r="Q1069" s="22"/>
      <c r="R1069" s="22"/>
      <c r="S1069" s="22"/>
      <c r="T1069" s="23"/>
    </row>
    <row r="1070">
      <c r="A1070" s="24" t="s">
        <v>3985</v>
      </c>
      <c r="B1070" s="25" t="s">
        <v>4457</v>
      </c>
      <c r="C1070" s="25" t="s">
        <v>835</v>
      </c>
      <c r="D1070" s="17" t="str">
        <f>vlookup(C1070,'1. 신청자리스트'!J:N,2,false)</f>
        <v>중복</v>
      </c>
      <c r="E1070" s="25"/>
      <c r="F1070" s="25" t="s">
        <v>1187</v>
      </c>
      <c r="G1070" s="26">
        <v>70000.0</v>
      </c>
      <c r="H1070" s="27" t="s">
        <v>4458</v>
      </c>
      <c r="I1070" s="28"/>
      <c r="J1070" s="28"/>
      <c r="K1070" s="28"/>
      <c r="L1070" s="29"/>
      <c r="M1070" s="22"/>
      <c r="N1070" s="22"/>
      <c r="O1070" s="22"/>
      <c r="P1070" s="22"/>
      <c r="Q1070" s="22"/>
      <c r="R1070" s="22"/>
      <c r="S1070" s="22"/>
      <c r="T1070" s="23"/>
    </row>
    <row r="1071">
      <c r="A1071" s="24" t="s">
        <v>3953</v>
      </c>
      <c r="B1071" s="25" t="s">
        <v>3935</v>
      </c>
      <c r="C1071" s="25" t="s">
        <v>377</v>
      </c>
      <c r="D1071" s="17" t="str">
        <f>vlookup(C1071,'1. 신청자리스트'!J:N,2,false)</f>
        <v>중복</v>
      </c>
      <c r="E1071" s="25"/>
      <c r="F1071" s="25" t="s">
        <v>2760</v>
      </c>
      <c r="G1071" s="26">
        <v>70000.0</v>
      </c>
      <c r="H1071" s="27" t="s">
        <v>3939</v>
      </c>
      <c r="I1071" s="28"/>
      <c r="J1071" s="28"/>
      <c r="K1071" s="28"/>
      <c r="L1071" s="29"/>
      <c r="M1071" s="22"/>
      <c r="N1071" s="22"/>
      <c r="O1071" s="22"/>
      <c r="P1071" s="22"/>
      <c r="Q1071" s="22"/>
      <c r="R1071" s="22"/>
      <c r="S1071" s="22"/>
      <c r="T1071" s="23"/>
    </row>
    <row r="1072">
      <c r="A1072" s="24" t="s">
        <v>3972</v>
      </c>
      <c r="B1072" s="25" t="s">
        <v>3935</v>
      </c>
      <c r="C1072" s="25" t="s">
        <v>377</v>
      </c>
      <c r="D1072" s="17" t="str">
        <f>vlookup(C1072,'1. 신청자리스트'!J:N,2,false)</f>
        <v>중복</v>
      </c>
      <c r="E1072" s="25"/>
      <c r="F1072" s="25" t="s">
        <v>377</v>
      </c>
      <c r="G1072" s="26">
        <v>70000.0</v>
      </c>
      <c r="H1072" s="27" t="s">
        <v>3939</v>
      </c>
      <c r="I1072" s="28"/>
      <c r="J1072" s="28"/>
      <c r="K1072" s="28"/>
      <c r="L1072" s="29"/>
      <c r="M1072" s="22"/>
      <c r="N1072" s="22"/>
      <c r="O1072" s="22"/>
      <c r="P1072" s="22"/>
      <c r="Q1072" s="22"/>
      <c r="R1072" s="22"/>
      <c r="S1072" s="22"/>
      <c r="T1072" s="23"/>
    </row>
    <row r="1073">
      <c r="A1073" s="24" t="s">
        <v>3940</v>
      </c>
      <c r="B1073" s="25" t="s">
        <v>3932</v>
      </c>
      <c r="C1073" s="25" t="s">
        <v>379</v>
      </c>
      <c r="D1073" s="17" t="str">
        <f>vlookup(C1073,'1. 신청자리스트'!J:N,2,false)</f>
        <v>중복</v>
      </c>
      <c r="E1073" s="25"/>
      <c r="F1073" s="25" t="s">
        <v>2893</v>
      </c>
      <c r="G1073" s="26">
        <v>35000.0</v>
      </c>
      <c r="H1073" s="27" t="s">
        <v>4218</v>
      </c>
      <c r="I1073" s="28"/>
      <c r="J1073" s="28"/>
      <c r="K1073" s="28"/>
      <c r="L1073" s="29"/>
      <c r="M1073" s="22"/>
      <c r="N1073" s="22"/>
      <c r="O1073" s="22"/>
      <c r="P1073" s="22"/>
      <c r="Q1073" s="22"/>
      <c r="R1073" s="22"/>
      <c r="S1073" s="22"/>
      <c r="T1073" s="23"/>
    </row>
    <row r="1074">
      <c r="A1074" s="16" t="s">
        <v>3985</v>
      </c>
      <c r="B1074" s="17" t="s">
        <v>3932</v>
      </c>
      <c r="C1074" s="17" t="s">
        <v>379</v>
      </c>
      <c r="D1074" s="17" t="str">
        <f>vlookup(C1074,'1. 신청자리스트'!J:N,2,false)</f>
        <v>중복</v>
      </c>
      <c r="E1074" s="17"/>
      <c r="F1074" s="17" t="s">
        <v>379</v>
      </c>
      <c r="G1074" s="18">
        <v>35000.0</v>
      </c>
      <c r="H1074" s="19" t="s">
        <v>4218</v>
      </c>
      <c r="I1074" s="20"/>
      <c r="J1074" s="20"/>
      <c r="K1074" s="20"/>
      <c r="L1074" s="21"/>
      <c r="M1074" s="22"/>
      <c r="N1074" s="22"/>
      <c r="O1074" s="22"/>
      <c r="P1074" s="22"/>
      <c r="Q1074" s="22"/>
      <c r="R1074" s="22"/>
      <c r="S1074" s="22"/>
      <c r="T1074" s="23"/>
    </row>
    <row r="1075">
      <c r="A1075" s="24" t="s">
        <v>3934</v>
      </c>
      <c r="B1075" s="25" t="s">
        <v>3935</v>
      </c>
      <c r="C1075" s="25" t="s">
        <v>842</v>
      </c>
      <c r="D1075" s="17" t="str">
        <f>vlookup(C1075,'1. 신청자리스트'!J:N,2,false)</f>
        <v>중복</v>
      </c>
      <c r="E1075" s="25"/>
      <c r="F1075" s="25" t="s">
        <v>1179</v>
      </c>
      <c r="G1075" s="26">
        <v>70000.0</v>
      </c>
      <c r="H1075" s="27" t="s">
        <v>3948</v>
      </c>
      <c r="I1075" s="28"/>
      <c r="J1075" s="28"/>
      <c r="K1075" s="28"/>
      <c r="L1075" s="29"/>
      <c r="M1075" s="22"/>
      <c r="N1075" s="22"/>
      <c r="O1075" s="22"/>
      <c r="P1075" s="22"/>
      <c r="Q1075" s="22"/>
      <c r="R1075" s="22"/>
      <c r="S1075" s="22"/>
      <c r="T1075" s="23"/>
    </row>
    <row r="1076">
      <c r="A1076" s="24" t="s">
        <v>4008</v>
      </c>
      <c r="B1076" s="25" t="s">
        <v>4457</v>
      </c>
      <c r="C1076" s="25" t="s">
        <v>842</v>
      </c>
      <c r="D1076" s="17" t="str">
        <f>vlookup(C1076,'1. 신청자리스트'!J:N,2,false)</f>
        <v>중복</v>
      </c>
      <c r="E1076" s="25"/>
      <c r="F1076" s="25" t="s">
        <v>1179</v>
      </c>
      <c r="G1076" s="26">
        <v>70000.0</v>
      </c>
      <c r="H1076" s="27" t="s">
        <v>4459</v>
      </c>
      <c r="I1076" s="28"/>
      <c r="J1076" s="28"/>
      <c r="K1076" s="28"/>
      <c r="L1076" s="29"/>
      <c r="M1076" s="22"/>
      <c r="N1076" s="22"/>
      <c r="O1076" s="22"/>
      <c r="P1076" s="22"/>
      <c r="Q1076" s="22"/>
      <c r="R1076" s="22"/>
      <c r="S1076" s="22"/>
      <c r="T1076" s="23"/>
    </row>
    <row r="1077">
      <c r="A1077" s="24" t="s">
        <v>3940</v>
      </c>
      <c r="B1077" s="25" t="s">
        <v>3993</v>
      </c>
      <c r="C1077" s="25" t="s">
        <v>383</v>
      </c>
      <c r="D1077" s="17" t="str">
        <f>vlookup(C1077,'1. 신청자리스트'!J:N,2,false)</f>
        <v>중복</v>
      </c>
      <c r="E1077" s="25"/>
      <c r="F1077" s="25" t="s">
        <v>2895</v>
      </c>
      <c r="G1077" s="26">
        <v>35000.0</v>
      </c>
      <c r="H1077" s="27" t="s">
        <v>3948</v>
      </c>
      <c r="I1077" s="28"/>
      <c r="J1077" s="28"/>
      <c r="K1077" s="28"/>
      <c r="L1077" s="29"/>
      <c r="M1077" s="22"/>
      <c r="N1077" s="22"/>
      <c r="O1077" s="22"/>
      <c r="P1077" s="22"/>
      <c r="Q1077" s="22"/>
      <c r="R1077" s="22"/>
      <c r="S1077" s="22"/>
      <c r="T1077" s="23"/>
    </row>
    <row r="1078">
      <c r="A1078" s="16" t="s">
        <v>4255</v>
      </c>
      <c r="B1078" s="17" t="s">
        <v>3993</v>
      </c>
      <c r="C1078" s="17" t="s">
        <v>383</v>
      </c>
      <c r="D1078" s="17" t="str">
        <f>vlookup(C1078,'1. 신청자리스트'!J:N,2,false)</f>
        <v>중복</v>
      </c>
      <c r="E1078" s="17"/>
      <c r="F1078" s="17" t="s">
        <v>4460</v>
      </c>
      <c r="G1078" s="18">
        <v>35000.0</v>
      </c>
      <c r="H1078" s="19" t="s">
        <v>3948</v>
      </c>
      <c r="I1078" s="20"/>
      <c r="J1078" s="20"/>
      <c r="K1078" s="20"/>
      <c r="L1078" s="21"/>
      <c r="M1078" s="22"/>
      <c r="N1078" s="22"/>
      <c r="O1078" s="22"/>
      <c r="P1078" s="22"/>
      <c r="Q1078" s="22"/>
      <c r="R1078" s="22"/>
      <c r="S1078" s="22"/>
      <c r="T1078" s="23"/>
    </row>
    <row r="1079">
      <c r="A1079" s="24" t="s">
        <v>3985</v>
      </c>
      <c r="B1079" s="25" t="s">
        <v>3935</v>
      </c>
      <c r="C1079" s="25" t="s">
        <v>844</v>
      </c>
      <c r="D1079" s="17" t="str">
        <f>vlookup(C1079,'1. 신청자리스트'!J:N,2,false)</f>
        <v>중복</v>
      </c>
      <c r="E1079" s="17" t="str">
        <f>if(vlookup(C1079,'문의'!D:D,1,false)=C1079,"있음")</f>
        <v>있음</v>
      </c>
      <c r="F1079" s="25" t="s">
        <v>4461</v>
      </c>
      <c r="G1079" s="26">
        <v>70000.0</v>
      </c>
      <c r="H1079" s="27" t="s">
        <v>3946</v>
      </c>
      <c r="I1079" s="28"/>
      <c r="J1079" s="28"/>
      <c r="K1079" s="45" t="s">
        <v>4462</v>
      </c>
      <c r="L1079" s="29"/>
      <c r="M1079" s="22"/>
      <c r="N1079" s="22"/>
      <c r="O1079" s="22"/>
      <c r="P1079" s="22"/>
      <c r="Q1079" s="22"/>
      <c r="R1079" s="22"/>
      <c r="S1079" s="22"/>
      <c r="T1079" s="23"/>
    </row>
    <row r="1080">
      <c r="A1080" s="16" t="s">
        <v>3955</v>
      </c>
      <c r="B1080" s="17" t="s">
        <v>3935</v>
      </c>
      <c r="C1080" s="17" t="s">
        <v>844</v>
      </c>
      <c r="D1080" s="17" t="str">
        <f>vlookup(C1080,'1. 신청자리스트'!J:N,2,false)</f>
        <v>중복</v>
      </c>
      <c r="E1080" s="17"/>
      <c r="F1080" s="17" t="s">
        <v>844</v>
      </c>
      <c r="G1080" s="18">
        <v>70000.0</v>
      </c>
      <c r="H1080" s="19" t="s">
        <v>3946</v>
      </c>
      <c r="I1080" s="20"/>
      <c r="J1080" s="20"/>
      <c r="K1080" s="20"/>
      <c r="L1080" s="21"/>
      <c r="M1080" s="22"/>
      <c r="N1080" s="22"/>
      <c r="O1080" s="22"/>
      <c r="P1080" s="22"/>
      <c r="Q1080" s="22"/>
      <c r="R1080" s="22"/>
      <c r="S1080" s="22"/>
      <c r="T1080" s="23"/>
    </row>
    <row r="1081">
      <c r="A1081" s="16" t="s">
        <v>3940</v>
      </c>
      <c r="B1081" s="17" t="s">
        <v>3935</v>
      </c>
      <c r="C1081" s="17" t="s">
        <v>855</v>
      </c>
      <c r="D1081" s="17" t="str">
        <f>vlookup(C1081,'1. 신청자리스트'!J:N,2,false)</f>
        <v>중복</v>
      </c>
      <c r="E1081" s="17"/>
      <c r="F1081" s="17" t="s">
        <v>855</v>
      </c>
      <c r="G1081" s="18">
        <v>70000.0</v>
      </c>
      <c r="H1081" s="19" t="s">
        <v>4041</v>
      </c>
      <c r="I1081" s="20"/>
      <c r="J1081" s="20"/>
      <c r="K1081" s="20"/>
      <c r="L1081" s="21"/>
      <c r="M1081" s="22"/>
      <c r="N1081" s="22"/>
      <c r="O1081" s="22"/>
      <c r="P1081" s="22"/>
      <c r="Q1081" s="22"/>
      <c r="R1081" s="22"/>
      <c r="S1081" s="22"/>
      <c r="T1081" s="23"/>
    </row>
    <row r="1082">
      <c r="A1082" s="16" t="s">
        <v>4071</v>
      </c>
      <c r="B1082" s="17" t="s">
        <v>3935</v>
      </c>
      <c r="C1082" s="17" t="s">
        <v>855</v>
      </c>
      <c r="D1082" s="17" t="str">
        <f>vlookup(C1082,'1. 신청자리스트'!J:N,2,false)</f>
        <v>중복</v>
      </c>
      <c r="E1082" s="17"/>
      <c r="F1082" s="17" t="s">
        <v>855</v>
      </c>
      <c r="G1082" s="18">
        <v>70000.0</v>
      </c>
      <c r="H1082" s="19" t="s">
        <v>3946</v>
      </c>
      <c r="I1082" s="20"/>
      <c r="J1082" s="20"/>
      <c r="K1082" s="20"/>
      <c r="L1082" s="21"/>
      <c r="M1082" s="22"/>
      <c r="N1082" s="22"/>
      <c r="O1082" s="22"/>
      <c r="P1082" s="22"/>
      <c r="Q1082" s="22"/>
      <c r="R1082" s="22"/>
      <c r="S1082" s="22"/>
      <c r="T1082" s="23"/>
    </row>
    <row r="1083">
      <c r="A1083" s="24" t="s">
        <v>3985</v>
      </c>
      <c r="B1083" s="25" t="s">
        <v>3935</v>
      </c>
      <c r="C1083" s="25" t="s">
        <v>385</v>
      </c>
      <c r="D1083" s="17" t="str">
        <f>vlookup(C1083,'1. 신청자리스트'!J:N,2,false)</f>
        <v>중복</v>
      </c>
      <c r="E1083" s="25"/>
      <c r="F1083" s="25" t="s">
        <v>2897</v>
      </c>
      <c r="G1083" s="26">
        <v>35000.0</v>
      </c>
      <c r="H1083" s="27" t="s">
        <v>4270</v>
      </c>
      <c r="I1083" s="28"/>
      <c r="J1083" s="28"/>
      <c r="K1083" s="28"/>
      <c r="L1083" s="29"/>
      <c r="M1083" s="22"/>
      <c r="N1083" s="22"/>
      <c r="O1083" s="22"/>
      <c r="P1083" s="22"/>
      <c r="Q1083" s="22"/>
      <c r="R1083" s="22"/>
      <c r="S1083" s="22"/>
      <c r="T1083" s="23"/>
    </row>
    <row r="1084">
      <c r="A1084" s="16" t="s">
        <v>3984</v>
      </c>
      <c r="B1084" s="17" t="s">
        <v>3935</v>
      </c>
      <c r="C1084" s="17" t="s">
        <v>385</v>
      </c>
      <c r="D1084" s="17" t="str">
        <f>vlookup(C1084,'1. 신청자리스트'!J:N,2,false)</f>
        <v>중복</v>
      </c>
      <c r="E1084" s="17"/>
      <c r="F1084" s="17" t="s">
        <v>4463</v>
      </c>
      <c r="G1084" s="18">
        <v>35000.0</v>
      </c>
      <c r="H1084" s="19" t="s">
        <v>4270</v>
      </c>
      <c r="I1084" s="20"/>
      <c r="J1084" s="20"/>
      <c r="K1084" s="20"/>
      <c r="L1084" s="21"/>
      <c r="M1084" s="22"/>
      <c r="N1084" s="22"/>
      <c r="O1084" s="22"/>
      <c r="P1084" s="22"/>
      <c r="Q1084" s="22"/>
      <c r="R1084" s="22"/>
      <c r="S1084" s="22"/>
      <c r="T1084" s="23"/>
    </row>
    <row r="1085">
      <c r="A1085" s="24" t="s">
        <v>3945</v>
      </c>
      <c r="B1085" s="25" t="s">
        <v>3932</v>
      </c>
      <c r="C1085" s="25" t="s">
        <v>857</v>
      </c>
      <c r="D1085" s="17" t="str">
        <f>vlookup(C1085,'1. 신청자리스트'!J:N,2,false)</f>
        <v>중복</v>
      </c>
      <c r="E1085" s="25"/>
      <c r="F1085" s="25" t="s">
        <v>1077</v>
      </c>
      <c r="G1085" s="26">
        <v>70000.0</v>
      </c>
      <c r="H1085" s="27" t="s">
        <v>4464</v>
      </c>
      <c r="I1085" s="28"/>
      <c r="J1085" s="28"/>
      <c r="K1085" s="28"/>
      <c r="L1085" s="29"/>
      <c r="M1085" s="22"/>
      <c r="N1085" s="22"/>
      <c r="O1085" s="22"/>
      <c r="P1085" s="22"/>
      <c r="Q1085" s="22"/>
      <c r="R1085" s="22"/>
      <c r="S1085" s="22"/>
      <c r="T1085" s="23"/>
    </row>
    <row r="1086">
      <c r="A1086" s="16" t="s">
        <v>4019</v>
      </c>
      <c r="B1086" s="17" t="s">
        <v>3932</v>
      </c>
      <c r="C1086" s="17" t="s">
        <v>857</v>
      </c>
      <c r="D1086" s="17" t="str">
        <f>vlookup(C1086,'1. 신청자리스트'!J:N,2,false)</f>
        <v>중복</v>
      </c>
      <c r="E1086" s="17"/>
      <c r="F1086" s="17" t="s">
        <v>857</v>
      </c>
      <c r="G1086" s="18">
        <v>70000.0</v>
      </c>
      <c r="H1086" s="19" t="s">
        <v>4464</v>
      </c>
      <c r="I1086" s="20"/>
      <c r="J1086" s="20"/>
      <c r="K1086" s="20"/>
      <c r="L1086" s="21"/>
      <c r="M1086" s="22"/>
      <c r="N1086" s="22"/>
      <c r="O1086" s="22"/>
      <c r="P1086" s="22"/>
      <c r="Q1086" s="22"/>
      <c r="R1086" s="22"/>
      <c r="S1086" s="22"/>
      <c r="T1086" s="23"/>
    </row>
    <row r="1087">
      <c r="A1087" s="16" t="s">
        <v>3940</v>
      </c>
      <c r="B1087" s="17" t="s">
        <v>3935</v>
      </c>
      <c r="C1087" s="17" t="s">
        <v>858</v>
      </c>
      <c r="D1087" s="17" t="str">
        <f>vlookup(C1087,'1. 신청자리스트'!J:N,2,false)</f>
        <v>중복</v>
      </c>
      <c r="E1087" s="17"/>
      <c r="F1087" s="17" t="s">
        <v>4465</v>
      </c>
      <c r="G1087" s="18">
        <v>70000.0</v>
      </c>
      <c r="H1087" s="19" t="s">
        <v>4006</v>
      </c>
      <c r="I1087" s="20"/>
      <c r="J1087" s="20"/>
      <c r="K1087" s="20"/>
      <c r="L1087" s="21"/>
      <c r="M1087" s="22"/>
      <c r="N1087" s="22"/>
      <c r="O1087" s="22"/>
      <c r="P1087" s="22"/>
      <c r="Q1087" s="22"/>
      <c r="R1087" s="22"/>
      <c r="S1087" s="22"/>
      <c r="T1087" s="23"/>
    </row>
    <row r="1088">
      <c r="A1088" s="24" t="s">
        <v>3931</v>
      </c>
      <c r="B1088" s="25" t="s">
        <v>3935</v>
      </c>
      <c r="C1088" s="25" t="s">
        <v>858</v>
      </c>
      <c r="D1088" s="17" t="str">
        <f>vlookup(C1088,'1. 신청자리스트'!J:N,2,false)</f>
        <v>중복</v>
      </c>
      <c r="E1088" s="25"/>
      <c r="F1088" s="25" t="s">
        <v>4466</v>
      </c>
      <c r="G1088" s="26">
        <v>35000.0</v>
      </c>
      <c r="H1088" s="27" t="s">
        <v>3946</v>
      </c>
      <c r="I1088" s="28"/>
      <c r="J1088" s="28"/>
      <c r="K1088" s="45" t="s">
        <v>4467</v>
      </c>
      <c r="L1088" s="29"/>
      <c r="M1088" s="22"/>
      <c r="N1088" s="22"/>
      <c r="O1088" s="22"/>
      <c r="P1088" s="22"/>
      <c r="Q1088" s="22"/>
      <c r="R1088" s="22"/>
      <c r="S1088" s="22"/>
      <c r="T1088" s="23"/>
    </row>
    <row r="1089">
      <c r="A1089" s="16" t="s">
        <v>3949</v>
      </c>
      <c r="B1089" s="17" t="s">
        <v>3935</v>
      </c>
      <c r="C1089" s="17" t="s">
        <v>860</v>
      </c>
      <c r="D1089" s="17" t="str">
        <f>vlookup(C1089,'1. 신청자리스트'!J:N,2,false)</f>
        <v>중복</v>
      </c>
      <c r="E1089" s="17"/>
      <c r="F1089" s="17" t="s">
        <v>860</v>
      </c>
      <c r="G1089" s="18">
        <v>70000.0</v>
      </c>
      <c r="H1089" s="19" t="s">
        <v>3941</v>
      </c>
      <c r="I1089" s="20"/>
      <c r="J1089" s="20"/>
      <c r="K1089" s="20"/>
      <c r="L1089" s="21"/>
      <c r="M1089" s="22"/>
      <c r="N1089" s="22"/>
      <c r="O1089" s="22"/>
      <c r="P1089" s="22"/>
      <c r="Q1089" s="22"/>
      <c r="R1089" s="22"/>
      <c r="S1089" s="22"/>
      <c r="T1089" s="23"/>
    </row>
    <row r="1090">
      <c r="A1090" s="16" t="s">
        <v>4096</v>
      </c>
      <c r="B1090" s="17" t="s">
        <v>3935</v>
      </c>
      <c r="C1090" s="17" t="s">
        <v>860</v>
      </c>
      <c r="D1090" s="17" t="str">
        <f>vlookup(C1090,'1. 신청자리스트'!J:N,2,false)</f>
        <v>중복</v>
      </c>
      <c r="E1090" s="17"/>
      <c r="F1090" s="17" t="s">
        <v>860</v>
      </c>
      <c r="G1090" s="18">
        <v>70000.0</v>
      </c>
      <c r="H1090" s="19" t="s">
        <v>3939</v>
      </c>
      <c r="I1090" s="20"/>
      <c r="J1090" s="20"/>
      <c r="K1090" s="20"/>
      <c r="L1090" s="21"/>
      <c r="M1090" s="22"/>
      <c r="N1090" s="22"/>
      <c r="O1090" s="22"/>
      <c r="P1090" s="22"/>
      <c r="Q1090" s="22"/>
      <c r="R1090" s="22"/>
      <c r="S1090" s="22"/>
      <c r="T1090" s="23"/>
    </row>
    <row r="1091">
      <c r="A1091" s="30" t="s">
        <v>3940</v>
      </c>
      <c r="B1091" s="31" t="s">
        <v>3935</v>
      </c>
      <c r="C1091" s="31" t="s">
        <v>4468</v>
      </c>
      <c r="D1091" s="17" t="str">
        <f>vlookup(C1091,'1. 신청자리스트'!J:N,2,false)</f>
        <v>중복</v>
      </c>
      <c r="E1091" s="31"/>
      <c r="F1091" s="31" t="s">
        <v>4469</v>
      </c>
      <c r="G1091" s="32">
        <v>70000.0</v>
      </c>
      <c r="H1091" s="33" t="s">
        <v>3946</v>
      </c>
      <c r="I1091" s="34" t="str">
        <f>VLOOKUP(C1091, '문의'!D:E, 2, FALSE)</f>
        <v>[취소/환불] 591 910407 96707 서한솔 하나은행
 중복입금하고 원래 동반자 불참으로 14만원 취소부탁드려요</v>
      </c>
      <c r="J1091" s="34">
        <f t="array" ref="J1091">INDEX('문의'!C:C, MATCH(C1091, '문의'!D:D, 0))</f>
        <v>1086430619</v>
      </c>
      <c r="K1091" s="36" t="s">
        <v>3957</v>
      </c>
      <c r="L1091" s="37" t="s">
        <v>4470</v>
      </c>
      <c r="M1091" s="42"/>
      <c r="N1091" s="42"/>
      <c r="O1091" s="42"/>
      <c r="P1091" s="42"/>
      <c r="Q1091" s="42"/>
      <c r="R1091" s="42"/>
      <c r="S1091" s="42"/>
      <c r="T1091" s="41"/>
    </row>
    <row r="1092">
      <c r="A1092" s="30" t="s">
        <v>3945</v>
      </c>
      <c r="B1092" s="31" t="s">
        <v>3935</v>
      </c>
      <c r="C1092" s="31" t="s">
        <v>4468</v>
      </c>
      <c r="D1092" s="17" t="str">
        <f>vlookup(C1092,'1. 신청자리스트'!J:N,2,false)</f>
        <v>중복</v>
      </c>
      <c r="E1092" s="50"/>
      <c r="F1092" s="31" t="s">
        <v>4468</v>
      </c>
      <c r="G1092" s="32">
        <v>70000.0</v>
      </c>
      <c r="H1092" s="33" t="s">
        <v>3946</v>
      </c>
      <c r="I1092" s="34" t="str">
        <f>VLOOKUP(C1092, '문의'!D:E, 2, FALSE)</f>
        <v>[취소/환불] 591 910407 96707 서한솔 하나은행
 중복입금하고 원래 동반자 불참으로 14만원 취소부탁드려요</v>
      </c>
      <c r="J1092" s="34">
        <f t="array" ref="J1092">INDEX('문의'!C:C, MATCH(C1092, '문의'!D:D, 0))</f>
        <v>1086430619</v>
      </c>
      <c r="K1092" s="34" t="s">
        <v>4471</v>
      </c>
      <c r="L1092" s="56"/>
      <c r="M1092" s="38" t="s">
        <v>3959</v>
      </c>
      <c r="N1092" s="38" t="s">
        <v>3960</v>
      </c>
      <c r="O1092" s="38" t="s">
        <v>3960</v>
      </c>
      <c r="P1092" s="57">
        <v>105000.0</v>
      </c>
      <c r="Q1092" s="38" t="s">
        <v>3946</v>
      </c>
      <c r="R1092" s="58" t="s">
        <v>4472</v>
      </c>
      <c r="S1092" s="38" t="s">
        <v>4469</v>
      </c>
      <c r="T1092" s="41"/>
    </row>
    <row r="1093">
      <c r="A1093" s="24" t="s">
        <v>3945</v>
      </c>
      <c r="B1093" s="25" t="s">
        <v>3935</v>
      </c>
      <c r="C1093" s="25" t="s">
        <v>863</v>
      </c>
      <c r="D1093" s="17" t="str">
        <f>vlookup(C1093,'1. 신청자리스트'!J:N,2,false)</f>
        <v>중복</v>
      </c>
      <c r="E1093" s="25"/>
      <c r="F1093" s="25" t="s">
        <v>1129</v>
      </c>
      <c r="G1093" s="26">
        <v>70000.0</v>
      </c>
      <c r="H1093" s="27" t="s">
        <v>3946</v>
      </c>
      <c r="I1093" s="28"/>
      <c r="J1093" s="28"/>
      <c r="K1093" s="28"/>
      <c r="L1093" s="29"/>
      <c r="M1093" s="22"/>
      <c r="N1093" s="22"/>
      <c r="O1093" s="22"/>
      <c r="P1093" s="22"/>
      <c r="Q1093" s="22"/>
      <c r="R1093" s="22"/>
      <c r="S1093" s="22"/>
      <c r="T1093" s="23"/>
    </row>
    <row r="1094">
      <c r="A1094" s="16" t="s">
        <v>4030</v>
      </c>
      <c r="B1094" s="17" t="s">
        <v>3935</v>
      </c>
      <c r="C1094" s="17" t="s">
        <v>863</v>
      </c>
      <c r="D1094" s="17" t="str">
        <f>vlookup(C1094,'1. 신청자리스트'!J:N,2,false)</f>
        <v>중복</v>
      </c>
      <c r="E1094" s="17"/>
      <c r="F1094" s="17" t="s">
        <v>863</v>
      </c>
      <c r="G1094" s="18">
        <v>70000.0</v>
      </c>
      <c r="H1094" s="19" t="s">
        <v>3946</v>
      </c>
      <c r="I1094" s="20"/>
      <c r="J1094" s="20"/>
      <c r="K1094" s="20"/>
      <c r="L1094" s="21"/>
      <c r="M1094" s="22"/>
      <c r="N1094" s="22"/>
      <c r="O1094" s="22"/>
      <c r="P1094" s="22"/>
      <c r="Q1094" s="22"/>
      <c r="R1094" s="22"/>
      <c r="S1094" s="22"/>
      <c r="T1094" s="23"/>
    </row>
    <row r="1095">
      <c r="A1095" s="24" t="s">
        <v>3942</v>
      </c>
      <c r="B1095" s="25" t="s">
        <v>3935</v>
      </c>
      <c r="C1095" s="25" t="s">
        <v>395</v>
      </c>
      <c r="D1095" s="17" t="str">
        <f>vlookup(C1095,'1. 신청자리스트'!J:N,2,false)</f>
        <v>중복</v>
      </c>
      <c r="E1095" s="25"/>
      <c r="F1095" s="25" t="s">
        <v>2899</v>
      </c>
      <c r="G1095" s="26">
        <v>35000.0</v>
      </c>
      <c r="H1095" s="27" t="s">
        <v>3939</v>
      </c>
      <c r="I1095" s="28"/>
      <c r="J1095" s="28"/>
      <c r="K1095" s="28"/>
      <c r="L1095" s="29"/>
      <c r="M1095" s="22"/>
      <c r="N1095" s="22"/>
      <c r="O1095" s="22"/>
      <c r="P1095" s="22"/>
      <c r="Q1095" s="22"/>
      <c r="R1095" s="22"/>
      <c r="S1095" s="22"/>
      <c r="T1095" s="23"/>
    </row>
    <row r="1096">
      <c r="A1096" s="16" t="s">
        <v>3945</v>
      </c>
      <c r="B1096" s="17" t="s">
        <v>3935</v>
      </c>
      <c r="C1096" s="17" t="s">
        <v>395</v>
      </c>
      <c r="D1096" s="17" t="str">
        <f>vlookup(C1096,'1. 신청자리스트'!J:N,2,false)</f>
        <v>중복</v>
      </c>
      <c r="E1096" s="17"/>
      <c r="F1096" s="17" t="s">
        <v>395</v>
      </c>
      <c r="G1096" s="18">
        <v>35000.0</v>
      </c>
      <c r="H1096" s="19" t="s">
        <v>3939</v>
      </c>
      <c r="I1096" s="20"/>
      <c r="J1096" s="20"/>
      <c r="K1096" s="20"/>
      <c r="L1096" s="21"/>
      <c r="M1096" s="22"/>
      <c r="N1096" s="22"/>
      <c r="O1096" s="22"/>
      <c r="P1096" s="22"/>
      <c r="Q1096" s="22"/>
      <c r="R1096" s="22"/>
      <c r="S1096" s="22"/>
      <c r="T1096" s="23"/>
    </row>
    <row r="1097">
      <c r="A1097" s="24" t="s">
        <v>3931</v>
      </c>
      <c r="B1097" s="25" t="s">
        <v>3935</v>
      </c>
      <c r="C1097" s="25" t="s">
        <v>869</v>
      </c>
      <c r="D1097" s="17" t="str">
        <f>vlookup(C1097,'1. 신청자리스트'!J:N,2,false)</f>
        <v>중복</v>
      </c>
      <c r="E1097" s="25"/>
      <c r="F1097" s="25" t="s">
        <v>1175</v>
      </c>
      <c r="G1097" s="26">
        <v>70000.0</v>
      </c>
      <c r="H1097" s="27" t="s">
        <v>3939</v>
      </c>
      <c r="I1097" s="28"/>
      <c r="J1097" s="28"/>
      <c r="K1097" s="28"/>
      <c r="L1097" s="29"/>
      <c r="M1097" s="22"/>
      <c r="N1097" s="22"/>
      <c r="O1097" s="22"/>
      <c r="P1097" s="22"/>
      <c r="Q1097" s="22"/>
      <c r="R1097" s="22"/>
      <c r="S1097" s="22"/>
      <c r="T1097" s="23"/>
    </row>
    <row r="1098">
      <c r="A1098" s="16" t="s">
        <v>4255</v>
      </c>
      <c r="B1098" s="17" t="s">
        <v>3935</v>
      </c>
      <c r="C1098" s="17" t="s">
        <v>869</v>
      </c>
      <c r="D1098" s="17" t="str">
        <f>vlookup(C1098,'1. 신청자리스트'!J:N,2,false)</f>
        <v>중복</v>
      </c>
      <c r="E1098" s="17"/>
      <c r="F1098" s="17" t="s">
        <v>869</v>
      </c>
      <c r="G1098" s="18">
        <v>70000.0</v>
      </c>
      <c r="H1098" s="19" t="s">
        <v>3939</v>
      </c>
      <c r="I1098" s="20"/>
      <c r="J1098" s="20"/>
      <c r="K1098" s="20"/>
      <c r="L1098" s="21"/>
      <c r="M1098" s="22"/>
      <c r="N1098" s="22"/>
      <c r="O1098" s="22"/>
      <c r="P1098" s="22"/>
      <c r="Q1098" s="22"/>
      <c r="R1098" s="22"/>
      <c r="S1098" s="22"/>
      <c r="T1098" s="23"/>
    </row>
    <row r="1099">
      <c r="A1099" s="24" t="s">
        <v>3940</v>
      </c>
      <c r="B1099" s="25" t="s">
        <v>3932</v>
      </c>
      <c r="C1099" s="25" t="s">
        <v>403</v>
      </c>
      <c r="D1099" s="17" t="str">
        <f>vlookup(C1099,'1. 신청자리스트'!J:N,2,false)</f>
        <v>중복</v>
      </c>
      <c r="E1099" s="25"/>
      <c r="F1099" s="25" t="s">
        <v>2901</v>
      </c>
      <c r="G1099" s="26">
        <v>35000.0</v>
      </c>
      <c r="H1099" s="27" t="s">
        <v>4473</v>
      </c>
      <c r="I1099" s="28"/>
      <c r="J1099" s="28"/>
      <c r="K1099" s="28"/>
      <c r="L1099" s="29"/>
      <c r="M1099" s="22"/>
      <c r="N1099" s="22"/>
      <c r="O1099" s="22"/>
      <c r="P1099" s="22"/>
      <c r="Q1099" s="22"/>
      <c r="R1099" s="22"/>
      <c r="S1099" s="22"/>
      <c r="T1099" s="23"/>
    </row>
    <row r="1100">
      <c r="A1100" s="16" t="s">
        <v>4383</v>
      </c>
      <c r="B1100" s="17" t="s">
        <v>3932</v>
      </c>
      <c r="C1100" s="17" t="s">
        <v>403</v>
      </c>
      <c r="D1100" s="17" t="str">
        <f>vlookup(C1100,'1. 신청자리스트'!J:N,2,false)</f>
        <v>중복</v>
      </c>
      <c r="E1100" s="17"/>
      <c r="F1100" s="17" t="s">
        <v>4474</v>
      </c>
      <c r="G1100" s="18">
        <v>35000.0</v>
      </c>
      <c r="H1100" s="19" t="s">
        <v>4473</v>
      </c>
      <c r="I1100" s="20"/>
      <c r="J1100" s="20"/>
      <c r="K1100" s="20"/>
      <c r="L1100" s="21"/>
      <c r="M1100" s="22"/>
      <c r="N1100" s="22"/>
      <c r="O1100" s="22"/>
      <c r="P1100" s="22"/>
      <c r="Q1100" s="22"/>
      <c r="R1100" s="22"/>
      <c r="S1100" s="22"/>
      <c r="T1100" s="23"/>
    </row>
    <row r="1101">
      <c r="A1101" s="16" t="s">
        <v>4475</v>
      </c>
      <c r="B1101" s="47" t="s">
        <v>3935</v>
      </c>
      <c r="C1101" s="47" t="s">
        <v>410</v>
      </c>
      <c r="D1101" s="17" t="str">
        <f>vlookup(C1101,'1. 신청자리스트'!J:N,2,false)</f>
        <v>중복</v>
      </c>
      <c r="E1101" s="47"/>
      <c r="F1101" s="47" t="s">
        <v>410</v>
      </c>
      <c r="G1101" s="18">
        <v>35000.0</v>
      </c>
      <c r="H1101" s="47" t="s">
        <v>3946</v>
      </c>
      <c r="I1101" s="47"/>
      <c r="J1101" s="47"/>
      <c r="K1101" s="47"/>
      <c r="L1101" s="47"/>
      <c r="M1101" s="23"/>
      <c r="N1101" s="23"/>
      <c r="O1101" s="23"/>
      <c r="P1101" s="23"/>
      <c r="Q1101" s="23"/>
      <c r="R1101" s="23"/>
      <c r="S1101" s="23"/>
      <c r="T1101" s="23"/>
    </row>
    <row r="1102">
      <c r="A1102" s="16" t="s">
        <v>3942</v>
      </c>
      <c r="B1102" s="17" t="s">
        <v>3932</v>
      </c>
      <c r="C1102" s="17" t="s">
        <v>410</v>
      </c>
      <c r="D1102" s="17" t="str">
        <f>vlookup(C1102,'1. 신청자리스트'!J:N,2,false)</f>
        <v>중복</v>
      </c>
      <c r="E1102" s="17"/>
      <c r="F1102" s="17" t="s">
        <v>410</v>
      </c>
      <c r="G1102" s="18">
        <v>35000.0</v>
      </c>
      <c r="H1102" s="19" t="s">
        <v>4476</v>
      </c>
      <c r="I1102" s="20"/>
      <c r="J1102" s="20"/>
      <c r="K1102" s="20"/>
      <c r="L1102" s="21"/>
      <c r="M1102" s="22"/>
      <c r="N1102" s="22"/>
      <c r="O1102" s="22"/>
      <c r="P1102" s="22"/>
      <c r="Q1102" s="22"/>
      <c r="R1102" s="22"/>
      <c r="S1102" s="22"/>
      <c r="T1102" s="23"/>
    </row>
    <row r="1103">
      <c r="A1103" s="24" t="s">
        <v>3985</v>
      </c>
      <c r="B1103" s="25" t="s">
        <v>3935</v>
      </c>
      <c r="C1103" s="25" t="s">
        <v>412</v>
      </c>
      <c r="D1103" s="17" t="str">
        <f>vlookup(C1103,'1. 신청자리스트'!J:N,2,false)</f>
        <v>중복</v>
      </c>
      <c r="E1103" s="25"/>
      <c r="F1103" s="25" t="s">
        <v>2905</v>
      </c>
      <c r="G1103" s="26">
        <v>35000.0</v>
      </c>
      <c r="H1103" s="27" t="s">
        <v>3983</v>
      </c>
      <c r="I1103" s="28"/>
      <c r="J1103" s="28"/>
      <c r="K1103" s="28"/>
      <c r="L1103" s="29"/>
      <c r="M1103" s="22"/>
      <c r="N1103" s="22"/>
      <c r="O1103" s="22"/>
      <c r="P1103" s="22"/>
      <c r="Q1103" s="22"/>
      <c r="R1103" s="22"/>
      <c r="S1103" s="22"/>
      <c r="T1103" s="23"/>
    </row>
    <row r="1104">
      <c r="A1104" s="16" t="s">
        <v>3955</v>
      </c>
      <c r="B1104" s="17" t="s">
        <v>3935</v>
      </c>
      <c r="C1104" s="17" t="s">
        <v>412</v>
      </c>
      <c r="D1104" s="17" t="str">
        <f>vlookup(C1104,'1. 신청자리스트'!J:N,2,false)</f>
        <v>중복</v>
      </c>
      <c r="E1104" s="17"/>
      <c r="F1104" s="17" t="s">
        <v>4477</v>
      </c>
      <c r="G1104" s="18">
        <v>35000.0</v>
      </c>
      <c r="H1104" s="19" t="s">
        <v>3983</v>
      </c>
      <c r="I1104" s="20"/>
      <c r="J1104" s="20"/>
      <c r="K1104" s="20"/>
      <c r="L1104" s="21"/>
      <c r="M1104" s="22"/>
      <c r="N1104" s="22"/>
      <c r="O1104" s="22"/>
      <c r="P1104" s="22"/>
      <c r="Q1104" s="22"/>
      <c r="R1104" s="22"/>
      <c r="S1104" s="22"/>
      <c r="T1104" s="23"/>
    </row>
    <row r="1105">
      <c r="A1105" s="24" t="s">
        <v>3942</v>
      </c>
      <c r="B1105" s="25" t="s">
        <v>3935</v>
      </c>
      <c r="C1105" s="25" t="s">
        <v>415</v>
      </c>
      <c r="D1105" s="17" t="str">
        <f>vlookup(C1105,'1. 신청자리스트'!J:N,2,false)</f>
        <v>중복</v>
      </c>
      <c r="E1105" s="25"/>
      <c r="F1105" s="25" t="s">
        <v>3048</v>
      </c>
      <c r="G1105" s="26">
        <v>35000.0</v>
      </c>
      <c r="H1105" s="27" t="s">
        <v>3983</v>
      </c>
      <c r="I1105" s="28"/>
      <c r="J1105" s="28"/>
      <c r="K1105" s="28"/>
      <c r="L1105" s="29"/>
      <c r="M1105" s="22"/>
      <c r="N1105" s="22"/>
      <c r="O1105" s="22"/>
      <c r="P1105" s="22"/>
      <c r="Q1105" s="22"/>
      <c r="R1105" s="22"/>
      <c r="S1105" s="22"/>
      <c r="T1105" s="23"/>
    </row>
    <row r="1106">
      <c r="A1106" s="16" t="s">
        <v>3945</v>
      </c>
      <c r="B1106" s="17" t="s">
        <v>3935</v>
      </c>
      <c r="C1106" s="17" t="s">
        <v>415</v>
      </c>
      <c r="D1106" s="17" t="str">
        <f>vlookup(C1106,'1. 신청자리스트'!J:N,2,false)</f>
        <v>중복</v>
      </c>
      <c r="E1106" s="17"/>
      <c r="F1106" s="17" t="s">
        <v>415</v>
      </c>
      <c r="G1106" s="18">
        <v>35000.0</v>
      </c>
      <c r="H1106" s="19" t="s">
        <v>3941</v>
      </c>
      <c r="I1106" s="20"/>
      <c r="J1106" s="20"/>
      <c r="K1106" s="20"/>
      <c r="L1106" s="21"/>
      <c r="M1106" s="22"/>
      <c r="N1106" s="22"/>
      <c r="O1106" s="22"/>
      <c r="P1106" s="22"/>
      <c r="Q1106" s="22"/>
      <c r="R1106" s="22"/>
      <c r="S1106" s="22"/>
      <c r="T1106" s="23"/>
    </row>
    <row r="1107">
      <c r="A1107" s="24" t="s">
        <v>4002</v>
      </c>
      <c r="B1107" s="25" t="s">
        <v>3935</v>
      </c>
      <c r="C1107" s="25" t="s">
        <v>415</v>
      </c>
      <c r="D1107" s="17" t="str">
        <f>vlookup(C1107,'1. 신청자리스트'!J:N,2,false)</f>
        <v>중복</v>
      </c>
      <c r="E1107" s="25"/>
      <c r="F1107" s="25" t="s">
        <v>3048</v>
      </c>
      <c r="G1107" s="26">
        <v>35000.0</v>
      </c>
      <c r="H1107" s="27" t="s">
        <v>3941</v>
      </c>
      <c r="I1107" s="28"/>
      <c r="J1107" s="28"/>
      <c r="K1107" s="28"/>
      <c r="L1107" s="29"/>
      <c r="M1107" s="22"/>
      <c r="N1107" s="22"/>
      <c r="O1107" s="22"/>
      <c r="P1107" s="22"/>
      <c r="Q1107" s="22"/>
      <c r="R1107" s="22"/>
      <c r="S1107" s="22"/>
      <c r="T1107" s="23"/>
    </row>
    <row r="1108">
      <c r="A1108" s="24" t="s">
        <v>3931</v>
      </c>
      <c r="B1108" s="25" t="s">
        <v>3935</v>
      </c>
      <c r="C1108" s="25" t="s">
        <v>432</v>
      </c>
      <c r="D1108" s="17" t="str">
        <f>vlookup(C1108,'1. 신청자리스트'!J:N,2,false)</f>
        <v>중복</v>
      </c>
      <c r="E1108" s="25"/>
      <c r="F1108" s="25">
        <v>1115.0</v>
      </c>
      <c r="G1108" s="26">
        <v>35000.0</v>
      </c>
      <c r="H1108" s="27" t="s">
        <v>3946</v>
      </c>
      <c r="I1108" s="28"/>
      <c r="J1108" s="28"/>
      <c r="K1108" s="28"/>
      <c r="L1108" s="29"/>
      <c r="M1108" s="22"/>
      <c r="N1108" s="22"/>
      <c r="O1108" s="22"/>
      <c r="P1108" s="22"/>
      <c r="Q1108" s="22"/>
      <c r="R1108" s="22"/>
      <c r="S1108" s="22"/>
      <c r="T1108" s="23"/>
    </row>
    <row r="1109">
      <c r="A1109" s="24" t="s">
        <v>4066</v>
      </c>
      <c r="B1109" s="25" t="s">
        <v>3935</v>
      </c>
      <c r="C1109" s="25" t="s">
        <v>432</v>
      </c>
      <c r="D1109" s="17" t="str">
        <f>vlookup(C1109,'1. 신청자리스트'!J:N,2,false)</f>
        <v>중복</v>
      </c>
      <c r="E1109" s="25"/>
      <c r="F1109" s="25" t="s">
        <v>4478</v>
      </c>
      <c r="G1109" s="26">
        <v>35000.0</v>
      </c>
      <c r="H1109" s="27" t="s">
        <v>3983</v>
      </c>
      <c r="I1109" s="28"/>
      <c r="J1109" s="28"/>
      <c r="K1109" s="45" t="s">
        <v>4479</v>
      </c>
      <c r="L1109" s="29"/>
      <c r="M1109" s="22"/>
      <c r="N1109" s="22"/>
      <c r="O1109" s="22"/>
      <c r="P1109" s="22"/>
      <c r="Q1109" s="22"/>
      <c r="R1109" s="22"/>
      <c r="S1109" s="22"/>
      <c r="T1109" s="23"/>
    </row>
    <row r="1110">
      <c r="A1110" s="24" t="s">
        <v>3940</v>
      </c>
      <c r="B1110" s="25" t="s">
        <v>3932</v>
      </c>
      <c r="C1110" s="25" t="s">
        <v>441</v>
      </c>
      <c r="D1110" s="17" t="str">
        <f>vlookup(C1110,'1. 신청자리스트'!J:N,2,false)</f>
        <v>중복</v>
      </c>
      <c r="E1110" s="25"/>
      <c r="F1110" s="25" t="s">
        <v>2909</v>
      </c>
      <c r="G1110" s="26">
        <v>35000.0</v>
      </c>
      <c r="H1110" s="27" t="s">
        <v>4480</v>
      </c>
      <c r="I1110" s="28"/>
      <c r="J1110" s="28"/>
      <c r="K1110" s="28"/>
      <c r="L1110" s="29"/>
      <c r="M1110" s="22"/>
      <c r="N1110" s="22"/>
      <c r="O1110" s="22"/>
      <c r="P1110" s="22"/>
      <c r="Q1110" s="22"/>
      <c r="R1110" s="22"/>
      <c r="S1110" s="22"/>
      <c r="T1110" s="23"/>
    </row>
    <row r="1111">
      <c r="A1111" s="16" t="s">
        <v>3984</v>
      </c>
      <c r="B1111" s="17" t="s">
        <v>3932</v>
      </c>
      <c r="C1111" s="17" t="s">
        <v>441</v>
      </c>
      <c r="D1111" s="17" t="str">
        <f>vlookup(C1111,'1. 신청자리스트'!J:N,2,false)</f>
        <v>중복</v>
      </c>
      <c r="E1111" s="17"/>
      <c r="F1111" s="17" t="s">
        <v>441</v>
      </c>
      <c r="G1111" s="18">
        <v>35000.0</v>
      </c>
      <c r="H1111" s="19" t="s">
        <v>4480</v>
      </c>
      <c r="I1111" s="20"/>
      <c r="J1111" s="20"/>
      <c r="K1111" s="20"/>
      <c r="L1111" s="21"/>
      <c r="M1111" s="22"/>
      <c r="N1111" s="22"/>
      <c r="O1111" s="22"/>
      <c r="P1111" s="22"/>
      <c r="Q1111" s="22"/>
      <c r="R1111" s="22"/>
      <c r="S1111" s="22"/>
      <c r="T1111" s="23"/>
    </row>
    <row r="1112">
      <c r="A1112" s="24" t="s">
        <v>3953</v>
      </c>
      <c r="B1112" s="25" t="s">
        <v>3932</v>
      </c>
      <c r="C1112" s="25" t="s">
        <v>892</v>
      </c>
      <c r="D1112" s="17" t="str">
        <f>vlookup(C1112,'1. 신청자리스트'!J:N,2,false)</f>
        <v>중복</v>
      </c>
      <c r="E1112" s="25"/>
      <c r="F1112" s="25" t="s">
        <v>1033</v>
      </c>
      <c r="G1112" s="26">
        <v>70000.0</v>
      </c>
      <c r="H1112" s="27" t="s">
        <v>4155</v>
      </c>
      <c r="I1112" s="28"/>
      <c r="J1112" s="28"/>
      <c r="K1112" s="28"/>
      <c r="L1112" s="29"/>
      <c r="M1112" s="22"/>
      <c r="N1112" s="22"/>
      <c r="O1112" s="22"/>
      <c r="P1112" s="22"/>
      <c r="Q1112" s="22"/>
      <c r="R1112" s="22"/>
      <c r="S1112" s="22"/>
      <c r="T1112" s="23"/>
    </row>
    <row r="1113">
      <c r="A1113" s="24" t="s">
        <v>4028</v>
      </c>
      <c r="B1113" s="25" t="s">
        <v>3932</v>
      </c>
      <c r="C1113" s="25" t="s">
        <v>892</v>
      </c>
      <c r="D1113" s="17" t="str">
        <f>vlookup(C1113,'1. 신청자리스트'!J:N,2,false)</f>
        <v>중복</v>
      </c>
      <c r="E1113" s="25"/>
      <c r="F1113" s="25" t="s">
        <v>4481</v>
      </c>
      <c r="G1113" s="26">
        <v>70000.0</v>
      </c>
      <c r="H1113" s="27" t="s">
        <v>4155</v>
      </c>
      <c r="I1113" s="28"/>
      <c r="J1113" s="28"/>
      <c r="K1113" s="28"/>
      <c r="L1113" s="29"/>
      <c r="M1113" s="22"/>
      <c r="N1113" s="22"/>
      <c r="O1113" s="22"/>
      <c r="P1113" s="22"/>
      <c r="Q1113" s="22"/>
      <c r="R1113" s="22"/>
      <c r="S1113" s="22"/>
      <c r="T1113" s="23"/>
    </row>
    <row r="1114">
      <c r="A1114" s="16" t="s">
        <v>4441</v>
      </c>
      <c r="B1114" s="17" t="s">
        <v>3932</v>
      </c>
      <c r="C1114" s="17" t="s">
        <v>892</v>
      </c>
      <c r="D1114" s="17" t="str">
        <f>vlookup(C1114,'1. 신청자리스트'!J:N,2,false)</f>
        <v>중복</v>
      </c>
      <c r="E1114" s="17"/>
      <c r="F1114" s="17" t="s">
        <v>892</v>
      </c>
      <c r="G1114" s="18">
        <v>70000.0</v>
      </c>
      <c r="H1114" s="19" t="s">
        <v>4155</v>
      </c>
      <c r="I1114" s="20"/>
      <c r="J1114" s="20"/>
      <c r="K1114" s="20"/>
      <c r="L1114" s="21"/>
      <c r="M1114" s="22"/>
      <c r="N1114" s="22"/>
      <c r="O1114" s="22"/>
      <c r="P1114" s="22"/>
      <c r="Q1114" s="22"/>
      <c r="R1114" s="22"/>
      <c r="S1114" s="22"/>
      <c r="T1114" s="23"/>
    </row>
    <row r="1115">
      <c r="A1115" s="24" t="s">
        <v>3942</v>
      </c>
      <c r="B1115" s="25" t="s">
        <v>3935</v>
      </c>
      <c r="C1115" s="25" t="s">
        <v>893</v>
      </c>
      <c r="D1115" s="17" t="str">
        <f>vlookup(C1115,'1. 신청자리스트'!J:N,2,false)</f>
        <v>중복</v>
      </c>
      <c r="E1115" s="25"/>
      <c r="F1115" s="25" t="s">
        <v>1110</v>
      </c>
      <c r="G1115" s="26">
        <v>70000.0</v>
      </c>
      <c r="H1115" s="27" t="s">
        <v>3948</v>
      </c>
      <c r="I1115" s="28"/>
      <c r="J1115" s="28"/>
      <c r="K1115" s="28"/>
      <c r="L1115" s="29"/>
      <c r="M1115" s="22"/>
      <c r="N1115" s="22"/>
      <c r="O1115" s="22"/>
      <c r="P1115" s="22"/>
      <c r="Q1115" s="22"/>
      <c r="R1115" s="22"/>
      <c r="S1115" s="22"/>
      <c r="T1115" s="23"/>
    </row>
    <row r="1116">
      <c r="A1116" s="16" t="s">
        <v>4028</v>
      </c>
      <c r="B1116" s="17" t="s">
        <v>3935</v>
      </c>
      <c r="C1116" s="17" t="s">
        <v>893</v>
      </c>
      <c r="D1116" s="17" t="str">
        <f>vlookup(C1116,'1. 신청자리스트'!J:N,2,false)</f>
        <v>중복</v>
      </c>
      <c r="E1116" s="17"/>
      <c r="F1116" s="17" t="s">
        <v>893</v>
      </c>
      <c r="G1116" s="18">
        <v>70000.0</v>
      </c>
      <c r="H1116" s="19" t="s">
        <v>3948</v>
      </c>
      <c r="I1116" s="20"/>
      <c r="J1116" s="20"/>
      <c r="K1116" s="20"/>
      <c r="L1116" s="21"/>
      <c r="M1116" s="22"/>
      <c r="N1116" s="22"/>
      <c r="O1116" s="22"/>
      <c r="P1116" s="22"/>
      <c r="Q1116" s="22"/>
      <c r="R1116" s="22"/>
      <c r="S1116" s="22"/>
      <c r="T1116" s="23"/>
    </row>
    <row r="1117">
      <c r="A1117" s="24" t="s">
        <v>3989</v>
      </c>
      <c r="B1117" s="25" t="s">
        <v>3935</v>
      </c>
      <c r="C1117" s="25" t="s">
        <v>894</v>
      </c>
      <c r="D1117" s="17" t="str">
        <f>vlookup(C1117,'1. 신청자리스트'!J:N,2,false)</f>
        <v>중복</v>
      </c>
      <c r="E1117" s="25"/>
      <c r="F1117" s="25" t="s">
        <v>1261</v>
      </c>
      <c r="G1117" s="26">
        <v>70000.0</v>
      </c>
      <c r="H1117" s="27" t="s">
        <v>3952</v>
      </c>
      <c r="I1117" s="28"/>
      <c r="J1117" s="28"/>
      <c r="K1117" s="28"/>
      <c r="L1117" s="29"/>
      <c r="M1117" s="22"/>
      <c r="N1117" s="22"/>
      <c r="O1117" s="22"/>
      <c r="P1117" s="22"/>
      <c r="Q1117" s="22"/>
      <c r="R1117" s="22"/>
      <c r="S1117" s="22"/>
      <c r="T1117" s="23"/>
    </row>
    <row r="1118">
      <c r="A1118" s="16" t="s">
        <v>3955</v>
      </c>
      <c r="B1118" s="17" t="s">
        <v>3935</v>
      </c>
      <c r="C1118" s="17" t="s">
        <v>894</v>
      </c>
      <c r="D1118" s="17" t="str">
        <f>vlookup(C1118,'1. 신청자리스트'!J:N,2,false)</f>
        <v>중복</v>
      </c>
      <c r="E1118" s="17"/>
      <c r="F1118" s="17" t="s">
        <v>894</v>
      </c>
      <c r="G1118" s="18">
        <v>70000.0</v>
      </c>
      <c r="H1118" s="19" t="s">
        <v>3952</v>
      </c>
      <c r="I1118" s="20"/>
      <c r="J1118" s="20"/>
      <c r="K1118" s="20"/>
      <c r="L1118" s="21"/>
      <c r="M1118" s="22"/>
      <c r="N1118" s="22"/>
      <c r="O1118" s="22"/>
      <c r="P1118" s="22"/>
      <c r="Q1118" s="22"/>
      <c r="R1118" s="22"/>
      <c r="S1118" s="22"/>
      <c r="T1118" s="23"/>
    </row>
    <row r="1119">
      <c r="A1119" s="24" t="s">
        <v>4002</v>
      </c>
      <c r="B1119" s="25" t="s">
        <v>3935</v>
      </c>
      <c r="C1119" s="25" t="s">
        <v>896</v>
      </c>
      <c r="D1119" s="17" t="str">
        <f>vlookup(C1119,'1. 신청자리스트'!J:N,2,false)</f>
        <v>중복</v>
      </c>
      <c r="E1119" s="25"/>
      <c r="F1119" s="25" t="s">
        <v>4482</v>
      </c>
      <c r="G1119" s="26">
        <v>70000.0</v>
      </c>
      <c r="H1119" s="27" t="s">
        <v>3968</v>
      </c>
      <c r="I1119" s="28"/>
      <c r="J1119" s="28"/>
      <c r="K1119" s="28"/>
      <c r="L1119" s="29"/>
      <c r="M1119" s="22"/>
      <c r="N1119" s="22"/>
      <c r="O1119" s="22"/>
      <c r="P1119" s="22"/>
      <c r="Q1119" s="22"/>
      <c r="R1119" s="22"/>
      <c r="S1119" s="22"/>
      <c r="T1119" s="23"/>
    </row>
    <row r="1120">
      <c r="A1120" s="16" t="s">
        <v>4071</v>
      </c>
      <c r="B1120" s="17" t="s">
        <v>3935</v>
      </c>
      <c r="C1120" s="17" t="s">
        <v>896</v>
      </c>
      <c r="D1120" s="17" t="str">
        <f>vlookup(C1120,'1. 신청자리스트'!J:N,2,false)</f>
        <v>중복</v>
      </c>
      <c r="E1120" s="17"/>
      <c r="F1120" s="17" t="s">
        <v>896</v>
      </c>
      <c r="G1120" s="18">
        <v>70000.0</v>
      </c>
      <c r="H1120" s="19" t="s">
        <v>3968</v>
      </c>
      <c r="I1120" s="20"/>
      <c r="J1120" s="20"/>
      <c r="K1120" s="20"/>
      <c r="L1120" s="21"/>
      <c r="M1120" s="22"/>
      <c r="N1120" s="22"/>
      <c r="O1120" s="22"/>
      <c r="P1120" s="22"/>
      <c r="Q1120" s="22"/>
      <c r="R1120" s="22"/>
      <c r="S1120" s="22"/>
      <c r="T1120" s="23"/>
    </row>
    <row r="1121">
      <c r="A1121" s="24" t="s">
        <v>3945</v>
      </c>
      <c r="B1121" s="25" t="s">
        <v>3935</v>
      </c>
      <c r="C1121" s="25" t="s">
        <v>457</v>
      </c>
      <c r="D1121" s="17" t="str">
        <f>vlookup(C1121,'1. 신청자리스트'!J:N,2,false)</f>
        <v>중복</v>
      </c>
      <c r="E1121" s="25"/>
      <c r="F1121" s="25" t="s">
        <v>2911</v>
      </c>
      <c r="G1121" s="26">
        <v>35000.0</v>
      </c>
      <c r="H1121" s="27" t="s">
        <v>3983</v>
      </c>
      <c r="I1121" s="28"/>
      <c r="J1121" s="28"/>
      <c r="K1121" s="28"/>
      <c r="L1121" s="29"/>
      <c r="M1121" s="22"/>
      <c r="N1121" s="22"/>
      <c r="O1121" s="22"/>
      <c r="P1121" s="22"/>
      <c r="Q1121" s="22"/>
      <c r="R1121" s="22"/>
      <c r="S1121" s="22"/>
      <c r="T1121" s="23"/>
    </row>
    <row r="1122">
      <c r="A1122" s="16" t="s">
        <v>4170</v>
      </c>
      <c r="B1122" s="17" t="s">
        <v>3935</v>
      </c>
      <c r="C1122" s="17" t="s">
        <v>457</v>
      </c>
      <c r="D1122" s="17" t="str">
        <f>vlookup(C1122,'1. 신청자리스트'!J:N,2,false)</f>
        <v>중복</v>
      </c>
      <c r="E1122" s="17"/>
      <c r="F1122" s="17" t="s">
        <v>457</v>
      </c>
      <c r="G1122" s="18">
        <v>35000.0</v>
      </c>
      <c r="H1122" s="19" t="s">
        <v>3983</v>
      </c>
      <c r="I1122" s="20"/>
      <c r="J1122" s="20"/>
      <c r="K1122" s="20"/>
      <c r="L1122" s="21"/>
      <c r="M1122" s="22"/>
      <c r="N1122" s="22"/>
      <c r="O1122" s="22"/>
      <c r="P1122" s="22"/>
      <c r="Q1122" s="22"/>
      <c r="R1122" s="22"/>
      <c r="S1122" s="22"/>
      <c r="T1122" s="23"/>
    </row>
    <row r="1123">
      <c r="A1123" s="24" t="s">
        <v>3942</v>
      </c>
      <c r="B1123" s="25" t="s">
        <v>3932</v>
      </c>
      <c r="C1123" s="25" t="s">
        <v>468</v>
      </c>
      <c r="D1123" s="17" t="str">
        <f>vlookup(C1123,'1. 신청자리스트'!J:N,2,false)</f>
        <v>중복</v>
      </c>
      <c r="E1123" s="25"/>
      <c r="F1123" s="25" t="s">
        <v>2913</v>
      </c>
      <c r="G1123" s="26">
        <v>35000.0</v>
      </c>
      <c r="H1123" s="27" t="s">
        <v>4483</v>
      </c>
      <c r="I1123" s="28"/>
      <c r="J1123" s="28"/>
      <c r="K1123" s="28"/>
      <c r="L1123" s="29"/>
      <c r="M1123" s="22"/>
      <c r="N1123" s="22"/>
      <c r="O1123" s="22"/>
      <c r="P1123" s="22"/>
      <c r="Q1123" s="22"/>
      <c r="R1123" s="22"/>
      <c r="S1123" s="22"/>
      <c r="T1123" s="23"/>
    </row>
    <row r="1124">
      <c r="A1124" s="16" t="s">
        <v>4150</v>
      </c>
      <c r="B1124" s="17" t="s">
        <v>3932</v>
      </c>
      <c r="C1124" s="17" t="s">
        <v>468</v>
      </c>
      <c r="D1124" s="17" t="str">
        <f>vlookup(C1124,'1. 신청자리스트'!J:N,2,false)</f>
        <v>중복</v>
      </c>
      <c r="E1124" s="17"/>
      <c r="F1124" s="17" t="s">
        <v>468</v>
      </c>
      <c r="G1124" s="18">
        <v>35000.0</v>
      </c>
      <c r="H1124" s="19" t="s">
        <v>4483</v>
      </c>
      <c r="I1124" s="20"/>
      <c r="J1124" s="20"/>
      <c r="K1124" s="20"/>
      <c r="L1124" s="21"/>
      <c r="M1124" s="22"/>
      <c r="N1124" s="22"/>
      <c r="O1124" s="22"/>
      <c r="P1124" s="22"/>
      <c r="Q1124" s="22"/>
      <c r="R1124" s="22"/>
      <c r="S1124" s="22"/>
      <c r="T1124" s="23"/>
    </row>
    <row r="1125">
      <c r="A1125" s="24" t="s">
        <v>3940</v>
      </c>
      <c r="B1125" s="25" t="s">
        <v>3932</v>
      </c>
      <c r="C1125" s="25" t="s">
        <v>471</v>
      </c>
      <c r="D1125" s="17" t="str">
        <f>vlookup(C1125,'1. 신청자리스트'!J:N,2,false)</f>
        <v>중복</v>
      </c>
      <c r="E1125" s="25"/>
      <c r="F1125" s="25" t="s">
        <v>4484</v>
      </c>
      <c r="G1125" s="26">
        <v>35000.0</v>
      </c>
      <c r="H1125" s="27" t="s">
        <v>4485</v>
      </c>
      <c r="I1125" s="28"/>
      <c r="J1125" s="28"/>
      <c r="K1125" s="28"/>
      <c r="L1125" s="29"/>
      <c r="M1125" s="22"/>
      <c r="N1125" s="22"/>
      <c r="O1125" s="22"/>
      <c r="P1125" s="22"/>
      <c r="Q1125" s="22"/>
      <c r="R1125" s="22"/>
      <c r="S1125" s="22"/>
      <c r="T1125" s="23"/>
    </row>
    <row r="1126">
      <c r="A1126" s="16" t="s">
        <v>3945</v>
      </c>
      <c r="B1126" s="17" t="s">
        <v>3932</v>
      </c>
      <c r="C1126" s="17" t="s">
        <v>471</v>
      </c>
      <c r="D1126" s="17" t="str">
        <f>vlookup(C1126,'1. 신청자리스트'!J:N,2,false)</f>
        <v>중복</v>
      </c>
      <c r="E1126" s="17"/>
      <c r="F1126" s="17" t="s">
        <v>471</v>
      </c>
      <c r="G1126" s="18">
        <v>35000.0</v>
      </c>
      <c r="H1126" s="19" t="s">
        <v>4485</v>
      </c>
      <c r="I1126" s="20"/>
      <c r="J1126" s="20"/>
      <c r="K1126" s="20"/>
      <c r="L1126" s="21"/>
      <c r="M1126" s="22"/>
      <c r="N1126" s="22"/>
      <c r="O1126" s="22"/>
      <c r="P1126" s="22"/>
      <c r="Q1126" s="22"/>
      <c r="R1126" s="22"/>
      <c r="S1126" s="22"/>
      <c r="T1126" s="23"/>
    </row>
    <row r="1127">
      <c r="A1127" s="16" t="s">
        <v>3980</v>
      </c>
      <c r="B1127" s="17" t="s">
        <v>3932</v>
      </c>
      <c r="C1127" s="17" t="s">
        <v>471</v>
      </c>
      <c r="D1127" s="17" t="str">
        <f>vlookup(C1127,'1. 신청자리스트'!J:N,2,false)</f>
        <v>중복</v>
      </c>
      <c r="E1127" s="17"/>
      <c r="F1127" s="17" t="s">
        <v>471</v>
      </c>
      <c r="G1127" s="18">
        <v>35000.0</v>
      </c>
      <c r="H1127" s="19" t="s">
        <v>4485</v>
      </c>
      <c r="I1127" s="20"/>
      <c r="J1127" s="20"/>
      <c r="K1127" s="20"/>
      <c r="L1127" s="21"/>
      <c r="M1127" s="22"/>
      <c r="N1127" s="22"/>
      <c r="O1127" s="22"/>
      <c r="P1127" s="22"/>
      <c r="Q1127" s="22"/>
      <c r="R1127" s="22"/>
      <c r="S1127" s="22"/>
      <c r="T1127" s="23"/>
    </row>
    <row r="1128">
      <c r="A1128" s="24" t="s">
        <v>3940</v>
      </c>
      <c r="B1128" s="25" t="s">
        <v>3935</v>
      </c>
      <c r="C1128" s="25" t="s">
        <v>480</v>
      </c>
      <c r="D1128" s="17" t="str">
        <f>vlookup(C1128,'1. 신청자리스트'!J:N,2,false)</f>
        <v>중복</v>
      </c>
      <c r="E1128" s="17"/>
      <c r="F1128" s="25" t="s">
        <v>4486</v>
      </c>
      <c r="G1128" s="26">
        <v>70000.0</v>
      </c>
      <c r="H1128" s="27" t="s">
        <v>3948</v>
      </c>
      <c r="I1128" s="28"/>
      <c r="J1128" s="28"/>
      <c r="K1128" s="28"/>
      <c r="L1128" s="29"/>
      <c r="M1128" s="22"/>
      <c r="N1128" s="22"/>
      <c r="O1128" s="22"/>
      <c r="P1128" s="22"/>
      <c r="Q1128" s="22"/>
      <c r="R1128" s="22"/>
      <c r="S1128" s="22"/>
      <c r="T1128" s="23"/>
    </row>
    <row r="1129">
      <c r="A1129" s="24" t="s">
        <v>3985</v>
      </c>
      <c r="B1129" s="25" t="s">
        <v>3935</v>
      </c>
      <c r="C1129" s="25" t="s">
        <v>480</v>
      </c>
      <c r="D1129" s="17" t="str">
        <f>vlookup(C1129,'1. 신청자리스트'!J:N,2,false)</f>
        <v>중복</v>
      </c>
      <c r="E1129" s="25"/>
      <c r="F1129" s="25" t="s">
        <v>2754</v>
      </c>
      <c r="G1129" s="26">
        <v>70000.0</v>
      </c>
      <c r="H1129" s="27" t="s">
        <v>3948</v>
      </c>
      <c r="I1129" s="28"/>
      <c r="J1129" s="28"/>
      <c r="K1129" s="28"/>
      <c r="L1129" s="29"/>
      <c r="M1129" s="22"/>
      <c r="N1129" s="22"/>
      <c r="O1129" s="22"/>
      <c r="P1129" s="22"/>
      <c r="Q1129" s="22"/>
      <c r="R1129" s="22"/>
      <c r="S1129" s="22"/>
      <c r="T1129" s="23"/>
    </row>
    <row r="1130">
      <c r="A1130" s="24" t="s">
        <v>3955</v>
      </c>
      <c r="B1130" s="25" t="s">
        <v>3935</v>
      </c>
      <c r="C1130" s="25" t="s">
        <v>480</v>
      </c>
      <c r="D1130" s="17" t="str">
        <f>vlookup(C1130,'1. 신청자리스트'!J:N,2,false)</f>
        <v>중복</v>
      </c>
      <c r="E1130" s="25"/>
      <c r="F1130" s="25" t="s">
        <v>480</v>
      </c>
      <c r="G1130" s="26">
        <v>70000.0</v>
      </c>
      <c r="H1130" s="27" t="s">
        <v>3948</v>
      </c>
      <c r="I1130" s="28"/>
      <c r="J1130" s="28"/>
      <c r="K1130" s="28"/>
      <c r="L1130" s="29"/>
      <c r="M1130" s="22"/>
      <c r="N1130" s="22"/>
      <c r="O1130" s="22"/>
      <c r="P1130" s="22"/>
      <c r="Q1130" s="22"/>
      <c r="R1130" s="22"/>
      <c r="S1130" s="22"/>
      <c r="T1130" s="23"/>
    </row>
    <row r="1131">
      <c r="A1131" s="30" t="s">
        <v>3985</v>
      </c>
      <c r="B1131" s="31" t="s">
        <v>3935</v>
      </c>
      <c r="C1131" s="31" t="s">
        <v>481</v>
      </c>
      <c r="D1131" s="17" t="str">
        <f>vlookup(C1131,'1. 신청자리스트'!J:N,2,false)</f>
        <v>중복</v>
      </c>
      <c r="E1131" s="31" t="str">
        <f>if(vlookup(C1131,'문의'!D:D,1,false)=C1131,"있음")</f>
        <v>있음</v>
      </c>
      <c r="F1131" s="31" t="s">
        <v>4487</v>
      </c>
      <c r="G1131" s="32">
        <v>35000.0</v>
      </c>
      <c r="H1131" s="33" t="s">
        <v>3939</v>
      </c>
      <c r="I1131" s="59"/>
      <c r="J1131" s="59"/>
      <c r="K1131" s="59"/>
      <c r="L1131" s="60"/>
      <c r="M1131" s="42"/>
      <c r="N1131" s="42"/>
      <c r="O1131" s="42"/>
      <c r="P1131" s="42"/>
      <c r="Q1131" s="42"/>
      <c r="R1131" s="42"/>
      <c r="S1131" s="42"/>
      <c r="T1131" s="41"/>
    </row>
    <row r="1132">
      <c r="A1132" s="30" t="s">
        <v>3980</v>
      </c>
      <c r="B1132" s="31" t="s">
        <v>3935</v>
      </c>
      <c r="C1132" s="31" t="s">
        <v>481</v>
      </c>
      <c r="D1132" s="17" t="str">
        <f>vlookup(C1132,'1. 신청자리스트'!J:N,2,false)</f>
        <v>중복</v>
      </c>
      <c r="E1132" s="31" t="str">
        <f>if(vlookup(C1132,'문의'!D:D,1,false)=C1132,"있음")</f>
        <v>있음</v>
      </c>
      <c r="F1132" s="31" t="s">
        <v>4487</v>
      </c>
      <c r="G1132" s="32">
        <v>60000.0</v>
      </c>
      <c r="H1132" s="33" t="s">
        <v>3939</v>
      </c>
      <c r="I1132" s="59"/>
      <c r="J1132" s="59"/>
      <c r="K1132" s="59"/>
      <c r="L1132" s="60"/>
      <c r="M1132" s="42"/>
      <c r="N1132" s="42"/>
      <c r="O1132" s="42"/>
      <c r="P1132" s="42"/>
      <c r="Q1132" s="42"/>
      <c r="R1132" s="42"/>
      <c r="S1132" s="42"/>
      <c r="T1132" s="41"/>
    </row>
    <row r="1133">
      <c r="A1133" s="16" t="s">
        <v>4002</v>
      </c>
      <c r="B1133" s="17" t="s">
        <v>3935</v>
      </c>
      <c r="C1133" s="17" t="s">
        <v>481</v>
      </c>
      <c r="D1133" s="17" t="str">
        <f>vlookup(C1133,'1. 신청자리스트'!J:N,2,false)</f>
        <v>중복</v>
      </c>
      <c r="E1133" s="17"/>
      <c r="F1133" s="17" t="s">
        <v>481</v>
      </c>
      <c r="G1133" s="18">
        <v>35000.0</v>
      </c>
      <c r="H1133" s="19" t="s">
        <v>3939</v>
      </c>
      <c r="I1133" s="20"/>
      <c r="J1133" s="20"/>
      <c r="K1133" s="20"/>
      <c r="L1133" s="21"/>
      <c r="M1133" s="22"/>
      <c r="N1133" s="22"/>
      <c r="O1133" s="22"/>
      <c r="P1133" s="22"/>
      <c r="Q1133" s="22"/>
      <c r="R1133" s="22"/>
      <c r="S1133" s="22"/>
      <c r="T1133" s="23"/>
    </row>
    <row r="1134">
      <c r="A1134" s="24" t="s">
        <v>4071</v>
      </c>
      <c r="B1134" s="25" t="s">
        <v>3935</v>
      </c>
      <c r="C1134" s="25" t="s">
        <v>914</v>
      </c>
      <c r="D1134" s="17" t="str">
        <f>vlookup(C1134,'1. 신청자리스트'!J:N,2,false)</f>
        <v>중복</v>
      </c>
      <c r="E1134" s="17" t="str">
        <f>if(vlookup(C1134,'문의'!D:D,1,false)=C1134,"있음")</f>
        <v>있음</v>
      </c>
      <c r="F1134" s="25" t="s">
        <v>4488</v>
      </c>
      <c r="G1134" s="26">
        <v>70000.0</v>
      </c>
      <c r="H1134" s="27" t="s">
        <v>3948</v>
      </c>
      <c r="I1134" s="28"/>
      <c r="J1134" s="28"/>
      <c r="K1134" s="45" t="s">
        <v>4489</v>
      </c>
      <c r="L1134" s="29"/>
      <c r="M1134" s="22"/>
      <c r="N1134" s="22"/>
      <c r="O1134" s="22"/>
      <c r="P1134" s="22"/>
      <c r="Q1134" s="22"/>
      <c r="R1134" s="22"/>
      <c r="S1134" s="22"/>
      <c r="T1134" s="23"/>
    </row>
    <row r="1135">
      <c r="A1135" s="24" t="s">
        <v>3940</v>
      </c>
      <c r="B1135" s="25" t="s">
        <v>3935</v>
      </c>
      <c r="C1135" s="25" t="s">
        <v>914</v>
      </c>
      <c r="D1135" s="17" t="str">
        <f>vlookup(C1135,'1. 신청자리스트'!J:N,2,false)</f>
        <v>중복</v>
      </c>
      <c r="E1135" s="25"/>
      <c r="F1135" s="25" t="s">
        <v>1038</v>
      </c>
      <c r="G1135" s="26">
        <v>70000.0</v>
      </c>
      <c r="H1135" s="27" t="s">
        <v>3948</v>
      </c>
      <c r="I1135" s="28"/>
      <c r="J1135" s="28"/>
      <c r="K1135" s="28"/>
      <c r="L1135" s="29"/>
      <c r="M1135" s="22"/>
      <c r="N1135" s="22"/>
      <c r="O1135" s="22"/>
      <c r="P1135" s="22"/>
      <c r="Q1135" s="22"/>
      <c r="R1135" s="22"/>
      <c r="S1135" s="22"/>
      <c r="T1135" s="23"/>
    </row>
    <row r="1136">
      <c r="A1136" s="16" t="s">
        <v>4071</v>
      </c>
      <c r="B1136" s="17" t="s">
        <v>3935</v>
      </c>
      <c r="C1136" s="17" t="s">
        <v>914</v>
      </c>
      <c r="D1136" s="17" t="str">
        <f>vlookup(C1136,'1. 신청자리스트'!J:N,2,false)</f>
        <v>중복</v>
      </c>
      <c r="E1136" s="17"/>
      <c r="F1136" s="17" t="s">
        <v>914</v>
      </c>
      <c r="G1136" s="18">
        <v>70000.0</v>
      </c>
      <c r="H1136" s="19" t="s">
        <v>3946</v>
      </c>
      <c r="I1136" s="20"/>
      <c r="J1136" s="20"/>
      <c r="K1136" s="20"/>
      <c r="L1136" s="21"/>
      <c r="M1136" s="22"/>
      <c r="N1136" s="22"/>
      <c r="O1136" s="22"/>
      <c r="P1136" s="22"/>
      <c r="Q1136" s="22"/>
      <c r="R1136" s="22"/>
      <c r="S1136" s="22"/>
      <c r="T1136" s="23"/>
    </row>
    <row r="1137">
      <c r="A1137" s="24" t="s">
        <v>3945</v>
      </c>
      <c r="B1137" s="25" t="s">
        <v>3935</v>
      </c>
      <c r="C1137" s="25" t="s">
        <v>915</v>
      </c>
      <c r="D1137" s="17" t="str">
        <f>vlookup(C1137,'1. 신청자리스트'!J:N,2,false)</f>
        <v>중복</v>
      </c>
      <c r="E1137" s="25"/>
      <c r="F1137" s="25" t="s">
        <v>1125</v>
      </c>
      <c r="G1137" s="26">
        <v>70000.0</v>
      </c>
      <c r="H1137" s="27" t="s">
        <v>3990</v>
      </c>
      <c r="I1137" s="28"/>
      <c r="J1137" s="28"/>
      <c r="K1137" s="28"/>
      <c r="L1137" s="29"/>
      <c r="M1137" s="22"/>
      <c r="N1137" s="22"/>
      <c r="O1137" s="22"/>
      <c r="P1137" s="22"/>
      <c r="Q1137" s="22"/>
      <c r="R1137" s="22"/>
      <c r="S1137" s="22"/>
      <c r="T1137" s="23"/>
    </row>
    <row r="1138">
      <c r="A1138" s="16" t="s">
        <v>3985</v>
      </c>
      <c r="B1138" s="17" t="s">
        <v>3935</v>
      </c>
      <c r="C1138" s="17" t="s">
        <v>915</v>
      </c>
      <c r="D1138" s="17" t="str">
        <f>vlookup(C1138,'1. 신청자리스트'!J:N,2,false)</f>
        <v>중복</v>
      </c>
      <c r="E1138" s="17"/>
      <c r="F1138" s="17" t="s">
        <v>915</v>
      </c>
      <c r="G1138" s="18">
        <v>70000.0</v>
      </c>
      <c r="H1138" s="19" t="s">
        <v>3990</v>
      </c>
      <c r="I1138" s="20"/>
      <c r="J1138" s="20"/>
      <c r="K1138" s="20"/>
      <c r="L1138" s="21"/>
      <c r="M1138" s="22"/>
      <c r="N1138" s="22"/>
      <c r="O1138" s="22"/>
      <c r="P1138" s="22"/>
      <c r="Q1138" s="22"/>
      <c r="R1138" s="22"/>
      <c r="S1138" s="22"/>
      <c r="T1138" s="23"/>
    </row>
    <row r="1139">
      <c r="A1139" s="24" t="s">
        <v>3940</v>
      </c>
      <c r="B1139" s="25" t="s">
        <v>3935</v>
      </c>
      <c r="C1139" s="25" t="s">
        <v>922</v>
      </c>
      <c r="D1139" s="17" t="str">
        <f>vlookup(C1139,'1. 신청자리스트'!J:N,2,false)</f>
        <v>중복</v>
      </c>
      <c r="E1139" s="17" t="str">
        <f>if(vlookup(C1139,'문의'!D:D,1,false)=C1139,"있음")</f>
        <v>있음</v>
      </c>
      <c r="F1139" s="25" t="s">
        <v>4490</v>
      </c>
      <c r="G1139" s="26">
        <v>70000.0</v>
      </c>
      <c r="H1139" s="27" t="s">
        <v>3990</v>
      </c>
      <c r="I1139" s="28"/>
      <c r="J1139" s="28"/>
      <c r="K1139" s="28"/>
      <c r="L1139" s="29"/>
      <c r="M1139" s="22"/>
      <c r="N1139" s="22"/>
      <c r="O1139" s="22"/>
      <c r="P1139" s="22"/>
      <c r="Q1139" s="22"/>
      <c r="R1139" s="22"/>
      <c r="S1139" s="22"/>
      <c r="T1139" s="23"/>
    </row>
    <row r="1140">
      <c r="A1140" s="16" t="s">
        <v>3934</v>
      </c>
      <c r="B1140" s="17" t="s">
        <v>3935</v>
      </c>
      <c r="C1140" s="17" t="s">
        <v>922</v>
      </c>
      <c r="D1140" s="17" t="str">
        <f>vlookup(C1140,'1. 신청자리스트'!J:N,2,false)</f>
        <v>중복</v>
      </c>
      <c r="E1140" s="17"/>
      <c r="F1140" s="17" t="s">
        <v>922</v>
      </c>
      <c r="G1140" s="18">
        <v>70000.0</v>
      </c>
      <c r="H1140" s="19" t="s">
        <v>3990</v>
      </c>
      <c r="I1140" s="20"/>
      <c r="J1140" s="20"/>
      <c r="K1140" s="20"/>
      <c r="L1140" s="21"/>
      <c r="M1140" s="22"/>
      <c r="N1140" s="22"/>
      <c r="O1140" s="22"/>
      <c r="P1140" s="22"/>
      <c r="Q1140" s="22"/>
      <c r="R1140" s="22"/>
      <c r="S1140" s="22"/>
      <c r="T1140" s="23"/>
    </row>
    <row r="1141">
      <c r="A1141" s="24" t="s">
        <v>3945</v>
      </c>
      <c r="B1141" s="25" t="s">
        <v>3935</v>
      </c>
      <c r="C1141" s="25" t="s">
        <v>924</v>
      </c>
      <c r="D1141" s="17" t="str">
        <f>vlookup(C1141,'1. 신청자리스트'!J:N,2,false)</f>
        <v>중복</v>
      </c>
      <c r="E1141" s="25"/>
      <c r="F1141" s="25" t="s">
        <v>1215</v>
      </c>
      <c r="G1141" s="26">
        <v>70000.0</v>
      </c>
      <c r="H1141" s="27" t="s">
        <v>3948</v>
      </c>
      <c r="I1141" s="28"/>
      <c r="J1141" s="28"/>
      <c r="K1141" s="28"/>
      <c r="L1141" s="29"/>
      <c r="M1141" s="22"/>
      <c r="N1141" s="22"/>
      <c r="O1141" s="22"/>
      <c r="P1141" s="22"/>
      <c r="Q1141" s="22"/>
      <c r="R1141" s="22"/>
      <c r="S1141" s="22"/>
      <c r="T1141" s="23"/>
    </row>
    <row r="1142">
      <c r="A1142" s="16" t="s">
        <v>4077</v>
      </c>
      <c r="B1142" s="17" t="s">
        <v>3935</v>
      </c>
      <c r="C1142" s="17" t="s">
        <v>924</v>
      </c>
      <c r="D1142" s="17" t="str">
        <f>vlookup(C1142,'1. 신청자리스트'!J:N,2,false)</f>
        <v>중복</v>
      </c>
      <c r="E1142" s="17"/>
      <c r="F1142" s="17" t="s">
        <v>924</v>
      </c>
      <c r="G1142" s="18">
        <v>70000.0</v>
      </c>
      <c r="H1142" s="19" t="s">
        <v>3948</v>
      </c>
      <c r="I1142" s="20"/>
      <c r="J1142" s="20"/>
      <c r="K1142" s="20"/>
      <c r="L1142" s="21"/>
      <c r="M1142" s="22"/>
      <c r="N1142" s="22"/>
      <c r="O1142" s="22"/>
      <c r="P1142" s="22"/>
      <c r="Q1142" s="22"/>
      <c r="R1142" s="22"/>
      <c r="S1142" s="22"/>
      <c r="T1142" s="23"/>
    </row>
    <row r="1143">
      <c r="A1143" s="24" t="s">
        <v>3962</v>
      </c>
      <c r="B1143" s="25" t="s">
        <v>3935</v>
      </c>
      <c r="C1143" s="25" t="s">
        <v>927</v>
      </c>
      <c r="D1143" s="17" t="str">
        <f>vlookup(C1143,'1. 신청자리스트'!J:N,2,false)</f>
        <v>중복</v>
      </c>
      <c r="E1143" s="25"/>
      <c r="F1143" s="25" t="s">
        <v>1274</v>
      </c>
      <c r="G1143" s="26">
        <v>70000.0</v>
      </c>
      <c r="H1143" s="27" t="s">
        <v>3983</v>
      </c>
      <c r="I1143" s="28"/>
      <c r="J1143" s="28"/>
      <c r="K1143" s="28"/>
      <c r="L1143" s="29"/>
      <c r="M1143" s="22"/>
      <c r="N1143" s="22"/>
      <c r="O1143" s="22"/>
      <c r="P1143" s="22"/>
      <c r="Q1143" s="22"/>
      <c r="R1143" s="22"/>
      <c r="S1143" s="22"/>
      <c r="T1143" s="23"/>
    </row>
    <row r="1144">
      <c r="A1144" s="24" t="s">
        <v>3934</v>
      </c>
      <c r="B1144" s="25" t="s">
        <v>3935</v>
      </c>
      <c r="C1144" s="25" t="s">
        <v>927</v>
      </c>
      <c r="D1144" s="17" t="str">
        <f>vlookup(C1144,'1. 신청자리스트'!J:N,2,false)</f>
        <v>중복</v>
      </c>
      <c r="E1144" s="17" t="str">
        <f>if(vlookup(C1144,'문의'!D:D,1,false)=C1144,"있음")</f>
        <v>있음</v>
      </c>
      <c r="F1144" s="25" t="s">
        <v>4491</v>
      </c>
      <c r="G1144" s="26">
        <v>60000.0</v>
      </c>
      <c r="H1144" s="27" t="s">
        <v>3983</v>
      </c>
      <c r="I1144" s="28"/>
      <c r="J1144" s="28"/>
      <c r="K1144" s="28"/>
      <c r="L1144" s="29"/>
      <c r="M1144" s="22"/>
      <c r="N1144" s="22"/>
      <c r="O1144" s="22"/>
      <c r="P1144" s="22"/>
      <c r="Q1144" s="22"/>
      <c r="R1144" s="22"/>
      <c r="S1144" s="22"/>
      <c r="T1144" s="23"/>
    </row>
    <row r="1145">
      <c r="A1145" s="24" t="s">
        <v>3942</v>
      </c>
      <c r="B1145" s="25" t="s">
        <v>3935</v>
      </c>
      <c r="C1145" s="25" t="s">
        <v>488</v>
      </c>
      <c r="D1145" s="17" t="str">
        <f>vlookup(C1145,'1. 신청자리스트'!J:N,2,false)</f>
        <v>중복</v>
      </c>
      <c r="E1145" s="25"/>
      <c r="F1145" s="25" t="s">
        <v>2917</v>
      </c>
      <c r="G1145" s="26">
        <v>35000.0</v>
      </c>
      <c r="H1145" s="27" t="s">
        <v>3990</v>
      </c>
      <c r="I1145" s="28"/>
      <c r="J1145" s="28"/>
      <c r="K1145" s="28"/>
      <c r="L1145" s="29"/>
      <c r="M1145" s="22"/>
      <c r="N1145" s="22"/>
      <c r="O1145" s="22"/>
      <c r="P1145" s="22"/>
      <c r="Q1145" s="22"/>
      <c r="R1145" s="22"/>
      <c r="S1145" s="22"/>
      <c r="T1145" s="23"/>
    </row>
    <row r="1146">
      <c r="A1146" s="16" t="s">
        <v>3985</v>
      </c>
      <c r="B1146" s="17" t="s">
        <v>3935</v>
      </c>
      <c r="C1146" s="17" t="s">
        <v>488</v>
      </c>
      <c r="D1146" s="17" t="str">
        <f>vlookup(C1146,'1. 신청자리스트'!J:N,2,false)</f>
        <v>중복</v>
      </c>
      <c r="E1146" s="17"/>
      <c r="F1146" s="17" t="s">
        <v>488</v>
      </c>
      <c r="G1146" s="18">
        <v>35000.0</v>
      </c>
      <c r="H1146" s="19" t="s">
        <v>3990</v>
      </c>
      <c r="I1146" s="20"/>
      <c r="J1146" s="20"/>
      <c r="K1146" s="20"/>
      <c r="L1146" s="21"/>
      <c r="M1146" s="22"/>
      <c r="N1146" s="22"/>
      <c r="O1146" s="22"/>
      <c r="P1146" s="22"/>
      <c r="Q1146" s="22"/>
      <c r="R1146" s="22"/>
      <c r="S1146" s="22"/>
      <c r="T1146" s="23"/>
    </row>
    <row r="1147">
      <c r="A1147" s="24" t="s">
        <v>3945</v>
      </c>
      <c r="B1147" s="25" t="s">
        <v>3935</v>
      </c>
      <c r="C1147" s="25" t="s">
        <v>929</v>
      </c>
      <c r="D1147" s="17" t="str">
        <f>vlookup(C1147,'1. 신청자리스트'!J:N,2,false)</f>
        <v>중복</v>
      </c>
      <c r="E1147" s="17" t="str">
        <f>if(vlookup(C1147,'문의'!D:D,1,false)=C1147,"있음")</f>
        <v>#N/A</v>
      </c>
      <c r="F1147" s="25" t="s">
        <v>4492</v>
      </c>
      <c r="G1147" s="26">
        <v>35000.0</v>
      </c>
      <c r="H1147" s="27" t="s">
        <v>4041</v>
      </c>
      <c r="I1147" s="28"/>
      <c r="J1147" s="28"/>
      <c r="K1147" s="28"/>
      <c r="L1147" s="29"/>
      <c r="M1147" s="22"/>
      <c r="N1147" s="22"/>
      <c r="O1147" s="22"/>
      <c r="P1147" s="22"/>
      <c r="Q1147" s="22"/>
      <c r="R1147" s="22"/>
      <c r="S1147" s="22"/>
      <c r="T1147" s="23"/>
    </row>
    <row r="1148">
      <c r="A1148" s="16" t="s">
        <v>3940</v>
      </c>
      <c r="B1148" s="17" t="s">
        <v>3943</v>
      </c>
      <c r="C1148" s="17" t="s">
        <v>929</v>
      </c>
      <c r="D1148" s="17" t="str">
        <f>vlookup(C1148,'1. 신청자리스트'!J:N,2,false)</f>
        <v>중복</v>
      </c>
      <c r="E1148" s="17"/>
      <c r="F1148" s="17" t="s">
        <v>929</v>
      </c>
      <c r="G1148" s="18">
        <v>70000.0</v>
      </c>
      <c r="H1148" s="19" t="s">
        <v>3944</v>
      </c>
      <c r="I1148" s="20"/>
      <c r="J1148" s="20"/>
      <c r="K1148" s="20"/>
      <c r="L1148" s="21"/>
      <c r="M1148" s="22"/>
      <c r="N1148" s="22"/>
      <c r="O1148" s="22"/>
      <c r="P1148" s="22"/>
      <c r="Q1148" s="22"/>
      <c r="R1148" s="22"/>
      <c r="S1148" s="22"/>
      <c r="T1148" s="23"/>
    </row>
    <row r="1149">
      <c r="A1149" s="16" t="s">
        <v>3940</v>
      </c>
      <c r="B1149" s="17" t="s">
        <v>3935</v>
      </c>
      <c r="C1149" s="17" t="s">
        <v>932</v>
      </c>
      <c r="D1149" s="17" t="str">
        <f>vlookup(C1149,'1. 신청자리스트'!J:N,2,false)</f>
        <v>중복</v>
      </c>
      <c r="E1149" s="17"/>
      <c r="F1149" s="17" t="s">
        <v>932</v>
      </c>
      <c r="G1149" s="18">
        <v>70000.0</v>
      </c>
      <c r="H1149" s="19" t="s">
        <v>3990</v>
      </c>
      <c r="I1149" s="20"/>
      <c r="J1149" s="20"/>
      <c r="K1149" s="20"/>
      <c r="L1149" s="21"/>
      <c r="M1149" s="22"/>
      <c r="N1149" s="22"/>
      <c r="O1149" s="22"/>
      <c r="P1149" s="22"/>
      <c r="Q1149" s="22"/>
      <c r="R1149" s="22"/>
      <c r="S1149" s="22"/>
      <c r="T1149" s="23"/>
    </row>
    <row r="1150">
      <c r="A1150" s="24" t="s">
        <v>4071</v>
      </c>
      <c r="B1150" s="25" t="s">
        <v>3935</v>
      </c>
      <c r="C1150" s="25" t="s">
        <v>932</v>
      </c>
      <c r="D1150" s="17" t="str">
        <f>vlookup(C1150,'1. 신청자리스트'!J:N,2,false)</f>
        <v>중복</v>
      </c>
      <c r="E1150" s="25"/>
      <c r="F1150" s="25" t="s">
        <v>1028</v>
      </c>
      <c r="G1150" s="26">
        <v>70000.0</v>
      </c>
      <c r="H1150" s="27" t="s">
        <v>3948</v>
      </c>
      <c r="I1150" s="28"/>
      <c r="J1150" s="28"/>
      <c r="K1150" s="28"/>
      <c r="L1150" s="29"/>
      <c r="M1150" s="22"/>
      <c r="N1150" s="22"/>
      <c r="O1150" s="22"/>
      <c r="P1150" s="22"/>
      <c r="Q1150" s="22"/>
      <c r="R1150" s="22"/>
      <c r="S1150" s="22"/>
      <c r="T1150" s="23"/>
    </row>
    <row r="1151">
      <c r="A1151" s="16" t="s">
        <v>3980</v>
      </c>
      <c r="B1151" s="17" t="s">
        <v>3935</v>
      </c>
      <c r="C1151" s="17" t="s">
        <v>932</v>
      </c>
      <c r="D1151" s="17" t="str">
        <f>vlookup(C1151,'1. 신청자리스트'!J:N,2,false)</f>
        <v>중복</v>
      </c>
      <c r="E1151" s="17"/>
      <c r="F1151" s="17" t="s">
        <v>932</v>
      </c>
      <c r="G1151" s="18">
        <v>70000.0</v>
      </c>
      <c r="H1151" s="19" t="s">
        <v>3948</v>
      </c>
      <c r="I1151" s="20"/>
      <c r="J1151" s="20"/>
      <c r="K1151" s="20"/>
      <c r="L1151" s="21"/>
      <c r="M1151" s="22"/>
      <c r="N1151" s="22"/>
      <c r="O1151" s="22"/>
      <c r="P1151" s="22"/>
      <c r="Q1151" s="22"/>
      <c r="R1151" s="22"/>
      <c r="S1151" s="22"/>
      <c r="T1151" s="23"/>
    </row>
    <row r="1152">
      <c r="A1152" s="24" t="s">
        <v>3945</v>
      </c>
      <c r="B1152" s="25" t="s">
        <v>3935</v>
      </c>
      <c r="C1152" s="25" t="s">
        <v>935</v>
      </c>
      <c r="D1152" s="17" t="str">
        <f>vlookup(C1152,'1. 신청자리스트'!J:N,2,false)</f>
        <v>중복</v>
      </c>
      <c r="E1152" s="25"/>
      <c r="F1152" s="25" t="s">
        <v>1241</v>
      </c>
      <c r="G1152" s="26">
        <v>70000.0</v>
      </c>
      <c r="H1152" s="27" t="s">
        <v>3946</v>
      </c>
      <c r="I1152" s="28"/>
      <c r="J1152" s="28"/>
      <c r="K1152" s="45" t="s">
        <v>4493</v>
      </c>
      <c r="L1152" s="29"/>
      <c r="M1152" s="22"/>
      <c r="N1152" s="22"/>
      <c r="O1152" s="22"/>
      <c r="P1152" s="22"/>
      <c r="Q1152" s="22"/>
      <c r="R1152" s="22"/>
      <c r="S1152" s="22"/>
      <c r="T1152" s="23"/>
    </row>
    <row r="1153">
      <c r="A1153" s="16" t="s">
        <v>3938</v>
      </c>
      <c r="B1153" s="17" t="s">
        <v>3935</v>
      </c>
      <c r="C1153" s="17" t="s">
        <v>935</v>
      </c>
      <c r="D1153" s="17" t="str">
        <f>vlookup(C1153,'1. 신청자리스트'!J:N,2,false)</f>
        <v>중복</v>
      </c>
      <c r="E1153" s="17"/>
      <c r="F1153" s="17" t="s">
        <v>935</v>
      </c>
      <c r="G1153" s="18">
        <v>70000.0</v>
      </c>
      <c r="H1153" s="19" t="s">
        <v>3946</v>
      </c>
      <c r="I1153" s="20"/>
      <c r="J1153" s="20"/>
      <c r="K1153" s="20"/>
      <c r="L1153" s="21"/>
      <c r="M1153" s="22"/>
      <c r="N1153" s="22"/>
      <c r="O1153" s="22"/>
      <c r="P1153" s="22"/>
      <c r="Q1153" s="22"/>
      <c r="R1153" s="22"/>
      <c r="S1153" s="22"/>
      <c r="T1153" s="23"/>
    </row>
    <row r="1154">
      <c r="A1154" s="24" t="s">
        <v>3940</v>
      </c>
      <c r="B1154" s="25" t="s">
        <v>3935</v>
      </c>
      <c r="C1154" s="25" t="s">
        <v>939</v>
      </c>
      <c r="D1154" s="17" t="str">
        <f>vlookup(C1154,'1. 신청자리스트'!J:N,2,false)</f>
        <v>중복</v>
      </c>
      <c r="E1154" s="25"/>
      <c r="F1154" s="25" t="s">
        <v>4494</v>
      </c>
      <c r="G1154" s="26">
        <v>70000.0</v>
      </c>
      <c r="H1154" s="27" t="s">
        <v>3946</v>
      </c>
      <c r="I1154" s="61"/>
      <c r="J1154" s="28"/>
      <c r="K1154" s="28"/>
      <c r="L1154" s="29"/>
      <c r="M1154" s="22"/>
      <c r="N1154" s="22"/>
      <c r="O1154" s="22"/>
      <c r="P1154" s="22"/>
      <c r="Q1154" s="22"/>
      <c r="R1154" s="22"/>
      <c r="S1154" s="22"/>
      <c r="T1154" s="23"/>
    </row>
    <row r="1155" ht="15.0" customHeight="1">
      <c r="A1155" s="16" t="s">
        <v>4170</v>
      </c>
      <c r="B1155" s="17" t="s">
        <v>3935</v>
      </c>
      <c r="C1155" s="17" t="s">
        <v>939</v>
      </c>
      <c r="D1155" s="17" t="str">
        <f>vlookup(C1155,'1. 신청자리스트'!J:N,2,false)</f>
        <v>중복</v>
      </c>
      <c r="E1155" s="17"/>
      <c r="F1155" s="17" t="s">
        <v>939</v>
      </c>
      <c r="G1155" s="18">
        <v>70000.0</v>
      </c>
      <c r="H1155" s="19" t="s">
        <v>3983</v>
      </c>
      <c r="I1155" s="20"/>
      <c r="J1155" s="20"/>
      <c r="K1155" s="20"/>
      <c r="L1155" s="21"/>
      <c r="M1155" s="22"/>
      <c r="N1155" s="22"/>
      <c r="O1155" s="22"/>
      <c r="P1155" s="22"/>
      <c r="Q1155" s="22"/>
      <c r="R1155" s="22"/>
      <c r="S1155" s="22"/>
      <c r="T1155" s="23"/>
    </row>
    <row r="1156" ht="15.0" customHeight="1">
      <c r="A1156" s="16" t="s">
        <v>4495</v>
      </c>
      <c r="B1156" s="17" t="s">
        <v>3935</v>
      </c>
      <c r="C1156" s="17" t="s">
        <v>497</v>
      </c>
      <c r="D1156" s="17" t="str">
        <f>vlookup(C1156,'1. 신청자리스트'!J:N,2,false)</f>
        <v>중복</v>
      </c>
      <c r="E1156" s="17"/>
      <c r="F1156" s="17" t="s">
        <v>497</v>
      </c>
      <c r="G1156" s="18">
        <v>35000.0</v>
      </c>
      <c r="H1156" s="19" t="s">
        <v>3983</v>
      </c>
      <c r="I1156" s="20"/>
      <c r="J1156" s="20"/>
      <c r="K1156" s="20"/>
      <c r="L1156" s="21"/>
      <c r="M1156" s="22"/>
      <c r="N1156" s="22"/>
      <c r="O1156" s="22"/>
      <c r="P1156" s="22"/>
      <c r="Q1156" s="22"/>
      <c r="R1156" s="22"/>
      <c r="S1156" s="22"/>
      <c r="T1156" s="23"/>
    </row>
    <row r="1157" ht="15.0" customHeight="1">
      <c r="A1157" s="16" t="s">
        <v>3942</v>
      </c>
      <c r="B1157" s="17" t="s">
        <v>3935</v>
      </c>
      <c r="C1157" s="17" t="s">
        <v>497</v>
      </c>
      <c r="D1157" s="17" t="str">
        <f>vlookup(C1157,'1. 신청자리스트'!J:N,2,false)</f>
        <v>중복</v>
      </c>
      <c r="E1157" s="17"/>
      <c r="F1157" s="17" t="s">
        <v>4496</v>
      </c>
      <c r="G1157" s="18">
        <v>35000.0</v>
      </c>
      <c r="H1157" s="19" t="s">
        <v>3946</v>
      </c>
      <c r="I1157" s="20"/>
      <c r="J1157" s="20"/>
      <c r="K1157" s="20"/>
      <c r="L1157" s="21"/>
      <c r="M1157" s="22"/>
      <c r="N1157" s="22"/>
      <c r="O1157" s="22"/>
      <c r="P1157" s="22"/>
      <c r="Q1157" s="22"/>
      <c r="R1157" s="22"/>
      <c r="S1157" s="22"/>
      <c r="T1157" s="23"/>
    </row>
    <row r="1158" ht="15.0" customHeight="1">
      <c r="A1158" s="24" t="s">
        <v>3945</v>
      </c>
      <c r="B1158" s="25" t="s">
        <v>3935</v>
      </c>
      <c r="C1158" s="25" t="s">
        <v>946</v>
      </c>
      <c r="D1158" s="17" t="str">
        <f>vlookup(C1158,'1. 신청자리스트'!J:N,2,false)</f>
        <v>중복</v>
      </c>
      <c r="E1158" s="25"/>
      <c r="F1158" s="25" t="s">
        <v>1120</v>
      </c>
      <c r="G1158" s="26">
        <v>70000.0</v>
      </c>
      <c r="H1158" s="27" t="s">
        <v>3948</v>
      </c>
      <c r="I1158" s="28"/>
      <c r="J1158" s="28"/>
      <c r="K1158" s="28"/>
      <c r="L1158" s="29"/>
      <c r="M1158" s="22"/>
      <c r="N1158" s="22"/>
      <c r="O1158" s="22"/>
      <c r="P1158" s="22"/>
      <c r="Q1158" s="22"/>
      <c r="R1158" s="22"/>
      <c r="S1158" s="22"/>
      <c r="T1158" s="23"/>
    </row>
    <row r="1159" ht="15.0" customHeight="1">
      <c r="A1159" s="16" t="s">
        <v>3931</v>
      </c>
      <c r="B1159" s="17" t="s">
        <v>3935</v>
      </c>
      <c r="C1159" s="17" t="s">
        <v>946</v>
      </c>
      <c r="D1159" s="17" t="str">
        <f>vlookup(C1159,'1. 신청자리스트'!J:N,2,false)</f>
        <v>중복</v>
      </c>
      <c r="E1159" s="17"/>
      <c r="F1159" s="17" t="s">
        <v>946</v>
      </c>
      <c r="G1159" s="18">
        <v>70000.0</v>
      </c>
      <c r="H1159" s="19" t="s">
        <v>3948</v>
      </c>
      <c r="I1159" s="20"/>
      <c r="J1159" s="20"/>
      <c r="K1159" s="20"/>
      <c r="L1159" s="21"/>
      <c r="M1159" s="22"/>
      <c r="N1159" s="22"/>
      <c r="O1159" s="22"/>
      <c r="P1159" s="22"/>
      <c r="Q1159" s="22"/>
      <c r="R1159" s="22"/>
      <c r="S1159" s="22"/>
      <c r="T1159" s="23"/>
    </row>
    <row r="1160" ht="15.0" customHeight="1">
      <c r="A1160" s="24" t="s">
        <v>4092</v>
      </c>
      <c r="B1160" s="25" t="s">
        <v>3935</v>
      </c>
      <c r="C1160" s="25" t="s">
        <v>511</v>
      </c>
      <c r="D1160" s="17" t="str">
        <f>vlookup(C1160,'1. 신청자리스트'!J:N,2,false)</f>
        <v>중복</v>
      </c>
      <c r="E1160" s="25"/>
      <c r="F1160" s="25" t="s">
        <v>2923</v>
      </c>
      <c r="G1160" s="26">
        <v>35000.0</v>
      </c>
      <c r="H1160" s="27" t="s">
        <v>3948</v>
      </c>
      <c r="I1160" s="28"/>
      <c r="J1160" s="28"/>
      <c r="K1160" s="28"/>
      <c r="L1160" s="29"/>
      <c r="M1160" s="22"/>
      <c r="N1160" s="22"/>
      <c r="O1160" s="22"/>
      <c r="P1160" s="22"/>
      <c r="Q1160" s="22"/>
      <c r="R1160" s="22"/>
      <c r="S1160" s="22"/>
      <c r="T1160" s="23"/>
    </row>
    <row r="1161" ht="15.0" customHeight="1">
      <c r="A1161" s="16" t="s">
        <v>4030</v>
      </c>
      <c r="B1161" s="17" t="s">
        <v>3935</v>
      </c>
      <c r="C1161" s="17" t="s">
        <v>511</v>
      </c>
      <c r="D1161" s="17" t="str">
        <f>vlookup(C1161,'1. 신청자리스트'!J:N,2,false)</f>
        <v>중복</v>
      </c>
      <c r="E1161" s="17"/>
      <c r="F1161" s="17" t="s">
        <v>511</v>
      </c>
      <c r="G1161" s="18">
        <v>35000.0</v>
      </c>
      <c r="H1161" s="19" t="s">
        <v>3948</v>
      </c>
      <c r="I1161" s="20"/>
      <c r="J1161" s="20"/>
      <c r="K1161" s="20"/>
      <c r="L1161" s="21"/>
      <c r="M1161" s="22"/>
      <c r="N1161" s="22"/>
      <c r="O1161" s="22"/>
      <c r="P1161" s="22"/>
      <c r="Q1161" s="22"/>
      <c r="R1161" s="22"/>
      <c r="S1161" s="22"/>
      <c r="T1161" s="23"/>
    </row>
    <row r="1162" ht="15.0" customHeight="1">
      <c r="A1162" s="24" t="s">
        <v>3940</v>
      </c>
      <c r="B1162" s="25" t="s">
        <v>3935</v>
      </c>
      <c r="C1162" s="25" t="s">
        <v>512</v>
      </c>
      <c r="D1162" s="17" t="str">
        <f>vlookup(C1162,'1. 신청자리스트'!J:N,2,false)</f>
        <v>중복</v>
      </c>
      <c r="E1162" s="25"/>
      <c r="F1162" s="25" t="s">
        <v>2925</v>
      </c>
      <c r="G1162" s="26">
        <v>35000.0</v>
      </c>
      <c r="H1162" s="27" t="s">
        <v>3948</v>
      </c>
      <c r="I1162" s="28"/>
      <c r="J1162" s="28"/>
      <c r="K1162" s="28"/>
      <c r="L1162" s="29"/>
      <c r="M1162" s="22"/>
      <c r="N1162" s="22"/>
      <c r="O1162" s="22"/>
      <c r="P1162" s="22"/>
      <c r="Q1162" s="22"/>
      <c r="R1162" s="22"/>
      <c r="S1162" s="22"/>
      <c r="T1162" s="23"/>
    </row>
    <row r="1163" ht="15.0" customHeight="1">
      <c r="A1163" s="16" t="s">
        <v>4140</v>
      </c>
      <c r="B1163" s="17" t="s">
        <v>3935</v>
      </c>
      <c r="C1163" s="17" t="s">
        <v>512</v>
      </c>
      <c r="D1163" s="17" t="str">
        <f>vlookup(C1163,'1. 신청자리스트'!J:N,2,false)</f>
        <v>중복</v>
      </c>
      <c r="E1163" s="47"/>
      <c r="F1163" s="62" t="s">
        <v>512</v>
      </c>
      <c r="G1163" s="18">
        <v>35000.0</v>
      </c>
      <c r="H1163" s="19" t="s">
        <v>3948</v>
      </c>
      <c r="I1163" s="20"/>
      <c r="J1163" s="20"/>
      <c r="K1163" s="17"/>
      <c r="L1163" s="17"/>
      <c r="M1163" s="22"/>
      <c r="N1163" s="22"/>
      <c r="O1163" s="22"/>
      <c r="P1163" s="23"/>
      <c r="Q1163" s="23"/>
      <c r="R1163" s="23"/>
      <c r="S1163" s="23"/>
      <c r="T1163" s="23"/>
    </row>
    <row r="1164" ht="15.0" customHeight="1">
      <c r="A1164" s="24" t="s">
        <v>3962</v>
      </c>
      <c r="B1164" s="25" t="s">
        <v>3935</v>
      </c>
      <c r="C1164" s="25" t="s">
        <v>955</v>
      </c>
      <c r="D1164" s="17" t="str">
        <f>vlookup(C1164,'1. 신청자리스트'!J:N,2,false)</f>
        <v>중복</v>
      </c>
      <c r="E1164" s="25"/>
      <c r="F1164" s="25" t="s">
        <v>1237</v>
      </c>
      <c r="G1164" s="26">
        <v>70000.0</v>
      </c>
      <c r="H1164" s="27" t="s">
        <v>3990</v>
      </c>
      <c r="I1164" s="28"/>
      <c r="J1164" s="28"/>
      <c r="K1164" s="28"/>
      <c r="L1164" s="29"/>
      <c r="M1164" s="22"/>
      <c r="N1164" s="22"/>
      <c r="O1164" s="22"/>
      <c r="P1164" s="23"/>
      <c r="Q1164" s="23"/>
      <c r="R1164" s="23"/>
      <c r="S1164" s="23"/>
      <c r="T1164" s="23"/>
    </row>
    <row r="1165" ht="15.0" customHeight="1">
      <c r="A1165" s="16" t="s">
        <v>4096</v>
      </c>
      <c r="B1165" s="17" t="s">
        <v>3935</v>
      </c>
      <c r="C1165" s="17" t="s">
        <v>955</v>
      </c>
      <c r="D1165" s="17" t="str">
        <f>vlookup(C1165,'1. 신청자리스트'!J:N,2,false)</f>
        <v>중복</v>
      </c>
      <c r="E1165" s="17"/>
      <c r="F1165" s="17" t="s">
        <v>955</v>
      </c>
      <c r="G1165" s="18">
        <v>70000.0</v>
      </c>
      <c r="H1165" s="19" t="s">
        <v>3990</v>
      </c>
      <c r="I1165" s="20"/>
      <c r="J1165" s="20"/>
      <c r="K1165" s="20"/>
      <c r="L1165" s="21"/>
      <c r="M1165" s="22"/>
      <c r="N1165" s="22"/>
      <c r="O1165" s="22"/>
      <c r="P1165" s="23"/>
      <c r="Q1165" s="23"/>
      <c r="R1165" s="23"/>
      <c r="S1165" s="23"/>
      <c r="T1165" s="23"/>
    </row>
    <row r="1166" ht="15.0" customHeight="1">
      <c r="A1166" s="16" t="s">
        <v>3931</v>
      </c>
      <c r="B1166" s="17" t="s">
        <v>3935</v>
      </c>
      <c r="C1166" s="17" t="s">
        <v>523</v>
      </c>
      <c r="D1166" s="17" t="str">
        <f>vlookup(C1166,'1. 신청자리스트'!J:N,2,false)</f>
        <v>중복</v>
      </c>
      <c r="E1166" s="17"/>
      <c r="F1166" s="17" t="s">
        <v>523</v>
      </c>
      <c r="G1166" s="18">
        <v>35000.0</v>
      </c>
      <c r="H1166" s="19" t="s">
        <v>3939</v>
      </c>
      <c r="I1166" s="20"/>
      <c r="J1166" s="20"/>
      <c r="K1166" s="20"/>
      <c r="L1166" s="21"/>
      <c r="M1166" s="22"/>
      <c r="N1166" s="22"/>
      <c r="O1166" s="22"/>
      <c r="P1166" s="22"/>
      <c r="Q1166" s="22"/>
      <c r="R1166" s="22"/>
      <c r="S1166" s="22"/>
      <c r="T1166" s="23"/>
    </row>
    <row r="1167" ht="15.0" customHeight="1">
      <c r="A1167" s="24" t="s">
        <v>4497</v>
      </c>
      <c r="B1167" s="17"/>
      <c r="C1167" s="25" t="s">
        <v>523</v>
      </c>
      <c r="D1167" s="17" t="str">
        <f>vlookup(C1167,'1. 신청자리스트'!J:N,2,false)</f>
        <v>중복</v>
      </c>
      <c r="E1167" s="17"/>
      <c r="F1167" s="25" t="s">
        <v>4498</v>
      </c>
      <c r="G1167" s="26">
        <v>35000.0</v>
      </c>
      <c r="H1167" s="19"/>
      <c r="I1167" s="20"/>
      <c r="J1167" s="20"/>
      <c r="K1167" s="20"/>
      <c r="L1167" s="21"/>
      <c r="M1167" s="22"/>
      <c r="N1167" s="22"/>
      <c r="O1167" s="22"/>
      <c r="P1167" s="22"/>
      <c r="Q1167" s="22"/>
      <c r="R1167" s="22"/>
      <c r="S1167" s="22"/>
      <c r="T1167" s="23"/>
    </row>
    <row r="1168" ht="15.0" customHeight="1">
      <c r="A1168" s="24" t="s">
        <v>3945</v>
      </c>
      <c r="B1168" s="25" t="s">
        <v>3935</v>
      </c>
      <c r="C1168" s="25" t="s">
        <v>960</v>
      </c>
      <c r="D1168" s="17" t="str">
        <f>vlookup(C1168,'1. 신청자리스트'!J:N,2,false)</f>
        <v>중복</v>
      </c>
      <c r="E1168" s="25"/>
      <c r="F1168" s="25" t="s">
        <v>1256</v>
      </c>
      <c r="G1168" s="26">
        <v>70000.0</v>
      </c>
      <c r="H1168" s="27" t="s">
        <v>3948</v>
      </c>
      <c r="I1168" s="28"/>
      <c r="J1168" s="28"/>
      <c r="K1168" s="28"/>
      <c r="L1168" s="29"/>
      <c r="M1168" s="22"/>
      <c r="N1168" s="22"/>
      <c r="O1168" s="22"/>
      <c r="P1168" s="22"/>
      <c r="Q1168" s="22"/>
      <c r="R1168" s="22"/>
      <c r="S1168" s="22"/>
      <c r="T1168" s="23"/>
    </row>
    <row r="1169" ht="15.0" customHeight="1">
      <c r="A1169" s="16" t="s">
        <v>3955</v>
      </c>
      <c r="B1169" s="17" t="s">
        <v>3935</v>
      </c>
      <c r="C1169" s="17" t="s">
        <v>960</v>
      </c>
      <c r="D1169" s="17" t="str">
        <f>vlookup(C1169,'1. 신청자리스트'!J:N,2,false)</f>
        <v>중복</v>
      </c>
      <c r="E1169" s="17"/>
      <c r="F1169" s="17" t="s">
        <v>960</v>
      </c>
      <c r="G1169" s="18">
        <v>70000.0</v>
      </c>
      <c r="H1169" s="19" t="s">
        <v>3948</v>
      </c>
      <c r="I1169" s="20"/>
      <c r="J1169" s="20"/>
      <c r="K1169" s="20"/>
      <c r="L1169" s="21"/>
      <c r="M1169" s="22"/>
      <c r="N1169" s="22"/>
      <c r="O1169" s="22"/>
      <c r="P1169" s="22"/>
      <c r="Q1169" s="22"/>
      <c r="R1169" s="22"/>
      <c r="S1169" s="22"/>
      <c r="T1169" s="23"/>
    </row>
    <row r="1170" ht="15.0" customHeight="1">
      <c r="A1170" s="24" t="s">
        <v>3940</v>
      </c>
      <c r="B1170" s="25" t="s">
        <v>3935</v>
      </c>
      <c r="C1170" s="25" t="s">
        <v>525</v>
      </c>
      <c r="D1170" s="17" t="str">
        <f>vlookup(C1170,'1. 신청자리스트'!J:N,2,false)</f>
        <v>중복</v>
      </c>
      <c r="E1170" s="25"/>
      <c r="F1170" s="25" t="s">
        <v>2933</v>
      </c>
      <c r="G1170" s="26">
        <v>35000.0</v>
      </c>
      <c r="H1170" s="27" t="s">
        <v>3948</v>
      </c>
      <c r="I1170" s="28"/>
      <c r="J1170" s="28"/>
      <c r="K1170" s="28"/>
      <c r="L1170" s="29"/>
      <c r="M1170" s="22"/>
      <c r="N1170" s="22"/>
      <c r="O1170" s="22"/>
      <c r="P1170" s="22"/>
      <c r="Q1170" s="23"/>
      <c r="R1170" s="22"/>
      <c r="S1170" s="22"/>
      <c r="T1170" s="23"/>
    </row>
    <row r="1171" ht="15.0" customHeight="1">
      <c r="A1171" s="16" t="s">
        <v>4134</v>
      </c>
      <c r="B1171" s="17" t="s">
        <v>3935</v>
      </c>
      <c r="C1171" s="17" t="s">
        <v>525</v>
      </c>
      <c r="D1171" s="17" t="str">
        <f>vlookup(C1171,'1. 신청자리스트'!J:N,2,false)</f>
        <v>중복</v>
      </c>
      <c r="E1171" s="17"/>
      <c r="F1171" s="17" t="s">
        <v>525</v>
      </c>
      <c r="G1171" s="18">
        <v>35000.0</v>
      </c>
      <c r="H1171" s="19" t="s">
        <v>3948</v>
      </c>
      <c r="I1171" s="20"/>
      <c r="J1171" s="20"/>
      <c r="K1171" s="20"/>
      <c r="L1171" s="21"/>
      <c r="M1171" s="22"/>
      <c r="N1171" s="22"/>
      <c r="O1171" s="22"/>
      <c r="P1171" s="22"/>
      <c r="Q1171" s="23"/>
      <c r="R1171" s="22"/>
      <c r="S1171" s="22"/>
      <c r="T1171" s="23"/>
    </row>
    <row r="1172" ht="15.0" customHeight="1">
      <c r="A1172" s="24" t="s">
        <v>3945</v>
      </c>
      <c r="B1172" s="25" t="s">
        <v>3935</v>
      </c>
      <c r="C1172" s="25" t="s">
        <v>531</v>
      </c>
      <c r="D1172" s="17" t="str">
        <f>vlookup(C1172,'1. 신청자리스트'!J:N,2,false)</f>
        <v>중복</v>
      </c>
      <c r="E1172" s="25"/>
      <c r="F1172" s="25" t="s">
        <v>2935</v>
      </c>
      <c r="G1172" s="26">
        <v>35000.0</v>
      </c>
      <c r="H1172" s="27" t="s">
        <v>3948</v>
      </c>
      <c r="I1172" s="28"/>
      <c r="J1172" s="28"/>
      <c r="K1172" s="28"/>
      <c r="L1172" s="29"/>
      <c r="M1172" s="22"/>
      <c r="N1172" s="22"/>
      <c r="O1172" s="22"/>
      <c r="P1172" s="22"/>
      <c r="Q1172" s="22"/>
      <c r="R1172" s="22"/>
      <c r="S1172" s="22"/>
      <c r="T1172" s="23"/>
    </row>
    <row r="1173" ht="15.0" customHeight="1">
      <c r="A1173" s="16" t="s">
        <v>3985</v>
      </c>
      <c r="B1173" s="17" t="s">
        <v>3935</v>
      </c>
      <c r="C1173" s="17" t="s">
        <v>531</v>
      </c>
      <c r="D1173" s="17" t="str">
        <f>vlookup(C1173,'1. 신청자리스트'!J:N,2,false)</f>
        <v>중복</v>
      </c>
      <c r="E1173" s="17"/>
      <c r="F1173" s="17" t="s">
        <v>531</v>
      </c>
      <c r="G1173" s="18">
        <v>35000.0</v>
      </c>
      <c r="H1173" s="19" t="s">
        <v>3948</v>
      </c>
      <c r="I1173" s="20"/>
      <c r="J1173" s="20"/>
      <c r="K1173" s="20"/>
      <c r="L1173" s="21"/>
      <c r="M1173" s="22"/>
      <c r="N1173" s="22"/>
      <c r="O1173" s="22"/>
      <c r="P1173" s="22"/>
      <c r="Q1173" s="22"/>
      <c r="R1173" s="22"/>
      <c r="S1173" s="22"/>
      <c r="T1173" s="23"/>
    </row>
    <row r="1174" ht="15.0" customHeight="1">
      <c r="A1174" s="24" t="s">
        <v>3949</v>
      </c>
      <c r="B1174" s="25" t="s">
        <v>3935</v>
      </c>
      <c r="C1174" s="25" t="s">
        <v>540</v>
      </c>
      <c r="D1174" s="17" t="str">
        <f>vlookup(C1174,'1. 신청자리스트'!J:N,2,false)</f>
        <v>중복</v>
      </c>
      <c r="E1174" s="25"/>
      <c r="F1174" s="25" t="s">
        <v>2939</v>
      </c>
      <c r="G1174" s="26">
        <v>35000.0</v>
      </c>
      <c r="H1174" s="27" t="s">
        <v>3941</v>
      </c>
      <c r="I1174" s="28"/>
      <c r="J1174" s="28"/>
      <c r="K1174" s="28"/>
      <c r="L1174" s="29"/>
      <c r="M1174" s="22"/>
      <c r="N1174" s="22"/>
      <c r="O1174" s="22"/>
      <c r="P1174" s="22"/>
      <c r="Q1174" s="22"/>
      <c r="R1174" s="22"/>
      <c r="S1174" s="22"/>
      <c r="T1174" s="23"/>
    </row>
    <row r="1175" ht="15.0" customHeight="1">
      <c r="A1175" s="16" t="s">
        <v>4395</v>
      </c>
      <c r="B1175" s="17" t="s">
        <v>3935</v>
      </c>
      <c r="C1175" s="17" t="s">
        <v>540</v>
      </c>
      <c r="D1175" s="17" t="str">
        <f>vlookup(C1175,'1. 신청자리스트'!J:N,2,false)</f>
        <v>중복</v>
      </c>
      <c r="E1175" s="17"/>
      <c r="F1175" s="17" t="s">
        <v>4499</v>
      </c>
      <c r="G1175" s="18">
        <v>35000.0</v>
      </c>
      <c r="H1175" s="19" t="s">
        <v>3941</v>
      </c>
      <c r="I1175" s="20"/>
      <c r="J1175" s="20"/>
      <c r="K1175" s="20"/>
      <c r="L1175" s="21"/>
      <c r="M1175" s="22"/>
      <c r="N1175" s="22"/>
      <c r="O1175" s="22"/>
      <c r="P1175" s="22"/>
      <c r="Q1175" s="22"/>
      <c r="R1175" s="22"/>
      <c r="S1175" s="22"/>
      <c r="T1175" s="23"/>
    </row>
    <row r="1176" ht="15.0" customHeight="1">
      <c r="A1176" s="24" t="s">
        <v>3940</v>
      </c>
      <c r="B1176" s="25" t="s">
        <v>3935</v>
      </c>
      <c r="C1176" s="25" t="s">
        <v>544</v>
      </c>
      <c r="D1176" s="17" t="str">
        <f>vlookup(C1176,'1. 신청자리스트'!J:N,2,false)</f>
        <v>중복</v>
      </c>
      <c r="E1176" s="25"/>
      <c r="F1176" s="25" t="s">
        <v>2941</v>
      </c>
      <c r="G1176" s="26">
        <v>35000.0</v>
      </c>
      <c r="H1176" s="27" t="s">
        <v>3961</v>
      </c>
      <c r="I1176" s="28"/>
      <c r="J1176" s="28"/>
      <c r="K1176" s="28"/>
      <c r="L1176" s="29"/>
      <c r="M1176" s="22"/>
      <c r="N1176" s="22"/>
      <c r="O1176" s="22"/>
      <c r="P1176" s="23"/>
      <c r="Q1176" s="23"/>
      <c r="R1176" s="23"/>
      <c r="S1176" s="23"/>
      <c r="T1176" s="23"/>
    </row>
    <row r="1177" ht="15.0" customHeight="1">
      <c r="A1177" s="16" t="s">
        <v>3985</v>
      </c>
      <c r="B1177" s="17" t="s">
        <v>3935</v>
      </c>
      <c r="C1177" s="17" t="s">
        <v>544</v>
      </c>
      <c r="D1177" s="17" t="str">
        <f>vlookup(C1177,'1. 신청자리스트'!J:N,2,false)</f>
        <v>중복</v>
      </c>
      <c r="E1177" s="17"/>
      <c r="F1177" s="17" t="s">
        <v>544</v>
      </c>
      <c r="G1177" s="18">
        <v>35000.0</v>
      </c>
      <c r="H1177" s="19" t="s">
        <v>3961</v>
      </c>
      <c r="I1177" s="20"/>
      <c r="J1177" s="20"/>
      <c r="K1177" s="20"/>
      <c r="L1177" s="21"/>
      <c r="M1177" s="22"/>
      <c r="N1177" s="22"/>
      <c r="O1177" s="22"/>
      <c r="P1177" s="22"/>
      <c r="Q1177" s="22"/>
      <c r="R1177" s="22"/>
      <c r="S1177" s="22"/>
      <c r="T1177" s="23"/>
    </row>
    <row r="1178" ht="15.0" customHeight="1">
      <c r="A1178" s="16" t="s">
        <v>4500</v>
      </c>
      <c r="B1178" s="17" t="s">
        <v>3935</v>
      </c>
      <c r="C1178" s="17" t="s">
        <v>546</v>
      </c>
      <c r="D1178" s="17" t="str">
        <f>vlookup(C1178,'1. 신청자리스트'!J:N,2,false)</f>
        <v>중복</v>
      </c>
      <c r="E1178" s="17"/>
      <c r="F1178" s="17" t="s">
        <v>546</v>
      </c>
      <c r="G1178" s="18">
        <v>35000.0</v>
      </c>
      <c r="H1178" s="19" t="s">
        <v>3948</v>
      </c>
      <c r="I1178" s="20"/>
      <c r="J1178" s="20"/>
      <c r="K1178" s="20"/>
      <c r="L1178" s="21"/>
      <c r="M1178" s="22"/>
      <c r="N1178" s="22"/>
      <c r="O1178" s="22"/>
      <c r="P1178" s="22"/>
      <c r="Q1178" s="22"/>
      <c r="R1178" s="22"/>
      <c r="S1178" s="22"/>
      <c r="T1178" s="23"/>
    </row>
    <row r="1179" ht="15.0" customHeight="1">
      <c r="A1179" s="24" t="s">
        <v>3962</v>
      </c>
      <c r="B1179" s="25" t="s">
        <v>3935</v>
      </c>
      <c r="C1179" s="25" t="s">
        <v>546</v>
      </c>
      <c r="D1179" s="17" t="str">
        <f>vlookup(C1179,'1. 신청자리스트'!J:N,2,false)</f>
        <v>중복</v>
      </c>
      <c r="E1179" s="25"/>
      <c r="F1179" s="25" t="s">
        <v>2943</v>
      </c>
      <c r="G1179" s="26">
        <v>35000.0</v>
      </c>
      <c r="H1179" s="27" t="s">
        <v>3948</v>
      </c>
      <c r="I1179" s="28"/>
      <c r="J1179" s="28"/>
      <c r="K1179" s="28"/>
      <c r="L1179" s="29"/>
      <c r="M1179" s="22"/>
      <c r="N1179" s="22"/>
      <c r="O1179" s="22"/>
      <c r="P1179" s="22"/>
      <c r="Q1179" s="22"/>
      <c r="R1179" s="22"/>
      <c r="S1179" s="22"/>
      <c r="T1179" s="23"/>
    </row>
    <row r="1180" ht="15.0" customHeight="1">
      <c r="A1180" s="24" t="s">
        <v>3962</v>
      </c>
      <c r="B1180" s="25" t="s">
        <v>3935</v>
      </c>
      <c r="C1180" s="25" t="s">
        <v>550</v>
      </c>
      <c r="D1180" s="17" t="str">
        <f>vlookup(C1180,'1. 신청자리스트'!J:N,2,false)</f>
        <v>중복</v>
      </c>
      <c r="E1180" s="25"/>
      <c r="F1180" s="25" t="s">
        <v>2945</v>
      </c>
      <c r="G1180" s="26">
        <v>35000.0</v>
      </c>
      <c r="H1180" s="27" t="s">
        <v>3948</v>
      </c>
      <c r="I1180" s="28"/>
      <c r="J1180" s="28"/>
      <c r="K1180" s="28"/>
      <c r="L1180" s="29"/>
      <c r="M1180" s="22"/>
      <c r="N1180" s="22"/>
      <c r="O1180" s="22"/>
      <c r="P1180" s="22"/>
      <c r="Q1180" s="22"/>
      <c r="R1180" s="22"/>
      <c r="S1180" s="22"/>
      <c r="T1180" s="23"/>
    </row>
    <row r="1181" ht="15.0" customHeight="1">
      <c r="A1181" s="16" t="s">
        <v>4002</v>
      </c>
      <c r="B1181" s="17" t="s">
        <v>3935</v>
      </c>
      <c r="C1181" s="17" t="s">
        <v>550</v>
      </c>
      <c r="D1181" s="17" t="str">
        <f>vlookup(C1181,'1. 신청자리스트'!J:N,2,false)</f>
        <v>중복</v>
      </c>
      <c r="E1181" s="17"/>
      <c r="F1181" s="17" t="s">
        <v>550</v>
      </c>
      <c r="G1181" s="18">
        <v>35000.0</v>
      </c>
      <c r="H1181" s="19" t="s">
        <v>3948</v>
      </c>
      <c r="I1181" s="20"/>
      <c r="J1181" s="20"/>
      <c r="K1181" s="20"/>
      <c r="L1181" s="21"/>
      <c r="M1181" s="22"/>
      <c r="N1181" s="22"/>
      <c r="O1181" s="22"/>
      <c r="P1181" s="22"/>
      <c r="Q1181" s="22"/>
      <c r="R1181" s="22"/>
      <c r="S1181" s="22"/>
      <c r="T1181" s="23"/>
    </row>
    <row r="1182" ht="15.0" customHeight="1">
      <c r="A1182" s="30" t="s">
        <v>3975</v>
      </c>
      <c r="B1182" s="31" t="s">
        <v>3932</v>
      </c>
      <c r="C1182" s="31" t="s">
        <v>4501</v>
      </c>
      <c r="D1182" s="17" t="str">
        <f>vlookup(C1182,'1. 신청자리스트'!J:N,2,false)</f>
        <v>정상</v>
      </c>
      <c r="E1182" s="31"/>
      <c r="F1182" s="31" t="s">
        <v>4501</v>
      </c>
      <c r="G1182" s="32">
        <v>10000.0</v>
      </c>
      <c r="H1182" s="33" t="s">
        <v>4502</v>
      </c>
      <c r="I1182" s="34" t="str">
        <f>VLOOKUP(C1182, '문의'!D:E, 2, FALSE)</f>
        <v>[취소/환불] 환불받을 계좌 : 국민은행 7027-0101-656-969
 받는사람 : 조수빈
 금액 : 7만원 (6만원,1만원 어제 두번 입금함)
 메모에 황은옥8084 메모했습니다
 취소,환불해주세요</v>
      </c>
      <c r="J1182" s="48">
        <f t="array" ref="J1182">INDEX('문의'!C:C, MATCH(C1182, '문의'!D:D, 0))</f>
        <v>1090588084</v>
      </c>
      <c r="K1182" s="34" t="s">
        <v>3957</v>
      </c>
      <c r="L1182" s="37" t="s">
        <v>4503</v>
      </c>
      <c r="M1182" s="42"/>
      <c r="N1182" s="42"/>
      <c r="O1182" s="42"/>
      <c r="P1182" s="41"/>
      <c r="Q1182" s="41"/>
      <c r="R1182" s="63"/>
      <c r="S1182" s="41"/>
      <c r="T1182" s="41"/>
    </row>
    <row r="1183" ht="15.0" customHeight="1">
      <c r="A1183" s="30" t="s">
        <v>3955</v>
      </c>
      <c r="B1183" s="31" t="s">
        <v>3932</v>
      </c>
      <c r="C1183" s="31" t="s">
        <v>4501</v>
      </c>
      <c r="D1183" s="17" t="str">
        <f>vlookup(C1183,'1. 신청자리스트'!J:N,2,false)</f>
        <v>정상</v>
      </c>
      <c r="E1183" s="31"/>
      <c r="F1183" s="31" t="s">
        <v>4501</v>
      </c>
      <c r="G1183" s="32">
        <v>60000.0</v>
      </c>
      <c r="H1183" s="33" t="s">
        <v>4502</v>
      </c>
      <c r="I1183" s="34" t="str">
        <f>VLOOKUP(C1183, '문의'!D:E, 2, FALSE)</f>
        <v>[취소/환불] 환불받을 계좌 : 국민은행 7027-0101-656-969
 받는사람 : 조수빈
 금액 : 7만원 (6만원,1만원 어제 두번 입금함)
 메모에 황은옥8084 메모했습니다
 취소,환불해주세요</v>
      </c>
      <c r="J1183" s="34">
        <f t="array" ref="J1183">INDEX('문의'!C:C, MATCH(C1183, '문의'!D:D, 0))</f>
        <v>1090588084</v>
      </c>
      <c r="K1183" s="34" t="s">
        <v>4504</v>
      </c>
      <c r="L1183" s="56"/>
      <c r="M1183" s="42"/>
      <c r="N1183" s="42"/>
      <c r="O1183" s="42"/>
      <c r="P1183" s="42"/>
      <c r="Q1183" s="42"/>
      <c r="R1183" s="44"/>
      <c r="S1183" s="42"/>
      <c r="T1183" s="41"/>
    </row>
    <row r="1184" ht="15.0" customHeight="1">
      <c r="A1184" s="24" t="s">
        <v>4505</v>
      </c>
      <c r="B1184" s="25" t="s">
        <v>3935</v>
      </c>
      <c r="C1184" s="25" t="s">
        <v>980</v>
      </c>
      <c r="D1184" s="17" t="str">
        <f>vlookup(C1184,'1. 신청자리스트'!J:N,2,false)</f>
        <v>중복</v>
      </c>
      <c r="E1184" s="25"/>
      <c r="F1184" s="25" t="s">
        <v>1220</v>
      </c>
      <c r="G1184" s="26">
        <v>70000.0</v>
      </c>
      <c r="H1184" s="27" t="s">
        <v>4506</v>
      </c>
      <c r="I1184" s="28"/>
      <c r="J1184" s="28"/>
      <c r="K1184" s="28"/>
      <c r="L1184" s="29"/>
      <c r="M1184" s="22"/>
      <c r="N1184" s="22"/>
      <c r="O1184" s="22"/>
      <c r="P1184" s="22"/>
      <c r="Q1184" s="22"/>
      <c r="R1184" s="22"/>
      <c r="S1184" s="22"/>
      <c r="T1184" s="23"/>
    </row>
    <row r="1185" ht="15.0" customHeight="1">
      <c r="A1185" s="64" t="s">
        <v>4043</v>
      </c>
      <c r="B1185" s="47" t="s">
        <v>3935</v>
      </c>
      <c r="C1185" s="17" t="s">
        <v>980</v>
      </c>
      <c r="D1185" s="17" t="str">
        <f>vlookup(C1185,'1. 신청자리스트'!J:N,2,false)</f>
        <v>중복</v>
      </c>
      <c r="E1185" s="47"/>
      <c r="F1185" s="47" t="s">
        <v>980</v>
      </c>
      <c r="G1185" s="65">
        <v>70000.0</v>
      </c>
      <c r="H1185" s="47" t="s">
        <v>4506</v>
      </c>
      <c r="I1185" s="47"/>
      <c r="J1185" s="47"/>
      <c r="K1185" s="47"/>
      <c r="L1185" s="47"/>
      <c r="M1185" s="23"/>
      <c r="N1185" s="23"/>
      <c r="O1185" s="23"/>
      <c r="P1185" s="23"/>
      <c r="Q1185" s="23"/>
      <c r="R1185" s="23"/>
      <c r="S1185" s="23"/>
      <c r="T1185" s="23"/>
    </row>
    <row r="1186" ht="15.0" customHeight="1">
      <c r="A1186" s="24" t="s">
        <v>3962</v>
      </c>
      <c r="B1186" s="25" t="s">
        <v>3993</v>
      </c>
      <c r="C1186" s="17" t="s">
        <v>981</v>
      </c>
      <c r="D1186" s="17" t="str">
        <f>vlookup(C1186,'1. 신청자리스트'!J:N,2,false)</f>
        <v>중복</v>
      </c>
      <c r="E1186" s="25"/>
      <c r="F1186" s="25" t="s">
        <v>1248</v>
      </c>
      <c r="G1186" s="26">
        <v>70000.0</v>
      </c>
      <c r="H1186" s="27" t="s">
        <v>3939</v>
      </c>
      <c r="I1186" s="45"/>
      <c r="J1186" s="45"/>
      <c r="K1186" s="45" t="s">
        <v>4507</v>
      </c>
      <c r="L1186" s="29"/>
      <c r="M1186" s="22"/>
      <c r="N1186" s="25" t="s">
        <v>4508</v>
      </c>
      <c r="O1186" s="22"/>
      <c r="P1186" s="25" t="s">
        <v>4509</v>
      </c>
      <c r="Q1186" s="22"/>
      <c r="R1186" s="22"/>
      <c r="S1186" s="22"/>
      <c r="T1186" s="23"/>
    </row>
    <row r="1187" ht="15.0" customHeight="1">
      <c r="A1187" s="24" t="s">
        <v>4071</v>
      </c>
      <c r="B1187" s="25" t="s">
        <v>3935</v>
      </c>
      <c r="C1187" s="66" t="s">
        <v>981</v>
      </c>
      <c r="D1187" s="17" t="str">
        <f>vlookup(C1187,'1. 신청자리스트'!J:N,2,false)</f>
        <v>중복</v>
      </c>
      <c r="E1187" s="25"/>
      <c r="F1187" s="25" t="s">
        <v>4510</v>
      </c>
      <c r="G1187" s="26">
        <v>70000.0</v>
      </c>
      <c r="H1187" s="27" t="s">
        <v>3946</v>
      </c>
      <c r="I1187" s="28"/>
      <c r="J1187" s="28"/>
      <c r="K1187" s="28"/>
      <c r="L1187" s="29"/>
      <c r="M1187" s="22"/>
      <c r="N1187" s="22"/>
      <c r="O1187" s="22"/>
      <c r="P1187" s="22"/>
      <c r="Q1187" s="22"/>
      <c r="R1187" s="22"/>
      <c r="S1187" s="22"/>
      <c r="T1187" s="23"/>
    </row>
    <row r="1188" ht="15.0" customHeight="1">
      <c r="A1188" s="67" t="s">
        <v>3949</v>
      </c>
      <c r="B1188" s="67" t="s">
        <v>3935</v>
      </c>
      <c r="C1188" s="68" t="s">
        <v>675</v>
      </c>
      <c r="D1188" s="17" t="str">
        <f>vlookup(C1188,'1. 신청자리스트'!J:N,2,false)</f>
        <v>중복</v>
      </c>
      <c r="E1188" s="67"/>
      <c r="F1188" s="67" t="s">
        <v>4511</v>
      </c>
      <c r="G1188" s="69">
        <v>70000.0</v>
      </c>
      <c r="H1188" s="67" t="s">
        <v>3939</v>
      </c>
      <c r="I1188" s="70" t="str">
        <f>VLOOKUP(C1188, '문의'!D:E, 2, FALSE)</f>
        <v>#N/A</v>
      </c>
      <c r="J1188" s="70" t="str">
        <f t="array" ref="J1188">INDEX('문의'!C:C, MATCH(C1188, '문의'!D:D, 0))</f>
        <v>#N/A</v>
      </c>
      <c r="K1188" s="70" t="s">
        <v>4512</v>
      </c>
      <c r="L1188" s="70" t="s">
        <v>3960</v>
      </c>
      <c r="M1188" s="70" t="s">
        <v>3959</v>
      </c>
      <c r="N1188" s="70" t="s">
        <v>3960</v>
      </c>
      <c r="O1188" s="69">
        <v>70000.0</v>
      </c>
      <c r="P1188" s="70"/>
      <c r="Q1188" s="71"/>
      <c r="R1188" s="70" t="s">
        <v>4511</v>
      </c>
      <c r="S1188" s="70"/>
      <c r="T1188" s="23"/>
    </row>
  </sheetData>
  <autoFilter ref="$A$1:$S$393">
    <sortState ref="A1:S393">
      <sortCondition ref="D1:D393"/>
      <sortCondition ref="C1:C393"/>
      <sortCondition ref="A1:A393"/>
      <sortCondition ref="L1:L393"/>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11.13"/>
    <col customWidth="1" min="3" max="4" width="11.88"/>
    <col customWidth="1" min="5" max="5" width="6.13"/>
    <col customWidth="1" min="6" max="6" width="6.75"/>
    <col customWidth="1" min="7" max="7" width="15.38"/>
    <col customWidth="1" min="8" max="8" width="16.13"/>
    <col customWidth="1" min="9" max="9" width="9.88"/>
    <col customWidth="1" min="10" max="10" width="9.5"/>
    <col customWidth="1" min="11" max="11" width="14.75"/>
    <col customWidth="1" min="12" max="12" width="7.13"/>
  </cols>
  <sheetData>
    <row r="1" ht="15.0" customHeight="1">
      <c r="A1" s="72" t="s">
        <v>3913</v>
      </c>
      <c r="B1" s="72" t="s">
        <v>3914</v>
      </c>
      <c r="C1" s="72" t="s">
        <v>3915</v>
      </c>
      <c r="D1" s="72" t="s">
        <v>3918</v>
      </c>
      <c r="E1" s="72" t="s">
        <v>3919</v>
      </c>
      <c r="F1" s="72" t="s">
        <v>3920</v>
      </c>
      <c r="G1" s="72" t="s">
        <v>985</v>
      </c>
      <c r="H1" s="72" t="s">
        <v>3923</v>
      </c>
      <c r="I1" s="72" t="s">
        <v>3927</v>
      </c>
      <c r="J1" s="72" t="s">
        <v>3928</v>
      </c>
      <c r="K1" s="72" t="s">
        <v>3929</v>
      </c>
      <c r="L1" s="72" t="s">
        <v>3930</v>
      </c>
    </row>
    <row r="2" ht="15.0" customHeight="1">
      <c r="A2" s="73" t="s">
        <v>3931</v>
      </c>
      <c r="B2" s="73" t="s">
        <v>3943</v>
      </c>
      <c r="C2" s="73" t="s">
        <v>800</v>
      </c>
      <c r="D2" s="73" t="s">
        <v>2459</v>
      </c>
      <c r="E2" s="74">
        <v>70000.0</v>
      </c>
      <c r="F2" s="73" t="s">
        <v>3944</v>
      </c>
      <c r="G2" s="75">
        <v>1.062843632E9</v>
      </c>
      <c r="H2" s="75" t="s">
        <v>4471</v>
      </c>
      <c r="I2" s="74">
        <v>70000.0</v>
      </c>
      <c r="J2" s="75" t="s">
        <v>3983</v>
      </c>
      <c r="K2" s="76" t="s">
        <v>4513</v>
      </c>
      <c r="L2" s="75" t="s">
        <v>2459</v>
      </c>
    </row>
    <row r="3" ht="15.0" customHeight="1">
      <c r="A3" s="73" t="s">
        <v>4002</v>
      </c>
      <c r="B3" s="73" t="s">
        <v>3935</v>
      </c>
      <c r="C3" s="73" t="s">
        <v>644</v>
      </c>
      <c r="D3" s="73" t="s">
        <v>1780</v>
      </c>
      <c r="E3" s="74">
        <v>70000.0</v>
      </c>
      <c r="F3" s="73" t="s">
        <v>3952</v>
      </c>
      <c r="G3" s="75">
        <v>1.037660505E9</v>
      </c>
      <c r="H3" s="75" t="s">
        <v>4471</v>
      </c>
      <c r="I3" s="74">
        <v>70000.0</v>
      </c>
      <c r="J3" s="75" t="s">
        <v>4514</v>
      </c>
      <c r="K3" s="76" t="s">
        <v>4515</v>
      </c>
      <c r="L3" s="75" t="s">
        <v>1780</v>
      </c>
    </row>
    <row r="4" ht="15.0" customHeight="1">
      <c r="A4" s="73" t="s">
        <v>4516</v>
      </c>
      <c r="B4" s="73" t="s">
        <v>3935</v>
      </c>
      <c r="C4" s="73" t="s">
        <v>4517</v>
      </c>
      <c r="D4" s="73" t="s">
        <v>4517</v>
      </c>
      <c r="E4" s="77">
        <v>70000.0</v>
      </c>
      <c r="F4" s="73" t="s">
        <v>3948</v>
      </c>
      <c r="G4" s="75">
        <f t="array" ref="G4">INDEX('문의'!C:C, MATCH(C4, '문의'!D:D, 0))</f>
        <v>1062497030</v>
      </c>
      <c r="H4" s="75" t="s">
        <v>4471</v>
      </c>
      <c r="I4" s="74">
        <v>70000.0</v>
      </c>
      <c r="J4" s="75" t="s">
        <v>4518</v>
      </c>
      <c r="K4" s="76" t="s">
        <v>4519</v>
      </c>
      <c r="L4" s="75" t="s">
        <v>4520</v>
      </c>
    </row>
    <row r="5" ht="15.0" customHeight="1">
      <c r="A5" s="73" t="s">
        <v>3945</v>
      </c>
      <c r="B5" s="73" t="s">
        <v>3935</v>
      </c>
      <c r="C5" s="73" t="s">
        <v>4521</v>
      </c>
      <c r="D5" s="73" t="s">
        <v>4522</v>
      </c>
      <c r="E5" s="74">
        <v>35000.0</v>
      </c>
      <c r="F5" s="73" t="s">
        <v>3941</v>
      </c>
      <c r="G5" s="75" t="s">
        <v>4523</v>
      </c>
      <c r="H5" s="75" t="s">
        <v>4471</v>
      </c>
      <c r="I5" s="78">
        <v>35000.0</v>
      </c>
      <c r="J5" s="75" t="s">
        <v>3941</v>
      </c>
      <c r="K5" s="76" t="s">
        <v>4524</v>
      </c>
      <c r="L5" s="75" t="s">
        <v>4522</v>
      </c>
    </row>
    <row r="6" ht="15.0" customHeight="1">
      <c r="A6" s="73" t="s">
        <v>3931</v>
      </c>
      <c r="B6" s="73" t="s">
        <v>3935</v>
      </c>
      <c r="C6" s="73" t="s">
        <v>4525</v>
      </c>
      <c r="D6" s="73" t="s">
        <v>4525</v>
      </c>
      <c r="E6" s="74">
        <v>70000.0</v>
      </c>
      <c r="F6" s="73" t="s">
        <v>3990</v>
      </c>
      <c r="G6" s="73">
        <f t="array" ref="G6">INDEX('문의'!C:C, MATCH(C6, '문의'!D:D, 0))</f>
        <v>1023650480</v>
      </c>
      <c r="H6" s="73" t="s">
        <v>4471</v>
      </c>
      <c r="I6" s="74">
        <v>70000.0</v>
      </c>
      <c r="J6" s="75" t="s">
        <v>3941</v>
      </c>
      <c r="K6" s="76" t="s">
        <v>4526</v>
      </c>
      <c r="L6" s="75" t="s">
        <v>4490</v>
      </c>
    </row>
    <row r="7" ht="15.0" customHeight="1">
      <c r="A7" s="73" t="s">
        <v>3945</v>
      </c>
      <c r="B7" s="73" t="s">
        <v>3935</v>
      </c>
      <c r="C7" s="73" t="s">
        <v>4527</v>
      </c>
      <c r="D7" s="73" t="s">
        <v>4528</v>
      </c>
      <c r="E7" s="74">
        <v>70000.0</v>
      </c>
      <c r="F7" s="73" t="s">
        <v>3948</v>
      </c>
      <c r="G7" s="75">
        <f t="array" ref="G7">INDEX('문의'!C:C, MATCH(C7, '문의'!D:D, 0))</f>
        <v>1038884234</v>
      </c>
      <c r="H7" s="75" t="s">
        <v>4471</v>
      </c>
      <c r="I7" s="74">
        <v>70000.0</v>
      </c>
      <c r="J7" s="75" t="s">
        <v>4529</v>
      </c>
      <c r="K7" s="76" t="s">
        <v>4530</v>
      </c>
      <c r="L7" s="75" t="s">
        <v>4531</v>
      </c>
    </row>
    <row r="8" ht="15.0" customHeight="1">
      <c r="A8" s="73" t="s">
        <v>4026</v>
      </c>
      <c r="B8" s="73" t="s">
        <v>3932</v>
      </c>
      <c r="C8" s="73" t="s">
        <v>4532</v>
      </c>
      <c r="D8" s="73" t="str">
        <f>vlookup(C8,'1. 신청자리스트'!J:J,1,false)</f>
        <v>#N/A</v>
      </c>
      <c r="E8" s="74">
        <v>70000.0</v>
      </c>
      <c r="F8" s="73" t="s">
        <v>4533</v>
      </c>
      <c r="G8" s="75">
        <f t="array" ref="G8">INDEX('문의'!C:C, MATCH(C8, '문의'!D:D, 0))</f>
        <v>1041832502</v>
      </c>
      <c r="H8" s="75" t="s">
        <v>4471</v>
      </c>
      <c r="I8" s="74">
        <v>70000.0</v>
      </c>
      <c r="J8" s="75" t="s">
        <v>4534</v>
      </c>
      <c r="K8" s="76" t="s">
        <v>4535</v>
      </c>
      <c r="L8" s="75" t="s">
        <v>4536</v>
      </c>
    </row>
    <row r="9" ht="15.0" customHeight="1">
      <c r="A9" s="73" t="s">
        <v>4537</v>
      </c>
      <c r="B9" s="73" t="s">
        <v>3935</v>
      </c>
      <c r="C9" s="73" t="s">
        <v>4538</v>
      </c>
      <c r="D9" s="73" t="s">
        <v>4539</v>
      </c>
      <c r="E9" s="74">
        <v>35000.0</v>
      </c>
      <c r="F9" s="73" t="s">
        <v>3983</v>
      </c>
      <c r="G9" s="75">
        <v>1.074504577E9</v>
      </c>
      <c r="H9" s="75" t="s">
        <v>4471</v>
      </c>
      <c r="I9" s="78">
        <v>35000.0</v>
      </c>
      <c r="J9" s="75" t="s">
        <v>3983</v>
      </c>
      <c r="K9" s="76" t="s">
        <v>4540</v>
      </c>
      <c r="L9" s="75" t="s">
        <v>4539</v>
      </c>
    </row>
    <row r="10" ht="15.0" customHeight="1">
      <c r="A10" s="73" t="s">
        <v>4002</v>
      </c>
      <c r="B10" s="73" t="s">
        <v>3932</v>
      </c>
      <c r="C10" s="73" t="s">
        <v>4541</v>
      </c>
      <c r="D10" s="73" t="s">
        <v>4542</v>
      </c>
      <c r="E10" s="74">
        <v>35000.0</v>
      </c>
      <c r="F10" s="73" t="s">
        <v>4543</v>
      </c>
      <c r="G10" s="75" t="s">
        <v>4544</v>
      </c>
      <c r="H10" s="75" t="s">
        <v>4471</v>
      </c>
      <c r="I10" s="78">
        <v>35000.0</v>
      </c>
      <c r="J10" s="75" t="s">
        <v>4534</v>
      </c>
      <c r="K10" s="76" t="s">
        <v>4545</v>
      </c>
      <c r="L10" s="75" t="s">
        <v>4542</v>
      </c>
    </row>
    <row r="11" ht="15.0" customHeight="1">
      <c r="A11" s="73" t="s">
        <v>4030</v>
      </c>
      <c r="B11" s="73" t="s">
        <v>3935</v>
      </c>
      <c r="C11" s="73" t="s">
        <v>4188</v>
      </c>
      <c r="D11" s="73" t="s">
        <v>4188</v>
      </c>
      <c r="E11" s="74">
        <v>35000.0</v>
      </c>
      <c r="F11" s="73" t="s">
        <v>3941</v>
      </c>
      <c r="G11" s="75">
        <f t="array" ref="G11">INDEX('문의'!C:C, MATCH(C11, '문의'!D:D, 0))</f>
        <v>1029786549</v>
      </c>
      <c r="H11" s="73" t="s">
        <v>4471</v>
      </c>
      <c r="I11" s="74">
        <v>35000.0</v>
      </c>
      <c r="J11" s="79" t="s">
        <v>3941</v>
      </c>
      <c r="K11" s="76" t="s">
        <v>4546</v>
      </c>
      <c r="L11" s="75" t="s">
        <v>3839</v>
      </c>
    </row>
    <row r="12" ht="15.0" customHeight="1">
      <c r="A12" s="73" t="s">
        <v>4441</v>
      </c>
      <c r="B12" s="73" t="s">
        <v>3935</v>
      </c>
      <c r="C12" s="73" t="s">
        <v>4547</v>
      </c>
      <c r="D12" s="73" t="s">
        <v>4548</v>
      </c>
      <c r="E12" s="74">
        <v>35000.0</v>
      </c>
      <c r="F12" s="73" t="s">
        <v>3983</v>
      </c>
      <c r="G12" s="75">
        <f t="array" ref="G12">INDEX('문의'!C:C, MATCH(C12, '문의'!D:D, 0))</f>
        <v>1086827188</v>
      </c>
      <c r="H12" s="75" t="s">
        <v>4471</v>
      </c>
      <c r="I12" s="74">
        <v>35000.0</v>
      </c>
      <c r="J12" s="75" t="s">
        <v>4549</v>
      </c>
      <c r="K12" s="76" t="s">
        <v>4550</v>
      </c>
      <c r="L12" s="75" t="s">
        <v>4548</v>
      </c>
    </row>
    <row r="13" ht="15.0" customHeight="1">
      <c r="A13" s="73" t="s">
        <v>4056</v>
      </c>
      <c r="B13" s="73" t="s">
        <v>3935</v>
      </c>
      <c r="C13" s="73" t="s">
        <v>846</v>
      </c>
      <c r="D13" s="73" t="s">
        <v>846</v>
      </c>
      <c r="E13" s="74">
        <v>70000.0</v>
      </c>
      <c r="F13" s="73" t="s">
        <v>3948</v>
      </c>
      <c r="G13" s="75">
        <f t="array" ref="G13">INDEX('문의'!C:C, MATCH(C13, '문의'!D:D, 0))</f>
        <v>1088912400</v>
      </c>
      <c r="H13" s="75" t="s">
        <v>4471</v>
      </c>
      <c r="I13" s="74">
        <v>70000.0</v>
      </c>
      <c r="J13" s="75" t="s">
        <v>3948</v>
      </c>
      <c r="K13" s="76" t="s">
        <v>4551</v>
      </c>
      <c r="L13" s="75" t="s">
        <v>1731</v>
      </c>
    </row>
    <row r="14" ht="15.0" customHeight="1">
      <c r="A14" s="73" t="s">
        <v>3989</v>
      </c>
      <c r="B14" s="73" t="s">
        <v>3935</v>
      </c>
      <c r="C14" s="73" t="s">
        <v>4552</v>
      </c>
      <c r="D14" s="73" t="s">
        <v>4553</v>
      </c>
      <c r="E14" s="74">
        <v>70000.0</v>
      </c>
      <c r="F14" s="73" t="s">
        <v>3946</v>
      </c>
      <c r="G14" s="75">
        <f t="array" ref="G14">INDEX('문의'!C:C, MATCH(C14, '문의'!D:D, 0))</f>
        <v>1077761142</v>
      </c>
      <c r="H14" s="75" t="s">
        <v>4471</v>
      </c>
      <c r="I14" s="74">
        <v>70000.0</v>
      </c>
      <c r="J14" s="79" t="s">
        <v>3983</v>
      </c>
      <c r="K14" s="76" t="s">
        <v>4554</v>
      </c>
      <c r="L14" s="75" t="s">
        <v>4555</v>
      </c>
    </row>
    <row r="15" ht="15.0" customHeight="1">
      <c r="A15" s="73" t="s">
        <v>3989</v>
      </c>
      <c r="B15" s="73" t="s">
        <v>3935</v>
      </c>
      <c r="C15" s="73" t="s">
        <v>4556</v>
      </c>
      <c r="D15" s="73" t="s">
        <v>4557</v>
      </c>
      <c r="E15" s="74">
        <v>70000.0</v>
      </c>
      <c r="F15" s="73" t="s">
        <v>3939</v>
      </c>
      <c r="G15" s="75">
        <f t="array" ref="G15">INDEX('문의'!C:C, MATCH(C15, '문의'!D:D, 0))</f>
        <v>1038936285</v>
      </c>
      <c r="H15" s="75" t="s">
        <v>4471</v>
      </c>
      <c r="I15" s="74">
        <v>70000.0</v>
      </c>
      <c r="J15" s="75" t="s">
        <v>4558</v>
      </c>
      <c r="K15" s="76" t="s">
        <v>4559</v>
      </c>
      <c r="L15" s="75" t="s">
        <v>4557</v>
      </c>
    </row>
    <row r="16" ht="15.0" customHeight="1">
      <c r="A16" s="73" t="s">
        <v>3931</v>
      </c>
      <c r="B16" s="73" t="s">
        <v>3932</v>
      </c>
      <c r="C16" s="73" t="s">
        <v>4560</v>
      </c>
      <c r="D16" s="73" t="s">
        <v>1733</v>
      </c>
      <c r="E16" s="74">
        <v>60000.0</v>
      </c>
      <c r="F16" s="73" t="s">
        <v>4561</v>
      </c>
      <c r="G16" s="73">
        <f t="array" ref="G16">INDEX('문의'!C:C, MATCH(C16, '문의'!D:D, 0))</f>
        <v>1037511846</v>
      </c>
      <c r="H16" s="73" t="s">
        <v>4471</v>
      </c>
      <c r="I16" s="80">
        <v>60000.0</v>
      </c>
      <c r="J16" s="75" t="s">
        <v>4562</v>
      </c>
      <c r="K16" s="81" t="s">
        <v>4563</v>
      </c>
      <c r="L16" s="75" t="s">
        <v>4564</v>
      </c>
    </row>
    <row r="17" ht="15.0" customHeight="1">
      <c r="A17" s="73" t="s">
        <v>3931</v>
      </c>
      <c r="B17" s="73" t="s">
        <v>3935</v>
      </c>
      <c r="C17" s="73" t="s">
        <v>4565</v>
      </c>
      <c r="D17" s="73" t="s">
        <v>1521</v>
      </c>
      <c r="E17" s="74">
        <v>35000.0</v>
      </c>
      <c r="F17" s="73" t="s">
        <v>3946</v>
      </c>
      <c r="G17" s="73" t="s">
        <v>4566</v>
      </c>
      <c r="H17" s="73" t="s">
        <v>4471</v>
      </c>
      <c r="I17" s="78">
        <v>35000.0</v>
      </c>
      <c r="J17" s="75" t="s">
        <v>3946</v>
      </c>
      <c r="K17" s="76" t="s">
        <v>4567</v>
      </c>
      <c r="L17" s="75" t="s">
        <v>1521</v>
      </c>
    </row>
    <row r="18" ht="15.0" customHeight="1">
      <c r="A18" s="73" t="s">
        <v>3989</v>
      </c>
      <c r="B18" s="73" t="s">
        <v>3935</v>
      </c>
      <c r="C18" s="73" t="s">
        <v>4568</v>
      </c>
      <c r="D18" s="73" t="s">
        <v>4569</v>
      </c>
      <c r="E18" s="74">
        <v>35000.0</v>
      </c>
      <c r="F18" s="73" t="s">
        <v>3948</v>
      </c>
      <c r="G18" s="73">
        <f t="array" ref="G18">INDEX('문의'!C:C, MATCH(C18, '문의'!D:D, 0))</f>
        <v>1044027173</v>
      </c>
      <c r="H18" s="73" t="s">
        <v>4471</v>
      </c>
      <c r="I18" s="78">
        <v>35000.0</v>
      </c>
      <c r="J18" s="75" t="s">
        <v>4529</v>
      </c>
      <c r="K18" s="76">
        <v>3.521665822603E12</v>
      </c>
      <c r="L18" s="75" t="s">
        <v>4569</v>
      </c>
    </row>
    <row r="19" ht="15.0" customHeight="1">
      <c r="A19" s="73" t="s">
        <v>3942</v>
      </c>
      <c r="B19" s="73" t="s">
        <v>4032</v>
      </c>
      <c r="C19" s="73" t="s">
        <v>88</v>
      </c>
      <c r="D19" s="73" t="s">
        <v>4570</v>
      </c>
      <c r="E19" s="74">
        <v>35000.0</v>
      </c>
      <c r="F19" s="73" t="s">
        <v>4033</v>
      </c>
      <c r="G19" s="79">
        <v>1.05347121E9</v>
      </c>
      <c r="H19" s="75" t="s">
        <v>4471</v>
      </c>
      <c r="I19" s="78">
        <v>35000.0</v>
      </c>
      <c r="J19" s="75" t="s">
        <v>4534</v>
      </c>
      <c r="K19" s="76" t="s">
        <v>4571</v>
      </c>
      <c r="L19" s="75" t="s">
        <v>3080</v>
      </c>
    </row>
    <row r="20" ht="15.0" customHeight="1">
      <c r="A20" s="73" t="s">
        <v>3942</v>
      </c>
      <c r="B20" s="73" t="s">
        <v>3935</v>
      </c>
      <c r="C20" s="73" t="s">
        <v>4572</v>
      </c>
      <c r="D20" s="73" t="s">
        <v>4573</v>
      </c>
      <c r="E20" s="74">
        <v>35000.0</v>
      </c>
      <c r="F20" s="73" t="s">
        <v>3952</v>
      </c>
      <c r="G20" s="73">
        <v>1.052864548E9</v>
      </c>
      <c r="H20" s="73" t="s">
        <v>4471</v>
      </c>
      <c r="I20" s="78">
        <v>35000.0</v>
      </c>
      <c r="J20" s="75" t="s">
        <v>4534</v>
      </c>
      <c r="K20" s="76" t="s">
        <v>4574</v>
      </c>
      <c r="L20" s="75" t="s">
        <v>4573</v>
      </c>
    </row>
    <row r="21" ht="15.0" customHeight="1">
      <c r="A21" s="73" t="s">
        <v>3940</v>
      </c>
      <c r="B21" s="73" t="s">
        <v>3935</v>
      </c>
      <c r="C21" s="73" t="s">
        <v>4575</v>
      </c>
      <c r="D21" s="73" t="s">
        <v>4575</v>
      </c>
      <c r="E21" s="74">
        <v>70000.0</v>
      </c>
      <c r="F21" s="73" t="s">
        <v>3983</v>
      </c>
      <c r="G21" s="73">
        <f t="array" ref="G21">INDEX('문의'!C:C, MATCH(C21, '문의'!D:D, 0))</f>
        <v>1099150255</v>
      </c>
      <c r="H21" s="73" t="s">
        <v>4471</v>
      </c>
      <c r="I21" s="74">
        <v>70000.0</v>
      </c>
      <c r="J21" s="75" t="s">
        <v>4534</v>
      </c>
      <c r="K21" s="76" t="s">
        <v>4576</v>
      </c>
      <c r="L21" s="75" t="s">
        <v>4577</v>
      </c>
    </row>
    <row r="22" ht="15.0" customHeight="1">
      <c r="A22" s="73" t="s">
        <v>3945</v>
      </c>
      <c r="B22" s="73" t="s">
        <v>3935</v>
      </c>
      <c r="C22" s="73" t="s">
        <v>4578</v>
      </c>
      <c r="D22" s="73" t="s">
        <v>4578</v>
      </c>
      <c r="E22" s="74">
        <v>70000.0</v>
      </c>
      <c r="F22" s="73" t="s">
        <v>3937</v>
      </c>
      <c r="G22" s="73">
        <f t="array" ref="G22">INDEX('문의'!C:C, MATCH(C22, '문의'!D:D, 0))</f>
        <v>1089396492</v>
      </c>
      <c r="H22" s="73" t="s">
        <v>4471</v>
      </c>
      <c r="I22" s="74">
        <v>70000.0</v>
      </c>
      <c r="J22" s="75" t="s">
        <v>3937</v>
      </c>
      <c r="K22" s="76">
        <v>1.391202384007E12</v>
      </c>
      <c r="L22" s="75" t="s">
        <v>4579</v>
      </c>
    </row>
    <row r="23" ht="15.0" customHeight="1">
      <c r="A23" s="73" t="s">
        <v>3945</v>
      </c>
      <c r="B23" s="73" t="s">
        <v>3935</v>
      </c>
      <c r="C23" s="73" t="s">
        <v>4580</v>
      </c>
      <c r="D23" s="73" t="s">
        <v>4580</v>
      </c>
      <c r="E23" s="74">
        <v>70000.0</v>
      </c>
      <c r="F23" s="73" t="s">
        <v>3952</v>
      </c>
      <c r="G23" s="73">
        <f t="array" ref="G23">INDEX('문의'!C:C, MATCH(C23, '문의'!D:D, 0))</f>
        <v>1089068371</v>
      </c>
      <c r="H23" s="73" t="s">
        <v>4471</v>
      </c>
      <c r="I23" s="74">
        <v>70000.0</v>
      </c>
      <c r="J23" s="75" t="s">
        <v>4534</v>
      </c>
      <c r="K23" s="76">
        <v>5.8540101426589E13</v>
      </c>
      <c r="L23" s="75" t="s">
        <v>4581</v>
      </c>
    </row>
    <row r="24" ht="15.0" customHeight="1">
      <c r="A24" s="73" t="s">
        <v>3945</v>
      </c>
      <c r="B24" s="73" t="s">
        <v>3935</v>
      </c>
      <c r="C24" s="73" t="s">
        <v>4582</v>
      </c>
      <c r="D24" s="73" t="s">
        <v>4583</v>
      </c>
      <c r="E24" s="74">
        <v>70000.0</v>
      </c>
      <c r="F24" s="73" t="s">
        <v>3990</v>
      </c>
      <c r="G24" s="73">
        <f t="array" ref="G24">INDEX('문의'!C:C, MATCH(C24, '문의'!D:D, 0))</f>
        <v>1063976446</v>
      </c>
      <c r="H24" s="73" t="s">
        <v>4471</v>
      </c>
      <c r="I24" s="74">
        <v>70000.0</v>
      </c>
      <c r="J24" s="75" t="s">
        <v>4584</v>
      </c>
      <c r="K24" s="76">
        <v>2.0601857901052E13</v>
      </c>
      <c r="L24" s="75" t="s">
        <v>4583</v>
      </c>
    </row>
    <row r="25" ht="15.0" customHeight="1">
      <c r="A25" s="73" t="s">
        <v>3962</v>
      </c>
      <c r="B25" s="73" t="s">
        <v>3935</v>
      </c>
      <c r="C25" s="73" t="s">
        <v>4585</v>
      </c>
      <c r="D25" s="73" t="s">
        <v>4585</v>
      </c>
      <c r="E25" s="74">
        <v>70000.0</v>
      </c>
      <c r="F25" s="73" t="s">
        <v>3941</v>
      </c>
      <c r="G25" s="73" t="s">
        <v>4586</v>
      </c>
      <c r="H25" s="73" t="s">
        <v>4471</v>
      </c>
      <c r="I25" s="74">
        <v>70000.0</v>
      </c>
      <c r="J25" s="75" t="s">
        <v>3983</v>
      </c>
      <c r="K25" s="76">
        <v>5.5004451102E10</v>
      </c>
      <c r="L25" s="75" t="s">
        <v>4587</v>
      </c>
    </row>
    <row r="26" ht="15.0" customHeight="1">
      <c r="A26" s="73" t="s">
        <v>3962</v>
      </c>
      <c r="B26" s="73" t="s">
        <v>3935</v>
      </c>
      <c r="C26" s="73" t="s">
        <v>4588</v>
      </c>
      <c r="D26" s="73" t="s">
        <v>4588</v>
      </c>
      <c r="E26" s="74">
        <v>35000.0</v>
      </c>
      <c r="F26" s="73" t="s">
        <v>3941</v>
      </c>
      <c r="G26" s="73" t="s">
        <v>4589</v>
      </c>
      <c r="H26" s="73" t="s">
        <v>4471</v>
      </c>
      <c r="I26" s="78">
        <v>35000.0</v>
      </c>
      <c r="J26" s="75" t="s">
        <v>3941</v>
      </c>
      <c r="K26" s="76">
        <v>1.002030414253E12</v>
      </c>
      <c r="L26" s="75" t="s">
        <v>4590</v>
      </c>
    </row>
    <row r="27" ht="15.0" customHeight="1">
      <c r="A27" s="73" t="s">
        <v>3931</v>
      </c>
      <c r="B27" s="73" t="s">
        <v>3935</v>
      </c>
      <c r="C27" s="73" t="s">
        <v>4591</v>
      </c>
      <c r="D27" s="73" t="s">
        <v>4591</v>
      </c>
      <c r="E27" s="74">
        <v>35000.0</v>
      </c>
      <c r="F27" s="73" t="s">
        <v>3939</v>
      </c>
      <c r="G27" s="75" t="s">
        <v>4592</v>
      </c>
      <c r="H27" s="75" t="s">
        <v>4471</v>
      </c>
      <c r="I27" s="74">
        <v>35000.0</v>
      </c>
      <c r="J27" s="75" t="s">
        <v>4558</v>
      </c>
      <c r="K27" s="76" t="s">
        <v>4593</v>
      </c>
      <c r="L27" s="75" t="s">
        <v>4594</v>
      </c>
    </row>
    <row r="28" ht="15.0" customHeight="1">
      <c r="A28" s="73" t="s">
        <v>4002</v>
      </c>
      <c r="B28" s="73" t="s">
        <v>3935</v>
      </c>
      <c r="C28" s="73" t="s">
        <v>4595</v>
      </c>
      <c r="D28" s="73" t="s">
        <v>4595</v>
      </c>
      <c r="E28" s="74">
        <v>70000.0</v>
      </c>
      <c r="F28" s="73" t="s">
        <v>3983</v>
      </c>
      <c r="G28" s="73" t="s">
        <v>4596</v>
      </c>
      <c r="H28" s="73" t="s">
        <v>4471</v>
      </c>
      <c r="I28" s="74">
        <v>70000.0</v>
      </c>
      <c r="J28" s="75" t="s">
        <v>3983</v>
      </c>
      <c r="K28" s="76">
        <v>1.10430843476E11</v>
      </c>
      <c r="L28" s="75" t="s">
        <v>1558</v>
      </c>
    </row>
    <row r="29" ht="15.0" customHeight="1">
      <c r="A29" s="73" t="s">
        <v>3938</v>
      </c>
      <c r="B29" s="73" t="s">
        <v>3935</v>
      </c>
      <c r="C29" s="73" t="s">
        <v>4597</v>
      </c>
      <c r="D29" s="73" t="s">
        <v>4598</v>
      </c>
      <c r="E29" s="74">
        <v>35000.0</v>
      </c>
      <c r="F29" s="73" t="s">
        <v>3948</v>
      </c>
      <c r="G29" s="75" t="s">
        <v>4599</v>
      </c>
      <c r="H29" s="75" t="s">
        <v>4471</v>
      </c>
      <c r="I29" s="78">
        <v>35000.0</v>
      </c>
      <c r="J29" s="75" t="s">
        <v>4529</v>
      </c>
      <c r="K29" s="76" t="s">
        <v>4600</v>
      </c>
      <c r="L29" s="75" t="s">
        <v>4598</v>
      </c>
    </row>
    <row r="30" ht="15.0" customHeight="1">
      <c r="A30" s="73" t="s">
        <v>3934</v>
      </c>
      <c r="B30" s="73" t="s">
        <v>3935</v>
      </c>
      <c r="C30" s="73" t="s">
        <v>4601</v>
      </c>
      <c r="D30" s="73" t="s">
        <v>4601</v>
      </c>
      <c r="E30" s="74">
        <v>70000.0</v>
      </c>
      <c r="F30" s="73" t="s">
        <v>3946</v>
      </c>
      <c r="G30" s="73">
        <f t="array" ref="G30">INDEX('문의'!C:C, MATCH(C30, '문의'!D:D, 0))</f>
        <v>1046261023</v>
      </c>
      <c r="H30" s="73" t="s">
        <v>4471</v>
      </c>
      <c r="I30" s="74">
        <v>70000.0</v>
      </c>
      <c r="J30" s="75" t="s">
        <v>3946</v>
      </c>
      <c r="K30" s="76" t="s">
        <v>4602</v>
      </c>
      <c r="L30" s="75" t="s">
        <v>1693</v>
      </c>
    </row>
    <row r="31" ht="15.0" customHeight="1">
      <c r="A31" s="73" t="s">
        <v>4096</v>
      </c>
      <c r="B31" s="73" t="s">
        <v>3932</v>
      </c>
      <c r="C31" s="73" t="s">
        <v>4603</v>
      </c>
      <c r="D31" s="73" t="s">
        <v>4604</v>
      </c>
      <c r="E31" s="74">
        <v>70000.0</v>
      </c>
      <c r="F31" s="73" t="s">
        <v>4605</v>
      </c>
      <c r="G31" s="75" t="s">
        <v>4606</v>
      </c>
      <c r="H31" s="75" t="s">
        <v>4471</v>
      </c>
      <c r="I31" s="74">
        <v>70000.0</v>
      </c>
      <c r="J31" s="75" t="s">
        <v>3946</v>
      </c>
      <c r="K31" s="76">
        <v>9.0491012445307E13</v>
      </c>
      <c r="L31" s="75" t="s">
        <v>4604</v>
      </c>
    </row>
    <row r="32" ht="15.0" customHeight="1">
      <c r="A32" s="73" t="s">
        <v>4383</v>
      </c>
      <c r="B32" s="73" t="s">
        <v>3935</v>
      </c>
      <c r="C32" s="73" t="s">
        <v>4607</v>
      </c>
      <c r="D32" s="73" t="s">
        <v>4607</v>
      </c>
      <c r="E32" s="77">
        <v>140000.0</v>
      </c>
      <c r="F32" s="73" t="s">
        <v>3968</v>
      </c>
      <c r="G32" s="73">
        <f t="array" ref="G32">INDEX('문의'!C:C, MATCH(C32, '문의'!D:D, 0))</f>
        <v>1066877393</v>
      </c>
      <c r="H32" s="73" t="s">
        <v>4471</v>
      </c>
      <c r="I32" s="74">
        <v>140000.0</v>
      </c>
      <c r="J32" s="75" t="s">
        <v>4608</v>
      </c>
      <c r="K32" s="76" t="s">
        <v>4609</v>
      </c>
      <c r="L32" s="75" t="s">
        <v>2161</v>
      </c>
    </row>
    <row r="33" ht="15.0" customHeight="1">
      <c r="A33" s="82" t="s">
        <v>3940</v>
      </c>
      <c r="B33" s="82" t="s">
        <v>3935</v>
      </c>
      <c r="C33" s="82" t="s">
        <v>265</v>
      </c>
      <c r="D33" s="82" t="s">
        <v>265</v>
      </c>
      <c r="E33" s="83">
        <v>35000.0</v>
      </c>
      <c r="F33" s="82" t="s">
        <v>3983</v>
      </c>
      <c r="G33" s="82"/>
      <c r="H33" s="73" t="s">
        <v>4471</v>
      </c>
      <c r="I33" s="78">
        <v>35000.0</v>
      </c>
      <c r="J33" s="78" t="s">
        <v>4610</v>
      </c>
      <c r="K33" s="78" t="s">
        <v>4611</v>
      </c>
      <c r="L33" s="78" t="s">
        <v>2012</v>
      </c>
    </row>
    <row r="34" ht="15.0" customHeight="1">
      <c r="A34" s="82" t="s">
        <v>3931</v>
      </c>
      <c r="B34" s="82" t="s">
        <v>3935</v>
      </c>
      <c r="C34" s="82" t="s">
        <v>153</v>
      </c>
      <c r="D34" s="82" t="s">
        <v>153</v>
      </c>
      <c r="E34" s="83">
        <v>35000.0</v>
      </c>
      <c r="F34" s="82" t="s">
        <v>3983</v>
      </c>
      <c r="G34" s="82"/>
      <c r="H34" s="73" t="s">
        <v>4471</v>
      </c>
      <c r="I34" s="78">
        <v>35000.0</v>
      </c>
      <c r="J34" s="78" t="s">
        <v>4610</v>
      </c>
      <c r="K34" s="78">
        <v>1.1043423696E11</v>
      </c>
      <c r="L34" s="78" t="s">
        <v>4612</v>
      </c>
    </row>
    <row r="35" ht="15.0" customHeight="1">
      <c r="A35" s="82" t="s">
        <v>4002</v>
      </c>
      <c r="B35" s="82" t="s">
        <v>3935</v>
      </c>
      <c r="C35" s="82" t="s">
        <v>976</v>
      </c>
      <c r="D35" s="82" t="s">
        <v>976</v>
      </c>
      <c r="E35" s="83">
        <v>70000.0</v>
      </c>
      <c r="F35" s="82" t="s">
        <v>3990</v>
      </c>
      <c r="G35" s="75" t="s">
        <v>4613</v>
      </c>
      <c r="H35" s="73"/>
      <c r="I35" s="78">
        <v>70000.0</v>
      </c>
      <c r="J35" s="84"/>
      <c r="K35" s="84"/>
      <c r="L35" s="84"/>
    </row>
    <row r="36" ht="15.0" customHeight="1">
      <c r="A36" s="82" t="s">
        <v>4614</v>
      </c>
      <c r="B36" s="82" t="s">
        <v>3935</v>
      </c>
      <c r="C36" s="82" t="s">
        <v>979</v>
      </c>
      <c r="D36" s="82" t="s">
        <v>979</v>
      </c>
      <c r="E36" s="83">
        <v>70000.0</v>
      </c>
      <c r="F36" s="82" t="s">
        <v>3937</v>
      </c>
      <c r="G36" s="75" t="s">
        <v>4613</v>
      </c>
      <c r="H36" s="73"/>
      <c r="I36" s="78">
        <v>70000.0</v>
      </c>
      <c r="J36" s="84"/>
      <c r="K36" s="84"/>
      <c r="L36" s="84"/>
    </row>
    <row r="37" ht="15.0" customHeight="1">
      <c r="A37" s="73" t="s">
        <v>4615</v>
      </c>
      <c r="B37" s="73" t="s">
        <v>3935</v>
      </c>
      <c r="C37" s="73" t="s">
        <v>4616</v>
      </c>
      <c r="D37" s="73" t="s">
        <v>4616</v>
      </c>
      <c r="E37" s="74">
        <v>35000.0</v>
      </c>
      <c r="F37" s="73" t="s">
        <v>3948</v>
      </c>
      <c r="G37" s="75" t="s">
        <v>4613</v>
      </c>
      <c r="H37" s="75"/>
      <c r="I37" s="74">
        <v>35000.0</v>
      </c>
      <c r="J37" s="75"/>
      <c r="K37" s="76"/>
      <c r="L37" s="75"/>
    </row>
    <row r="38" ht="15.0" customHeight="1">
      <c r="A38" s="73" t="s">
        <v>4071</v>
      </c>
      <c r="B38" s="73" t="s">
        <v>3993</v>
      </c>
      <c r="C38" s="73" t="s">
        <v>4617</v>
      </c>
      <c r="D38" s="73" t="s">
        <v>4618</v>
      </c>
      <c r="E38" s="74">
        <v>35000.0</v>
      </c>
      <c r="F38" s="73" t="s">
        <v>3948</v>
      </c>
      <c r="G38" s="75" t="s">
        <v>4613</v>
      </c>
      <c r="H38" s="75"/>
      <c r="I38" s="74">
        <v>35000.0</v>
      </c>
      <c r="J38" s="75"/>
      <c r="K38" s="76"/>
      <c r="L38" s="75"/>
    </row>
    <row r="39" ht="15.0" customHeight="1">
      <c r="A39" s="73" t="s">
        <v>3980</v>
      </c>
      <c r="B39" s="73" t="s">
        <v>3935</v>
      </c>
      <c r="C39" s="73" t="s">
        <v>4619</v>
      </c>
      <c r="D39" s="73" t="s">
        <v>4620</v>
      </c>
      <c r="E39" s="74">
        <v>70000.0</v>
      </c>
      <c r="F39" s="73" t="s">
        <v>3946</v>
      </c>
      <c r="G39" s="73" t="s">
        <v>4613</v>
      </c>
      <c r="H39" s="73"/>
      <c r="I39" s="74">
        <v>70000.0</v>
      </c>
      <c r="J39" s="75"/>
      <c r="K39" s="76"/>
      <c r="L39" s="75"/>
    </row>
    <row r="40" ht="15.0" customHeight="1">
      <c r="A40" s="73" t="s">
        <v>3942</v>
      </c>
      <c r="B40" s="73" t="s">
        <v>3943</v>
      </c>
      <c r="C40" s="73" t="s">
        <v>4621</v>
      </c>
      <c r="D40" s="73" t="s">
        <v>4621</v>
      </c>
      <c r="E40" s="74">
        <v>70000.0</v>
      </c>
      <c r="F40" s="73" t="s">
        <v>3944</v>
      </c>
      <c r="G40" s="75" t="s">
        <v>4613</v>
      </c>
      <c r="H40" s="75"/>
      <c r="I40" s="74">
        <v>70000.0</v>
      </c>
      <c r="J40" s="75"/>
      <c r="K40" s="76"/>
      <c r="L40" s="75"/>
    </row>
    <row r="41" ht="15.0" customHeight="1">
      <c r="A41" s="73" t="s">
        <v>3980</v>
      </c>
      <c r="B41" s="73" t="s">
        <v>3935</v>
      </c>
      <c r="C41" s="73"/>
      <c r="D41" s="73" t="s">
        <v>2542</v>
      </c>
      <c r="E41" s="74">
        <v>35000.0</v>
      </c>
      <c r="F41" s="73" t="s">
        <v>3948</v>
      </c>
      <c r="G41" s="75" t="s">
        <v>4613</v>
      </c>
      <c r="H41" s="75"/>
      <c r="I41" s="74">
        <v>35000.0</v>
      </c>
      <c r="J41" s="75"/>
      <c r="K41" s="76"/>
      <c r="L41" s="75"/>
    </row>
    <row r="42" ht="15.0" customHeight="1">
      <c r="A42" s="73" t="s">
        <v>3953</v>
      </c>
      <c r="B42" s="73" t="s">
        <v>3932</v>
      </c>
      <c r="C42" s="73"/>
      <c r="D42" s="73" t="s">
        <v>4622</v>
      </c>
      <c r="E42" s="74">
        <v>35000.0</v>
      </c>
      <c r="F42" s="73" t="s">
        <v>4623</v>
      </c>
      <c r="G42" s="75" t="s">
        <v>4613</v>
      </c>
      <c r="H42" s="75"/>
      <c r="I42" s="74">
        <v>35000.0</v>
      </c>
      <c r="J42" s="75"/>
      <c r="K42" s="76"/>
      <c r="L42" s="75"/>
    </row>
    <row r="43" ht="15.0" customHeight="1">
      <c r="A43" s="73" t="s">
        <v>3953</v>
      </c>
      <c r="B43" s="73" t="s">
        <v>3932</v>
      </c>
      <c r="C43" s="73" t="s">
        <v>4624</v>
      </c>
      <c r="D43" s="73" t="s">
        <v>4624</v>
      </c>
      <c r="E43" s="74">
        <v>35000.0</v>
      </c>
      <c r="F43" s="73" t="s">
        <v>4296</v>
      </c>
      <c r="G43" s="75" t="s">
        <v>4613</v>
      </c>
      <c r="H43" s="75"/>
      <c r="I43" s="74">
        <v>35000.0</v>
      </c>
      <c r="J43" s="75"/>
      <c r="K43" s="76"/>
      <c r="L43" s="75"/>
    </row>
    <row r="44" ht="15.0" customHeight="1">
      <c r="A44" s="73" t="s">
        <v>3951</v>
      </c>
      <c r="B44" s="73" t="s">
        <v>3935</v>
      </c>
      <c r="C44" s="73" t="s">
        <v>4625</v>
      </c>
      <c r="D44" s="73" t="s">
        <v>4625</v>
      </c>
      <c r="E44" s="74">
        <v>35000.0</v>
      </c>
      <c r="F44" s="73" t="s">
        <v>3941</v>
      </c>
      <c r="G44" s="75" t="s">
        <v>4613</v>
      </c>
      <c r="H44" s="75"/>
      <c r="I44" s="74">
        <v>35000.0</v>
      </c>
      <c r="J44" s="75"/>
      <c r="K44" s="76"/>
      <c r="L44" s="75"/>
    </row>
    <row r="45" ht="15.0" customHeight="1">
      <c r="A45" s="73" t="s">
        <v>4626</v>
      </c>
      <c r="B45" s="73"/>
      <c r="C45" s="73" t="s">
        <v>4627</v>
      </c>
      <c r="D45" s="73" t="s">
        <v>4627</v>
      </c>
      <c r="E45" s="74">
        <v>35000.0</v>
      </c>
      <c r="F45" s="73"/>
      <c r="G45" s="75" t="s">
        <v>4613</v>
      </c>
      <c r="H45" s="75"/>
      <c r="I45" s="74">
        <v>35000.0</v>
      </c>
      <c r="J45" s="75"/>
      <c r="K45" s="76"/>
      <c r="L45" s="75"/>
    </row>
    <row r="46" ht="15.0" customHeight="1">
      <c r="A46" s="73" t="s">
        <v>4628</v>
      </c>
      <c r="B46" s="73"/>
      <c r="C46" s="73" t="s">
        <v>4629</v>
      </c>
      <c r="D46" s="73" t="s">
        <v>4629</v>
      </c>
      <c r="E46" s="74">
        <v>35000.0</v>
      </c>
      <c r="F46" s="73"/>
      <c r="G46" s="75" t="s">
        <v>4613</v>
      </c>
      <c r="H46" s="75"/>
      <c r="I46" s="74">
        <v>35000.0</v>
      </c>
      <c r="J46" s="75"/>
      <c r="K46" s="76"/>
      <c r="L46" s="75"/>
    </row>
    <row r="47" ht="15.0" customHeight="1">
      <c r="A47" s="73" t="s">
        <v>4630</v>
      </c>
      <c r="B47" s="73"/>
      <c r="C47" s="73" t="s">
        <v>4631</v>
      </c>
      <c r="D47" s="73" t="s">
        <v>4631</v>
      </c>
      <c r="E47" s="74">
        <v>35000.0</v>
      </c>
      <c r="F47" s="73"/>
      <c r="G47" s="75" t="s">
        <v>4613</v>
      </c>
      <c r="H47" s="75"/>
      <c r="I47" s="74">
        <v>35000.0</v>
      </c>
      <c r="J47" s="75"/>
      <c r="K47" s="76"/>
      <c r="L47" s="75"/>
    </row>
    <row r="48" ht="15.0" customHeight="1">
      <c r="A48" s="73"/>
      <c r="B48" s="73"/>
      <c r="C48" s="73" t="s">
        <v>4632</v>
      </c>
      <c r="D48" s="73" t="s">
        <v>4632</v>
      </c>
      <c r="E48" s="74">
        <v>35000.0</v>
      </c>
      <c r="F48" s="73"/>
      <c r="G48" s="75" t="s">
        <v>4613</v>
      </c>
      <c r="H48" s="75"/>
      <c r="I48" s="74">
        <v>35000.0</v>
      </c>
      <c r="J48" s="75"/>
      <c r="K48" s="76"/>
      <c r="L48" s="75"/>
    </row>
    <row r="49" ht="15.0" customHeight="1">
      <c r="A49" s="73"/>
      <c r="B49" s="73"/>
      <c r="C49" s="73" t="s">
        <v>956</v>
      </c>
      <c r="D49" s="73" t="s">
        <v>956</v>
      </c>
      <c r="E49" s="74">
        <v>70000.0</v>
      </c>
      <c r="F49" s="73"/>
      <c r="G49" s="75" t="s">
        <v>4613</v>
      </c>
      <c r="H49" s="75"/>
      <c r="I49" s="74">
        <v>70000.0</v>
      </c>
      <c r="J49" s="75"/>
      <c r="K49" s="76"/>
      <c r="L49" s="75"/>
    </row>
    <row r="50" ht="15.0" customHeight="1">
      <c r="A50" s="73"/>
      <c r="B50" s="73"/>
      <c r="C50" s="85" t="s">
        <v>4633</v>
      </c>
      <c r="D50" s="85" t="s">
        <v>4633</v>
      </c>
      <c r="E50" s="77">
        <v>35000.0</v>
      </c>
      <c r="F50" s="73"/>
      <c r="G50" s="75" t="s">
        <v>4613</v>
      </c>
      <c r="H50" s="80" t="s">
        <v>4634</v>
      </c>
      <c r="I50" s="77">
        <v>35000.0</v>
      </c>
      <c r="J50" s="75"/>
      <c r="K50" s="76"/>
      <c r="L50" s="75"/>
    </row>
  </sheetData>
  <autoFilter ref="$A$1:$L$50">
    <sortState ref="A1:L50">
      <sortCondition descending="1" ref="H1:H50"/>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17.63"/>
    <col customWidth="1" min="3" max="3" width="17.25"/>
    <col customWidth="1" min="4" max="4" width="12.25"/>
    <col customWidth="1" min="5" max="5" width="14.75"/>
    <col customWidth="1" min="6" max="6" width="7.88"/>
    <col customWidth="1" min="7" max="7" width="11.13"/>
    <col customWidth="1" min="8" max="9" width="14.0"/>
    <col customWidth="1" min="10" max="10" width="9.25"/>
    <col customWidth="1" min="11" max="11" width="14.75"/>
    <col customWidth="1" min="12" max="19" width="9.25"/>
  </cols>
  <sheetData>
    <row r="1">
      <c r="A1" s="3" t="s">
        <v>982</v>
      </c>
      <c r="B1" s="3" t="s">
        <v>983</v>
      </c>
      <c r="C1" s="3" t="s">
        <v>984</v>
      </c>
      <c r="D1" s="3" t="s">
        <v>985</v>
      </c>
      <c r="E1" s="3" t="s">
        <v>986</v>
      </c>
      <c r="F1" s="3" t="s">
        <v>987</v>
      </c>
      <c r="G1" s="3" t="s">
        <v>988</v>
      </c>
      <c r="H1" s="3" t="s">
        <v>989</v>
      </c>
      <c r="I1" s="3" t="s">
        <v>990</v>
      </c>
      <c r="J1" s="3" t="s">
        <v>4635</v>
      </c>
      <c r="K1" s="4" t="s">
        <v>991</v>
      </c>
      <c r="L1" s="4" t="s">
        <v>3926</v>
      </c>
      <c r="M1" s="3" t="s">
        <v>4636</v>
      </c>
      <c r="N1" s="3" t="s">
        <v>4637</v>
      </c>
      <c r="O1" s="3" t="s">
        <v>3921</v>
      </c>
      <c r="P1" s="3" t="s">
        <v>3922</v>
      </c>
      <c r="Q1" s="3"/>
      <c r="R1" s="3"/>
      <c r="S1" s="3"/>
    </row>
    <row r="2">
      <c r="A2" s="5">
        <v>1246.0</v>
      </c>
      <c r="B2" s="3" t="s">
        <v>2746</v>
      </c>
      <c r="C2" s="3" t="s">
        <v>4638</v>
      </c>
      <c r="D2" s="3" t="s">
        <v>4639</v>
      </c>
      <c r="E2" s="3">
        <v>911124.0</v>
      </c>
      <c r="F2" s="5">
        <v>2.0</v>
      </c>
      <c r="G2" s="3" t="s">
        <v>1021</v>
      </c>
      <c r="H2" s="3" t="s">
        <v>1021</v>
      </c>
      <c r="I2" s="3" t="s">
        <v>1021</v>
      </c>
      <c r="J2" s="3" t="s">
        <v>4640</v>
      </c>
      <c r="K2" s="4" t="str">
        <f t="shared" ref="K2:K81" si="1">concatenate(C2,right(D2,4))</f>
        <v>이건로9060</v>
      </c>
      <c r="L2" s="4" t="e">
        <v>#N/A</v>
      </c>
      <c r="M2" s="3" t="str">
        <f>if(vlookup(K2,'1.신청입금매칭표'!C:C,1,false)="","","정상")</f>
        <v>#N/A</v>
      </c>
      <c r="N2" s="3"/>
      <c r="O2" s="3"/>
      <c r="P2" s="3"/>
      <c r="Q2" s="3"/>
      <c r="R2" s="3"/>
      <c r="S2" s="3"/>
    </row>
    <row r="3">
      <c r="A3" s="5">
        <v>1233.0</v>
      </c>
      <c r="B3" s="3" t="s">
        <v>1209</v>
      </c>
      <c r="C3" s="3" t="s">
        <v>4641</v>
      </c>
      <c r="D3" s="3" t="s">
        <v>4642</v>
      </c>
      <c r="E3" s="3">
        <v>670922.0</v>
      </c>
      <c r="F3" s="5">
        <v>2.0</v>
      </c>
      <c r="G3" s="3" t="s">
        <v>1021</v>
      </c>
      <c r="H3" s="3" t="s">
        <v>1021</v>
      </c>
      <c r="I3" s="3" t="s">
        <v>1021</v>
      </c>
      <c r="J3" s="3" t="s">
        <v>4640</v>
      </c>
      <c r="K3" s="4" t="str">
        <f t="shared" si="1"/>
        <v>정선화4541</v>
      </c>
      <c r="L3" s="4" t="e">
        <v>#N/A</v>
      </c>
      <c r="M3" s="3" t="str">
        <f>if(vlookup(K3,'1.신청입금매칭표'!C:C,1,false)="","","정상")</f>
        <v>#N/A</v>
      </c>
      <c r="N3" s="3"/>
      <c r="O3" s="3"/>
      <c r="P3" s="3"/>
      <c r="Q3" s="3"/>
      <c r="R3" s="3"/>
      <c r="S3" s="3"/>
    </row>
    <row r="4">
      <c r="A4" s="5">
        <v>1240.0</v>
      </c>
      <c r="B4" s="3" t="s">
        <v>1209</v>
      </c>
      <c r="C4" s="3" t="s">
        <v>1002</v>
      </c>
      <c r="D4" s="3" t="s">
        <v>1005</v>
      </c>
      <c r="E4" s="3">
        <v>630403.0</v>
      </c>
      <c r="F4" s="5">
        <v>2.0</v>
      </c>
      <c r="G4" s="3" t="s">
        <v>1021</v>
      </c>
      <c r="H4" s="3" t="s">
        <v>1021</v>
      </c>
      <c r="I4" s="3" t="s">
        <v>1021</v>
      </c>
      <c r="J4" s="3" t="s">
        <v>4640</v>
      </c>
      <c r="K4" s="4" t="str">
        <f t="shared" si="1"/>
        <v>최원현5125</v>
      </c>
      <c r="L4" s="4" t="e">
        <v>#N/A</v>
      </c>
      <c r="M4" s="3" t="str">
        <f>if(vlookup(K4,'1.신청입금매칭표'!C:C,1,false)="","","정상")</f>
        <v>#N/A</v>
      </c>
      <c r="N4" s="3"/>
      <c r="O4" s="3"/>
      <c r="P4" s="3"/>
      <c r="Q4" s="3"/>
      <c r="R4" s="3"/>
      <c r="S4" s="3"/>
    </row>
    <row r="5">
      <c r="A5" s="5">
        <v>1241.0</v>
      </c>
      <c r="B5" s="3" t="s">
        <v>1209</v>
      </c>
      <c r="C5" s="3" t="s">
        <v>1432</v>
      </c>
      <c r="D5" s="3" t="s">
        <v>4643</v>
      </c>
      <c r="E5" s="3">
        <v>580427.0</v>
      </c>
      <c r="F5" s="5">
        <v>2.0</v>
      </c>
      <c r="G5" s="3" t="s">
        <v>1021</v>
      </c>
      <c r="H5" s="3" t="s">
        <v>1021</v>
      </c>
      <c r="I5" s="3" t="s">
        <v>1021</v>
      </c>
      <c r="J5" s="3" t="s">
        <v>4640</v>
      </c>
      <c r="K5" s="4" t="str">
        <f t="shared" si="1"/>
        <v>최영숙0427</v>
      </c>
      <c r="L5" s="4" t="e">
        <v>#N/A</v>
      </c>
      <c r="M5" s="3" t="str">
        <f>if(vlookup(K5,'1.신청입금매칭표'!C:C,1,false)="","","정상")</f>
        <v>#N/A</v>
      </c>
      <c r="N5" s="3"/>
      <c r="O5" s="3"/>
      <c r="P5" s="3"/>
      <c r="Q5" s="3"/>
      <c r="R5" s="3"/>
      <c r="S5" s="3"/>
    </row>
    <row r="6">
      <c r="A6" s="5">
        <v>1208.0</v>
      </c>
      <c r="B6" s="3" t="s">
        <v>1454</v>
      </c>
      <c r="C6" s="3" t="s">
        <v>4644</v>
      </c>
      <c r="D6" s="3" t="s">
        <v>4645</v>
      </c>
      <c r="E6" s="3">
        <v>540518.0</v>
      </c>
      <c r="F6" s="5">
        <v>2.0</v>
      </c>
      <c r="G6" s="3" t="s">
        <v>1021</v>
      </c>
      <c r="H6" s="3" t="s">
        <v>1021</v>
      </c>
      <c r="I6" s="3" t="s">
        <v>1021</v>
      </c>
      <c r="J6" s="3" t="s">
        <v>4640</v>
      </c>
      <c r="K6" s="4" t="str">
        <f t="shared" si="1"/>
        <v>문춘옥3207</v>
      </c>
      <c r="L6" s="4" t="e">
        <v>#N/A</v>
      </c>
      <c r="M6" s="3" t="str">
        <f>if(vlookup(K6,'1.신청입금매칭표'!C:C,1,false)="","","정상")</f>
        <v>#N/A</v>
      </c>
      <c r="N6" s="3"/>
      <c r="O6" s="3"/>
      <c r="P6" s="3"/>
      <c r="Q6" s="3"/>
      <c r="R6" s="3"/>
      <c r="S6" s="3"/>
    </row>
    <row r="7">
      <c r="A7" s="5">
        <v>1201.0</v>
      </c>
      <c r="B7" s="3" t="s">
        <v>2927</v>
      </c>
      <c r="C7" s="3" t="s">
        <v>4646</v>
      </c>
      <c r="D7" s="3" t="s">
        <v>4647</v>
      </c>
      <c r="E7" s="3">
        <v>920202.0</v>
      </c>
      <c r="F7" s="5">
        <v>2.0</v>
      </c>
      <c r="G7" s="3" t="s">
        <v>1021</v>
      </c>
      <c r="H7" s="3" t="s">
        <v>1021</v>
      </c>
      <c r="I7" s="3" t="s">
        <v>1021</v>
      </c>
      <c r="J7" s="3" t="s">
        <v>4640</v>
      </c>
      <c r="K7" s="4" t="str">
        <f t="shared" si="1"/>
        <v>오지수1444</v>
      </c>
      <c r="L7" s="4" t="e">
        <v>#N/A</v>
      </c>
      <c r="M7" s="3" t="str">
        <f>if(vlookup(K7,'1.신청입금매칭표'!C:C,1,false)="","","정상")</f>
        <v>#N/A</v>
      </c>
      <c r="N7" s="3"/>
      <c r="O7" s="3"/>
      <c r="P7" s="3"/>
      <c r="Q7" s="3"/>
      <c r="R7" s="3"/>
      <c r="S7" s="3"/>
    </row>
    <row r="8">
      <c r="A8" s="5">
        <v>1173.0</v>
      </c>
      <c r="B8" s="3" t="s">
        <v>1471</v>
      </c>
      <c r="C8" s="3" t="s">
        <v>1482</v>
      </c>
      <c r="D8" s="3" t="s">
        <v>4648</v>
      </c>
      <c r="E8" s="3">
        <v>801126.0</v>
      </c>
      <c r="F8" s="5">
        <v>1.0</v>
      </c>
      <c r="G8" s="3" t="s">
        <v>1021</v>
      </c>
      <c r="H8" s="3" t="s">
        <v>1021</v>
      </c>
      <c r="I8" s="3" t="s">
        <v>1021</v>
      </c>
      <c r="J8" s="3" t="s">
        <v>4640</v>
      </c>
      <c r="K8" s="4" t="str">
        <f t="shared" si="1"/>
        <v>채정희9327</v>
      </c>
      <c r="L8" s="4" t="e">
        <v>#N/A</v>
      </c>
      <c r="M8" s="3" t="str">
        <f>if(vlookup(K8,'1.신청입금매칭표'!C:C,1,false)="","","정상")</f>
        <v>#N/A</v>
      </c>
      <c r="N8" s="3"/>
      <c r="O8" s="3"/>
      <c r="P8" s="3"/>
      <c r="Q8" s="3"/>
      <c r="R8" s="3"/>
      <c r="S8" s="3"/>
    </row>
    <row r="9">
      <c r="A9" s="5">
        <v>1186.0</v>
      </c>
      <c r="B9" s="3" t="s">
        <v>1471</v>
      </c>
      <c r="C9" s="3" t="s">
        <v>4649</v>
      </c>
      <c r="D9" s="3" t="s">
        <v>4650</v>
      </c>
      <c r="E9" s="3">
        <v>550128.0</v>
      </c>
      <c r="F9" s="5">
        <v>1.0</v>
      </c>
      <c r="G9" s="3" t="s">
        <v>1021</v>
      </c>
      <c r="H9" s="3" t="s">
        <v>1021</v>
      </c>
      <c r="I9" s="3" t="s">
        <v>1021</v>
      </c>
      <c r="J9" s="3" t="s">
        <v>4640</v>
      </c>
      <c r="K9" s="4" t="str">
        <f t="shared" si="1"/>
        <v>박계숙5220</v>
      </c>
      <c r="L9" s="4" t="e">
        <v>#N/A</v>
      </c>
      <c r="M9" s="3" t="str">
        <f>if(vlookup(K9,'1.신청입금매칭표'!C:C,1,false)="","","정상")</f>
        <v>#N/A</v>
      </c>
      <c r="N9" s="3"/>
      <c r="O9" s="3"/>
      <c r="P9" s="3"/>
      <c r="Q9" s="3"/>
      <c r="R9" s="3"/>
      <c r="S9" s="3"/>
    </row>
    <row r="10">
      <c r="A10" s="5">
        <v>1167.0</v>
      </c>
      <c r="B10" s="3" t="s">
        <v>1501</v>
      </c>
      <c r="C10" s="3" t="s">
        <v>1709</v>
      </c>
      <c r="D10" s="3" t="s">
        <v>4651</v>
      </c>
      <c r="E10" s="3">
        <v>691001.0</v>
      </c>
      <c r="F10" s="5">
        <v>1.0</v>
      </c>
      <c r="G10" s="3" t="s">
        <v>1021</v>
      </c>
      <c r="H10" s="3" t="s">
        <v>1021</v>
      </c>
      <c r="I10" s="3" t="s">
        <v>1021</v>
      </c>
      <c r="J10" s="3" t="s">
        <v>4640</v>
      </c>
      <c r="K10" s="4" t="str">
        <f t="shared" si="1"/>
        <v>이미화7853</v>
      </c>
      <c r="L10" s="4" t="e">
        <v>#N/A</v>
      </c>
      <c r="M10" s="3" t="str">
        <f>if(vlookup(K10,'1.신청입금매칭표'!C:C,1,false)="","","정상")</f>
        <v>#N/A</v>
      </c>
      <c r="N10" s="3"/>
      <c r="O10" s="3"/>
      <c r="P10" s="3"/>
      <c r="Q10" s="3"/>
      <c r="R10" s="3"/>
      <c r="S10" s="3"/>
    </row>
    <row r="11">
      <c r="A11" s="5">
        <v>1155.0</v>
      </c>
      <c r="B11" s="3" t="s">
        <v>1165</v>
      </c>
      <c r="C11" s="3" t="s">
        <v>4652</v>
      </c>
      <c r="D11" s="3" t="s">
        <v>4653</v>
      </c>
      <c r="E11" s="3">
        <v>600910.0</v>
      </c>
      <c r="F11" s="5">
        <v>1.0</v>
      </c>
      <c r="G11" s="3" t="s">
        <v>1021</v>
      </c>
      <c r="H11" s="3" t="s">
        <v>1021</v>
      </c>
      <c r="I11" s="3" t="s">
        <v>1021</v>
      </c>
      <c r="J11" s="3" t="s">
        <v>4640</v>
      </c>
      <c r="K11" s="4" t="str">
        <f t="shared" si="1"/>
        <v>이종훈9333</v>
      </c>
      <c r="L11" s="4" t="e">
        <v>#N/A</v>
      </c>
      <c r="M11" s="3" t="str">
        <f>if(vlookup(K11,'1.신청입금매칭표'!C:C,1,false)="","","정상")</f>
        <v>#N/A</v>
      </c>
      <c r="N11" s="3"/>
      <c r="O11" s="3"/>
      <c r="P11" s="3"/>
      <c r="Q11" s="3"/>
      <c r="R11" s="3"/>
      <c r="S11" s="3"/>
    </row>
    <row r="12">
      <c r="A12" s="5">
        <v>1136.0</v>
      </c>
      <c r="B12" s="3" t="s">
        <v>2053</v>
      </c>
      <c r="C12" s="3" t="s">
        <v>4654</v>
      </c>
      <c r="D12" s="3" t="s">
        <v>4655</v>
      </c>
      <c r="E12" s="3">
        <v>730923.0</v>
      </c>
      <c r="F12" s="5">
        <v>1.0</v>
      </c>
      <c r="G12" s="3" t="s">
        <v>1021</v>
      </c>
      <c r="H12" s="3" t="s">
        <v>1021</v>
      </c>
      <c r="I12" s="3" t="s">
        <v>1021</v>
      </c>
      <c r="J12" s="3" t="s">
        <v>4640</v>
      </c>
      <c r="K12" s="4" t="str">
        <f t="shared" si="1"/>
        <v>이수향2173</v>
      </c>
      <c r="L12" s="4" t="e">
        <v>#N/A</v>
      </c>
      <c r="M12" s="3" t="str">
        <f>if(vlookup(K12,'1.신청입금매칭표'!C:C,1,false)="","","정상")</f>
        <v>#N/A</v>
      </c>
      <c r="N12" s="3"/>
      <c r="O12" s="3"/>
      <c r="P12" s="3"/>
      <c r="Q12" s="3"/>
      <c r="R12" s="3"/>
      <c r="S12" s="3"/>
    </row>
    <row r="13">
      <c r="A13" s="5">
        <v>1090.0</v>
      </c>
      <c r="B13" s="3" t="s">
        <v>1137</v>
      </c>
      <c r="C13" s="3" t="s">
        <v>3158</v>
      </c>
      <c r="D13" s="3" t="s">
        <v>4656</v>
      </c>
      <c r="E13" s="3">
        <v>701010.0</v>
      </c>
      <c r="F13" s="5">
        <v>1.0</v>
      </c>
      <c r="G13" s="3" t="s">
        <v>1021</v>
      </c>
      <c r="H13" s="3" t="s">
        <v>1021</v>
      </c>
      <c r="I13" s="3" t="s">
        <v>1021</v>
      </c>
      <c r="J13" s="3" t="s">
        <v>4640</v>
      </c>
      <c r="K13" s="4" t="str">
        <f t="shared" si="1"/>
        <v>김현숙7037</v>
      </c>
      <c r="L13" s="4" t="e">
        <v>#N/A</v>
      </c>
      <c r="M13" s="3" t="str">
        <f>if(vlookup(K13,'1.신청입금매칭표'!C:C,1,false)="","","정상")</f>
        <v>#N/A</v>
      </c>
      <c r="N13" s="3"/>
      <c r="O13" s="3"/>
      <c r="P13" s="3"/>
      <c r="Q13" s="3"/>
      <c r="R13" s="3"/>
      <c r="S13" s="3"/>
    </row>
    <row r="14">
      <c r="A14" s="5">
        <v>1096.0</v>
      </c>
      <c r="B14" s="3" t="s">
        <v>1137</v>
      </c>
      <c r="C14" s="3" t="s">
        <v>4657</v>
      </c>
      <c r="D14" s="3" t="s">
        <v>4658</v>
      </c>
      <c r="E14" s="3">
        <v>570416.0</v>
      </c>
      <c r="F14" s="5">
        <v>2.0</v>
      </c>
      <c r="G14" s="3" t="s">
        <v>1021</v>
      </c>
      <c r="H14" s="3" t="s">
        <v>1021</v>
      </c>
      <c r="I14" s="3" t="s">
        <v>1021</v>
      </c>
      <c r="J14" s="3" t="s">
        <v>4640</v>
      </c>
      <c r="K14" s="4" t="str">
        <f t="shared" si="1"/>
        <v>박영순5763</v>
      </c>
      <c r="L14" s="4" t="e">
        <v>#N/A</v>
      </c>
      <c r="M14" s="3" t="str">
        <f>if(vlookup(K14,'1.신청입금매칭표'!C:C,1,false)="","","정상")</f>
        <v>#N/A</v>
      </c>
      <c r="N14" s="3"/>
      <c r="O14" s="3"/>
      <c r="P14" s="3"/>
      <c r="Q14" s="3"/>
      <c r="R14" s="3"/>
      <c r="S14" s="3"/>
    </row>
    <row r="15">
      <c r="A15" s="5">
        <v>1087.0</v>
      </c>
      <c r="B15" s="3" t="s">
        <v>1076</v>
      </c>
      <c r="C15" s="3" t="s">
        <v>4659</v>
      </c>
      <c r="D15" s="3" t="s">
        <v>4660</v>
      </c>
      <c r="E15" s="3">
        <v>560912.0</v>
      </c>
      <c r="F15" s="5">
        <v>1.0</v>
      </c>
      <c r="G15" s="3" t="s">
        <v>1021</v>
      </c>
      <c r="H15" s="3" t="s">
        <v>1021</v>
      </c>
      <c r="I15" s="3" t="s">
        <v>1021</v>
      </c>
      <c r="J15" s="3" t="s">
        <v>4640</v>
      </c>
      <c r="K15" s="4" t="str">
        <f t="shared" si="1"/>
        <v>변종순8537</v>
      </c>
      <c r="L15" s="4" t="e">
        <v>#N/A</v>
      </c>
      <c r="M15" s="3" t="str">
        <f>if(vlookup(K15,'1.신청입금매칭표'!C:C,1,false)="","","정상")</f>
        <v>#N/A</v>
      </c>
      <c r="N15" s="3"/>
      <c r="O15" s="3"/>
      <c r="P15" s="3"/>
      <c r="Q15" s="3"/>
      <c r="R15" s="3"/>
      <c r="S15" s="3"/>
    </row>
    <row r="16">
      <c r="A16" s="5">
        <v>1049.0</v>
      </c>
      <c r="B16" s="3" t="s">
        <v>1047</v>
      </c>
      <c r="C16" s="3" t="s">
        <v>4661</v>
      </c>
      <c r="D16" s="3" t="s">
        <v>4662</v>
      </c>
      <c r="E16" s="3">
        <v>691004.0</v>
      </c>
      <c r="F16" s="5">
        <v>1.0</v>
      </c>
      <c r="G16" s="3" t="s">
        <v>1021</v>
      </c>
      <c r="H16" s="3" t="s">
        <v>1021</v>
      </c>
      <c r="I16" s="3" t="s">
        <v>1021</v>
      </c>
      <c r="J16" s="3" t="s">
        <v>4640</v>
      </c>
      <c r="K16" s="4" t="str">
        <f t="shared" si="1"/>
        <v>황은진4253</v>
      </c>
      <c r="L16" s="4" t="e">
        <v>#N/A</v>
      </c>
      <c r="M16" s="3" t="str">
        <f>if(vlookup(K16,'1.신청입금매칭표'!C:C,1,false)="","","정상")</f>
        <v>#N/A</v>
      </c>
      <c r="N16" s="3"/>
      <c r="O16" s="3"/>
      <c r="P16" s="3"/>
      <c r="Q16" s="3"/>
      <c r="R16" s="3"/>
      <c r="S16" s="3"/>
    </row>
    <row r="17">
      <c r="A17" s="5">
        <v>1061.0</v>
      </c>
      <c r="B17" s="3" t="s">
        <v>1047</v>
      </c>
      <c r="C17" s="3" t="s">
        <v>3101</v>
      </c>
      <c r="D17" s="3" t="s">
        <v>4663</v>
      </c>
      <c r="E17" s="3">
        <v>481205.0</v>
      </c>
      <c r="F17" s="5">
        <v>1.0</v>
      </c>
      <c r="G17" s="3" t="s">
        <v>1021</v>
      </c>
      <c r="H17" s="3" t="s">
        <v>1021</v>
      </c>
      <c r="I17" s="3" t="s">
        <v>1021</v>
      </c>
      <c r="J17" s="3" t="s">
        <v>4640</v>
      </c>
      <c r="K17" s="4" t="str">
        <f t="shared" si="1"/>
        <v>김영규1581</v>
      </c>
      <c r="L17" s="4" t="e">
        <v>#N/A</v>
      </c>
      <c r="M17" s="3" t="str">
        <f>if(vlookup(K17,'1.신청입금매칭표'!C:C,1,false)="","","정상")</f>
        <v>#N/A</v>
      </c>
      <c r="N17" s="3"/>
      <c r="O17" s="3"/>
      <c r="P17" s="3"/>
      <c r="Q17" s="3"/>
      <c r="R17" s="3"/>
      <c r="S17" s="3"/>
    </row>
    <row r="18">
      <c r="A18" s="5">
        <v>1007.0</v>
      </c>
      <c r="B18" s="3" t="s">
        <v>1269</v>
      </c>
      <c r="C18" s="3" t="s">
        <v>1821</v>
      </c>
      <c r="D18" s="3" t="s">
        <v>4664</v>
      </c>
      <c r="E18" s="3">
        <v>740927.0</v>
      </c>
      <c r="F18" s="5">
        <v>1.0</v>
      </c>
      <c r="G18" s="3" t="s">
        <v>1021</v>
      </c>
      <c r="H18" s="3" t="s">
        <v>1021</v>
      </c>
      <c r="I18" s="3" t="s">
        <v>1021</v>
      </c>
      <c r="J18" s="3" t="s">
        <v>4640</v>
      </c>
      <c r="K18" s="4" t="str">
        <f t="shared" si="1"/>
        <v>이경옥6344</v>
      </c>
      <c r="L18" s="4" t="e">
        <v>#N/A</v>
      </c>
      <c r="M18" s="3" t="str">
        <f>if(vlookup(K18,'1.신청입금매칭표'!C:C,1,false)="","","정상")</f>
        <v>#N/A</v>
      </c>
      <c r="N18" s="3"/>
      <c r="O18" s="3"/>
      <c r="P18" s="3"/>
      <c r="Q18" s="3"/>
      <c r="R18" s="3"/>
      <c r="S18" s="3"/>
    </row>
    <row r="19">
      <c r="A19" s="5">
        <v>1015.0</v>
      </c>
      <c r="B19" s="3" t="s">
        <v>1269</v>
      </c>
      <c r="C19" s="3" t="s">
        <v>4665</v>
      </c>
      <c r="D19" s="3" t="s">
        <v>4666</v>
      </c>
      <c r="E19" s="3">
        <v>720115.0</v>
      </c>
      <c r="F19" s="5">
        <v>1.0</v>
      </c>
      <c r="G19" s="3" t="s">
        <v>1021</v>
      </c>
      <c r="H19" s="3" t="s">
        <v>1021</v>
      </c>
      <c r="I19" s="3" t="s">
        <v>1021</v>
      </c>
      <c r="J19" s="3" t="s">
        <v>4640</v>
      </c>
      <c r="K19" s="4" t="str">
        <f t="shared" si="1"/>
        <v>박옥선3527</v>
      </c>
      <c r="L19" s="4" t="e">
        <v>#N/A</v>
      </c>
      <c r="M19" s="3" t="str">
        <f>if(vlookup(K19,'1.신청입금매칭표'!C:C,1,false)="","","정상")</f>
        <v>#N/A</v>
      </c>
      <c r="N19" s="3"/>
      <c r="O19" s="3"/>
      <c r="P19" s="3"/>
      <c r="Q19" s="3"/>
      <c r="R19" s="3"/>
      <c r="S19" s="3"/>
    </row>
    <row r="20">
      <c r="A20" s="5">
        <v>1002.0</v>
      </c>
      <c r="B20" s="3" t="s">
        <v>1022</v>
      </c>
      <c r="C20" s="3" t="s">
        <v>4667</v>
      </c>
      <c r="D20" s="3" t="s">
        <v>4668</v>
      </c>
      <c r="E20" s="3">
        <v>720319.0</v>
      </c>
      <c r="F20" s="5">
        <v>1.0</v>
      </c>
      <c r="G20" s="3" t="s">
        <v>1021</v>
      </c>
      <c r="H20" s="3" t="s">
        <v>1021</v>
      </c>
      <c r="I20" s="3" t="s">
        <v>1021</v>
      </c>
      <c r="J20" s="3" t="s">
        <v>4640</v>
      </c>
      <c r="K20" s="4" t="str">
        <f t="shared" si="1"/>
        <v>이정영1238</v>
      </c>
      <c r="L20" s="4" t="e">
        <v>#N/A</v>
      </c>
      <c r="M20" s="3" t="str">
        <f>if(vlookup(K20,'1.신청입금매칭표'!C:C,1,false)="","","정상")</f>
        <v>#N/A</v>
      </c>
      <c r="N20" s="3"/>
      <c r="O20" s="3"/>
      <c r="P20" s="3"/>
      <c r="Q20" s="3"/>
      <c r="R20" s="3"/>
      <c r="S20" s="3"/>
    </row>
    <row r="21">
      <c r="A21" s="5">
        <v>1004.0</v>
      </c>
      <c r="B21" s="3" t="s">
        <v>1022</v>
      </c>
      <c r="C21" s="3" t="s">
        <v>4669</v>
      </c>
      <c r="D21" s="3" t="s">
        <v>4670</v>
      </c>
      <c r="E21" s="3">
        <v>650828.0</v>
      </c>
      <c r="F21" s="5">
        <v>2.0</v>
      </c>
      <c r="G21" s="3" t="s">
        <v>1021</v>
      </c>
      <c r="H21" s="3" t="s">
        <v>1021</v>
      </c>
      <c r="I21" s="3" t="s">
        <v>1021</v>
      </c>
      <c r="J21" s="3" t="s">
        <v>4640</v>
      </c>
      <c r="K21" s="4" t="str">
        <f t="shared" si="1"/>
        <v>안현주1388</v>
      </c>
      <c r="L21" s="4" t="e">
        <v>#N/A</v>
      </c>
      <c r="M21" s="3" t="str">
        <f>if(vlookup(K21,'1.신청입금매칭표'!C:C,1,false)="","","정상")</f>
        <v>#N/A</v>
      </c>
      <c r="N21" s="3"/>
      <c r="O21" s="3"/>
      <c r="P21" s="3"/>
      <c r="Q21" s="3"/>
      <c r="R21" s="3"/>
      <c r="S21" s="3"/>
    </row>
    <row r="22">
      <c r="A22" s="5">
        <v>970.0</v>
      </c>
      <c r="B22" s="3" t="s">
        <v>1547</v>
      </c>
      <c r="C22" s="3" t="s">
        <v>4671</v>
      </c>
      <c r="D22" s="3" t="s">
        <v>4672</v>
      </c>
      <c r="E22" s="3">
        <v>520924.0</v>
      </c>
      <c r="F22" s="5">
        <v>1.0</v>
      </c>
      <c r="G22" s="3" t="s">
        <v>1021</v>
      </c>
      <c r="H22" s="3" t="s">
        <v>1021</v>
      </c>
      <c r="I22" s="3" t="s">
        <v>1021</v>
      </c>
      <c r="J22" s="3" t="s">
        <v>4640</v>
      </c>
      <c r="K22" s="4" t="str">
        <f t="shared" si="1"/>
        <v>이종순1680</v>
      </c>
      <c r="L22" s="4" t="e">
        <v>#N/A</v>
      </c>
      <c r="M22" s="3" t="str">
        <f>if(vlookup(K22,'1.신청입금매칭표'!C:C,1,false)="","","정상")</f>
        <v>#N/A</v>
      </c>
      <c r="N22" s="3"/>
      <c r="O22" s="3"/>
      <c r="P22" s="3"/>
      <c r="Q22" s="3"/>
      <c r="R22" s="3"/>
      <c r="S22" s="3"/>
    </row>
    <row r="23">
      <c r="A23" s="5">
        <v>953.0</v>
      </c>
      <c r="B23" s="3" t="s">
        <v>1631</v>
      </c>
      <c r="C23" s="3" t="s">
        <v>4673</v>
      </c>
      <c r="D23" s="3" t="s">
        <v>4674</v>
      </c>
      <c r="E23" s="3">
        <v>620118.0</v>
      </c>
      <c r="F23" s="5">
        <v>2.0</v>
      </c>
      <c r="G23" s="3" t="s">
        <v>1021</v>
      </c>
      <c r="H23" s="3" t="s">
        <v>1021</v>
      </c>
      <c r="I23" s="3" t="s">
        <v>1021</v>
      </c>
      <c r="J23" s="3" t="s">
        <v>4640</v>
      </c>
      <c r="K23" s="4" t="str">
        <f t="shared" si="1"/>
        <v>진현국2312</v>
      </c>
      <c r="L23" s="4" t="e">
        <v>#N/A</v>
      </c>
      <c r="M23" s="3" t="str">
        <f>if(vlookup(K23,'1.신청입금매칭표'!C:C,1,false)="","","정상")</f>
        <v>#N/A</v>
      </c>
      <c r="N23" s="3"/>
      <c r="O23" s="3"/>
      <c r="P23" s="3"/>
      <c r="Q23" s="3"/>
      <c r="R23" s="3"/>
      <c r="S23" s="3"/>
    </row>
    <row r="24">
      <c r="A24" s="5">
        <v>916.0</v>
      </c>
      <c r="B24" s="3" t="s">
        <v>1001</v>
      </c>
      <c r="C24" s="3" t="s">
        <v>4675</v>
      </c>
      <c r="D24" s="3" t="s">
        <v>4676</v>
      </c>
      <c r="E24" s="3">
        <v>810601.0</v>
      </c>
      <c r="F24" s="5">
        <v>1.0</v>
      </c>
      <c r="G24" s="3" t="s">
        <v>1021</v>
      </c>
      <c r="H24" s="3" t="s">
        <v>1021</v>
      </c>
      <c r="I24" s="3" t="s">
        <v>1021</v>
      </c>
      <c r="J24" s="3" t="s">
        <v>4640</v>
      </c>
      <c r="K24" s="4" t="str">
        <f t="shared" si="1"/>
        <v>윤형국9713</v>
      </c>
      <c r="L24" s="4" t="e">
        <v>#N/A</v>
      </c>
      <c r="M24" s="3" t="str">
        <f>if(vlookup(K24,'1.신청입금매칭표'!C:C,1,false)="","","정상")</f>
        <v>#N/A</v>
      </c>
      <c r="N24" s="3"/>
      <c r="O24" s="3"/>
      <c r="P24" s="3"/>
      <c r="Q24" s="3"/>
      <c r="R24" s="3"/>
      <c r="S24" s="3"/>
    </row>
    <row r="25">
      <c r="A25" s="5">
        <v>928.0</v>
      </c>
      <c r="B25" s="3" t="s">
        <v>1001</v>
      </c>
      <c r="C25" s="3" t="s">
        <v>2253</v>
      </c>
      <c r="D25" s="3" t="s">
        <v>4677</v>
      </c>
      <c r="E25" s="3">
        <v>730212.0</v>
      </c>
      <c r="F25" s="5">
        <v>2.0</v>
      </c>
      <c r="G25" s="3" t="s">
        <v>1021</v>
      </c>
      <c r="H25" s="3" t="s">
        <v>1021</v>
      </c>
      <c r="I25" s="3" t="s">
        <v>1021</v>
      </c>
      <c r="J25" s="3" t="s">
        <v>4640</v>
      </c>
      <c r="K25" s="4" t="str">
        <f t="shared" si="1"/>
        <v>박민경4297</v>
      </c>
      <c r="L25" s="4" t="e">
        <v>#N/A</v>
      </c>
      <c r="M25" s="3" t="str">
        <f>if(vlookup(K25,'1.신청입금매칭표'!C:C,1,false)="","","정상")</f>
        <v>#N/A</v>
      </c>
      <c r="N25" s="3"/>
      <c r="O25" s="3"/>
      <c r="P25" s="3"/>
      <c r="Q25" s="3"/>
      <c r="R25" s="3"/>
      <c r="S25" s="3"/>
    </row>
    <row r="26">
      <c r="A26" s="5">
        <v>907.0</v>
      </c>
      <c r="B26" s="3" t="s">
        <v>1872</v>
      </c>
      <c r="C26" s="3" t="s">
        <v>4678</v>
      </c>
      <c r="D26" s="3" t="s">
        <v>4679</v>
      </c>
      <c r="E26" s="3">
        <v>560628.0</v>
      </c>
      <c r="F26" s="5">
        <v>1.0</v>
      </c>
      <c r="G26" s="3" t="s">
        <v>1021</v>
      </c>
      <c r="H26" s="3" t="s">
        <v>1021</v>
      </c>
      <c r="I26" s="3" t="s">
        <v>1021</v>
      </c>
      <c r="J26" s="3" t="s">
        <v>4640</v>
      </c>
      <c r="K26" s="4" t="str">
        <f t="shared" si="1"/>
        <v>정희연2981</v>
      </c>
      <c r="L26" s="4" t="e">
        <v>#N/A</v>
      </c>
      <c r="M26" s="3" t="str">
        <f>if(vlookup(K26,'1.신청입금매칭표'!C:C,1,false)="","","정상")</f>
        <v>#N/A</v>
      </c>
      <c r="N26" s="3"/>
      <c r="O26" s="3"/>
      <c r="P26" s="3"/>
      <c r="Q26" s="3"/>
      <c r="R26" s="3"/>
      <c r="S26" s="3"/>
    </row>
    <row r="27">
      <c r="A27" s="5">
        <v>908.0</v>
      </c>
      <c r="B27" s="3" t="s">
        <v>1872</v>
      </c>
      <c r="C27" s="3" t="s">
        <v>4680</v>
      </c>
      <c r="D27" s="3" t="s">
        <v>4681</v>
      </c>
      <c r="E27" s="3">
        <v>580526.0</v>
      </c>
      <c r="F27" s="5">
        <v>1.0</v>
      </c>
      <c r="G27" s="3" t="s">
        <v>1021</v>
      </c>
      <c r="H27" s="3" t="s">
        <v>1021</v>
      </c>
      <c r="I27" s="3" t="s">
        <v>1021</v>
      </c>
      <c r="J27" s="3" t="s">
        <v>4640</v>
      </c>
      <c r="K27" s="4" t="str">
        <f t="shared" si="1"/>
        <v>권영희2173</v>
      </c>
      <c r="L27" s="4" t="e">
        <v>#N/A</v>
      </c>
      <c r="M27" s="3" t="str">
        <f>if(vlookup(K27,'1.신청입금매칭표'!C:C,1,false)="","","정상")</f>
        <v>#N/A</v>
      </c>
      <c r="N27" s="3"/>
      <c r="O27" s="3"/>
      <c r="P27" s="3"/>
      <c r="Q27" s="3"/>
      <c r="R27" s="3"/>
      <c r="S27" s="3"/>
    </row>
    <row r="28">
      <c r="A28" s="5">
        <v>909.0</v>
      </c>
      <c r="B28" s="3" t="s">
        <v>1872</v>
      </c>
      <c r="C28" s="3" t="s">
        <v>3302</v>
      </c>
      <c r="D28" s="3" t="s">
        <v>4682</v>
      </c>
      <c r="E28" s="3">
        <v>590618.0</v>
      </c>
      <c r="F28" s="5">
        <v>1.0</v>
      </c>
      <c r="G28" s="3" t="s">
        <v>1021</v>
      </c>
      <c r="H28" s="3" t="s">
        <v>1021</v>
      </c>
      <c r="I28" s="3" t="s">
        <v>1021</v>
      </c>
      <c r="J28" s="3" t="s">
        <v>4640</v>
      </c>
      <c r="K28" s="4" t="str">
        <f t="shared" si="1"/>
        <v>박희재6166</v>
      </c>
      <c r="L28" s="4" t="e">
        <v>#N/A</v>
      </c>
      <c r="M28" s="3" t="str">
        <f>if(vlookup(K28,'1.신청입금매칭표'!C:C,1,false)="","","정상")</f>
        <v>#N/A</v>
      </c>
      <c r="N28" s="3"/>
      <c r="O28" s="3"/>
      <c r="P28" s="3"/>
      <c r="Q28" s="3"/>
      <c r="R28" s="3"/>
      <c r="S28" s="3"/>
    </row>
    <row r="29">
      <c r="A29" s="5">
        <v>915.0</v>
      </c>
      <c r="B29" s="3" t="s">
        <v>1872</v>
      </c>
      <c r="C29" s="3" t="s">
        <v>4683</v>
      </c>
      <c r="D29" s="3" t="s">
        <v>4684</v>
      </c>
      <c r="E29" s="3">
        <v>711210.0</v>
      </c>
      <c r="F29" s="5">
        <v>1.0</v>
      </c>
      <c r="G29" s="3" t="s">
        <v>1021</v>
      </c>
      <c r="H29" s="3" t="s">
        <v>1021</v>
      </c>
      <c r="I29" s="3" t="s">
        <v>1021</v>
      </c>
      <c r="J29" s="3" t="s">
        <v>4640</v>
      </c>
      <c r="K29" s="4" t="str">
        <f t="shared" si="1"/>
        <v>손계영1214</v>
      </c>
      <c r="L29" s="4" t="e">
        <v>#N/A</v>
      </c>
      <c r="M29" s="3" t="str">
        <f>if(vlookup(K29,'1.신청입금매칭표'!C:C,1,false)="","","정상")</f>
        <v>#N/A</v>
      </c>
      <c r="N29" s="3"/>
      <c r="O29" s="3"/>
      <c r="P29" s="3"/>
      <c r="Q29" s="3"/>
      <c r="R29" s="3"/>
      <c r="S29" s="3"/>
    </row>
    <row r="30">
      <c r="A30" s="5">
        <v>887.0</v>
      </c>
      <c r="B30" s="3" t="s">
        <v>1114</v>
      </c>
      <c r="C30" s="3" t="s">
        <v>4685</v>
      </c>
      <c r="D30" s="3" t="s">
        <v>4686</v>
      </c>
      <c r="E30" s="3">
        <v>540325.0</v>
      </c>
      <c r="F30" s="5">
        <v>1.0</v>
      </c>
      <c r="G30" s="3" t="s">
        <v>1021</v>
      </c>
      <c r="H30" s="3" t="s">
        <v>1021</v>
      </c>
      <c r="I30" s="3" t="s">
        <v>1021</v>
      </c>
      <c r="J30" s="3" t="s">
        <v>4640</v>
      </c>
      <c r="K30" s="4" t="str">
        <f t="shared" si="1"/>
        <v>김순이4366</v>
      </c>
      <c r="L30" s="4" t="e">
        <v>#N/A</v>
      </c>
      <c r="M30" s="3" t="str">
        <f>if(vlookup(K30,'1.신청입금매칭표'!C:C,1,false)="","","정상")</f>
        <v>#N/A</v>
      </c>
      <c r="N30" s="3"/>
      <c r="O30" s="3"/>
      <c r="P30" s="3"/>
      <c r="Q30" s="3"/>
      <c r="R30" s="3"/>
      <c r="S30" s="3"/>
    </row>
    <row r="31">
      <c r="A31" s="5">
        <v>848.0</v>
      </c>
      <c r="B31" s="3" t="s">
        <v>1967</v>
      </c>
      <c r="C31" s="3" t="s">
        <v>4687</v>
      </c>
      <c r="D31" s="3" t="s">
        <v>4688</v>
      </c>
      <c r="E31" s="3">
        <v>670115.0</v>
      </c>
      <c r="F31" s="5">
        <v>1.0</v>
      </c>
      <c r="G31" s="3" t="s">
        <v>1021</v>
      </c>
      <c r="H31" s="3" t="s">
        <v>1021</v>
      </c>
      <c r="I31" s="3" t="s">
        <v>1021</v>
      </c>
      <c r="J31" s="3" t="s">
        <v>4640</v>
      </c>
      <c r="K31" s="4" t="str">
        <f t="shared" si="1"/>
        <v>전주영7099</v>
      </c>
      <c r="L31" s="4" t="e">
        <v>#N/A</v>
      </c>
      <c r="M31" s="3" t="str">
        <f>if(vlookup(K31,'1.신청입금매칭표'!C:C,1,false)="","","정상")</f>
        <v>#N/A</v>
      </c>
      <c r="N31" s="3"/>
      <c r="O31" s="3"/>
      <c r="P31" s="3"/>
      <c r="Q31" s="3"/>
      <c r="R31" s="3"/>
      <c r="S31" s="3"/>
    </row>
    <row r="32">
      <c r="A32" s="5">
        <v>853.0</v>
      </c>
      <c r="B32" s="3" t="s">
        <v>1967</v>
      </c>
      <c r="C32" s="3" t="s">
        <v>4689</v>
      </c>
      <c r="D32" s="3" t="s">
        <v>4690</v>
      </c>
      <c r="E32" s="3">
        <v>710822.0</v>
      </c>
      <c r="F32" s="5">
        <v>2.0</v>
      </c>
      <c r="G32" s="3" t="s">
        <v>4691</v>
      </c>
      <c r="H32" s="3" t="s">
        <v>4692</v>
      </c>
      <c r="I32" s="3">
        <v>701102.0</v>
      </c>
      <c r="J32" s="3" t="s">
        <v>4640</v>
      </c>
      <c r="K32" s="4" t="str">
        <f t="shared" si="1"/>
        <v>정현미4577</v>
      </c>
      <c r="L32" s="4" t="e">
        <v>#N/A</v>
      </c>
      <c r="M32" s="3" t="str">
        <f>if(vlookup(K32,'1.신청입금매칭표'!C:C,1,false)="","","정상")</f>
        <v>#N/A</v>
      </c>
      <c r="N32" s="3"/>
      <c r="O32" s="3"/>
      <c r="P32" s="3"/>
      <c r="Q32" s="3"/>
      <c r="R32" s="3"/>
      <c r="S32" s="3"/>
    </row>
    <row r="33">
      <c r="A33" s="5">
        <v>841.0</v>
      </c>
      <c r="B33" s="3" t="s">
        <v>1588</v>
      </c>
      <c r="C33" s="3" t="s">
        <v>4693</v>
      </c>
      <c r="D33" s="3" t="s">
        <v>4694</v>
      </c>
      <c r="E33" s="3">
        <v>690128.0</v>
      </c>
      <c r="F33" s="5">
        <v>1.0</v>
      </c>
      <c r="G33" s="3" t="s">
        <v>1021</v>
      </c>
      <c r="H33" s="3" t="s">
        <v>1021</v>
      </c>
      <c r="I33" s="3" t="s">
        <v>1021</v>
      </c>
      <c r="J33" s="3" t="s">
        <v>4640</v>
      </c>
      <c r="K33" s="4" t="str">
        <f t="shared" si="1"/>
        <v>박주희7056</v>
      </c>
      <c r="L33" s="4" t="e">
        <v>#N/A</v>
      </c>
      <c r="M33" s="3" t="str">
        <f>if(vlookup(K33,'1.신청입금매칭표'!C:C,1,false)="","","정상")</f>
        <v>#N/A</v>
      </c>
      <c r="N33" s="3"/>
      <c r="O33" s="3"/>
      <c r="P33" s="3"/>
      <c r="Q33" s="3"/>
      <c r="R33" s="3"/>
      <c r="S33" s="3"/>
    </row>
    <row r="34">
      <c r="A34" s="5">
        <v>808.0</v>
      </c>
      <c r="B34" s="3" t="s">
        <v>1232</v>
      </c>
      <c r="C34" s="3" t="s">
        <v>4695</v>
      </c>
      <c r="D34" s="3" t="s">
        <v>4696</v>
      </c>
      <c r="E34" s="3">
        <v>640911.0</v>
      </c>
      <c r="F34" s="5">
        <v>1.0</v>
      </c>
      <c r="G34" s="3" t="s">
        <v>1021</v>
      </c>
      <c r="H34" s="3" t="s">
        <v>1021</v>
      </c>
      <c r="I34" s="3" t="s">
        <v>1021</v>
      </c>
      <c r="J34" s="3" t="s">
        <v>4640</v>
      </c>
      <c r="K34" s="4" t="str">
        <f t="shared" si="1"/>
        <v>장경숙9446</v>
      </c>
      <c r="L34" s="4" t="e">
        <v>#N/A</v>
      </c>
      <c r="M34" s="3" t="str">
        <f>if(vlookup(K34,'1.신청입금매칭표'!C:C,1,false)="","","정상")</f>
        <v>#N/A</v>
      </c>
      <c r="N34" s="3"/>
      <c r="O34" s="3"/>
      <c r="P34" s="3"/>
      <c r="Q34" s="3"/>
      <c r="R34" s="3"/>
      <c r="S34" s="3"/>
    </row>
    <row r="35">
      <c r="A35" s="5">
        <v>777.0</v>
      </c>
      <c r="B35" s="3" t="s">
        <v>1774</v>
      </c>
      <c r="C35" s="3" t="s">
        <v>4697</v>
      </c>
      <c r="D35" s="3" t="s">
        <v>4698</v>
      </c>
      <c r="E35" s="3">
        <v>670726.0</v>
      </c>
      <c r="F35" s="5">
        <v>2.0</v>
      </c>
      <c r="G35" s="3" t="s">
        <v>1021</v>
      </c>
      <c r="H35" s="3" t="s">
        <v>1021</v>
      </c>
      <c r="I35" s="3" t="s">
        <v>1021</v>
      </c>
      <c r="J35" s="3" t="s">
        <v>4640</v>
      </c>
      <c r="K35" s="4" t="str">
        <f t="shared" si="1"/>
        <v>민선희4580</v>
      </c>
      <c r="L35" s="4" t="e">
        <v>#N/A</v>
      </c>
      <c r="M35" s="3" t="str">
        <f>if(vlookup(K35,'1.신청입금매칭표'!C:C,1,false)="","","정상")</f>
        <v>#N/A</v>
      </c>
      <c r="N35" s="3"/>
      <c r="O35" s="3"/>
      <c r="P35" s="3"/>
      <c r="Q35" s="3"/>
      <c r="R35" s="3"/>
      <c r="S35" s="3"/>
    </row>
    <row r="36">
      <c r="A36" s="5">
        <v>782.0</v>
      </c>
      <c r="B36" s="3" t="s">
        <v>1774</v>
      </c>
      <c r="C36" s="3" t="s">
        <v>4699</v>
      </c>
      <c r="D36" s="3" t="s">
        <v>4700</v>
      </c>
      <c r="E36" s="3">
        <v>711103.0</v>
      </c>
      <c r="F36" s="5">
        <v>2.0</v>
      </c>
      <c r="G36" s="3" t="s">
        <v>1021</v>
      </c>
      <c r="H36" s="3" t="s">
        <v>1021</v>
      </c>
      <c r="I36" s="3" t="s">
        <v>1021</v>
      </c>
      <c r="J36" s="3" t="s">
        <v>4640</v>
      </c>
      <c r="K36" s="4" t="str">
        <f t="shared" si="1"/>
        <v>김현삼4648</v>
      </c>
      <c r="L36" s="4" t="e">
        <v>#N/A</v>
      </c>
      <c r="M36" s="3" t="str">
        <f>if(vlookup(K36,'1.신청입금매칭표'!C:C,1,false)="","","정상")</f>
        <v>#N/A</v>
      </c>
      <c r="N36" s="3"/>
      <c r="O36" s="3"/>
      <c r="P36" s="3"/>
      <c r="Q36" s="3"/>
      <c r="R36" s="3"/>
      <c r="S36" s="3"/>
    </row>
    <row r="37">
      <c r="A37" s="5">
        <v>759.0</v>
      </c>
      <c r="B37" s="3" t="s">
        <v>1292</v>
      </c>
      <c r="C37" s="3" t="s">
        <v>4701</v>
      </c>
      <c r="D37" s="3" t="s">
        <v>4702</v>
      </c>
      <c r="E37" s="3">
        <v>561228.0</v>
      </c>
      <c r="F37" s="5">
        <v>2.0</v>
      </c>
      <c r="G37" s="3" t="s">
        <v>1021</v>
      </c>
      <c r="H37" s="3" t="s">
        <v>1021</v>
      </c>
      <c r="I37" s="3" t="s">
        <v>1021</v>
      </c>
      <c r="J37" s="3" t="s">
        <v>4640</v>
      </c>
      <c r="K37" s="4" t="str">
        <f t="shared" si="1"/>
        <v>박판수1238</v>
      </c>
      <c r="L37" s="4" t="e">
        <v>#N/A</v>
      </c>
      <c r="M37" s="3" t="str">
        <f>if(vlookup(K37,'1.신청입금매칭표'!C:C,1,false)="","","정상")</f>
        <v>#N/A</v>
      </c>
      <c r="N37" s="3"/>
      <c r="O37" s="3"/>
      <c r="P37" s="3"/>
      <c r="Q37" s="3"/>
      <c r="R37" s="3"/>
      <c r="S37" s="3"/>
    </row>
    <row r="38">
      <c r="A38" s="5">
        <v>771.0</v>
      </c>
      <c r="B38" s="3" t="s">
        <v>1292</v>
      </c>
      <c r="C38" s="3" t="s">
        <v>4703</v>
      </c>
      <c r="D38" s="3" t="s">
        <v>4704</v>
      </c>
      <c r="E38" s="3">
        <v>610303.0</v>
      </c>
      <c r="F38" s="5">
        <v>1.0</v>
      </c>
      <c r="G38" s="3" t="s">
        <v>1021</v>
      </c>
      <c r="H38" s="3" t="s">
        <v>1021</v>
      </c>
      <c r="I38" s="3" t="s">
        <v>1021</v>
      </c>
      <c r="J38" s="3" t="s">
        <v>4640</v>
      </c>
      <c r="K38" s="4" t="str">
        <f t="shared" si="1"/>
        <v>김윤자3029</v>
      </c>
      <c r="L38" s="4" t="e">
        <v>#N/A</v>
      </c>
      <c r="M38" s="3" t="str">
        <f>if(vlookup(K38,'1.신청입금매칭표'!C:C,1,false)="","","정상")</f>
        <v>#N/A</v>
      </c>
      <c r="N38" s="3"/>
      <c r="O38" s="3"/>
      <c r="P38" s="3"/>
      <c r="Q38" s="3"/>
      <c r="R38" s="3"/>
      <c r="S38" s="3"/>
    </row>
    <row r="39">
      <c r="A39" s="5">
        <v>772.0</v>
      </c>
      <c r="B39" s="3" t="s">
        <v>1292</v>
      </c>
      <c r="C39" s="3" t="s">
        <v>4705</v>
      </c>
      <c r="D39" s="3" t="s">
        <v>4706</v>
      </c>
      <c r="E39" s="3">
        <v>670706.0</v>
      </c>
      <c r="F39" s="5">
        <v>2.0</v>
      </c>
      <c r="G39" s="3" t="s">
        <v>1021</v>
      </c>
      <c r="H39" s="3" t="s">
        <v>1021</v>
      </c>
      <c r="I39" s="3" t="s">
        <v>1021</v>
      </c>
      <c r="J39" s="3" t="s">
        <v>4640</v>
      </c>
      <c r="K39" s="4" t="str">
        <f t="shared" si="1"/>
        <v>배강욱7436</v>
      </c>
      <c r="L39" s="4" t="e">
        <v>#N/A</v>
      </c>
      <c r="M39" s="3" t="str">
        <f>if(vlookup(K39,'1.신청입금매칭표'!C:C,1,false)="","","정상")</f>
        <v>#N/A</v>
      </c>
      <c r="N39" s="3"/>
      <c r="O39" s="3"/>
      <c r="P39" s="3"/>
      <c r="Q39" s="3"/>
      <c r="R39" s="3"/>
      <c r="S39" s="3"/>
    </row>
    <row r="40">
      <c r="A40" s="5">
        <v>774.0</v>
      </c>
      <c r="B40" s="3" t="s">
        <v>1292</v>
      </c>
      <c r="C40" s="3" t="s">
        <v>4707</v>
      </c>
      <c r="D40" s="3" t="s">
        <v>4708</v>
      </c>
      <c r="E40" s="3">
        <v>581025.0</v>
      </c>
      <c r="F40" s="5">
        <v>1.0</v>
      </c>
      <c r="G40" s="3" t="s">
        <v>1021</v>
      </c>
      <c r="H40" s="3" t="s">
        <v>1021</v>
      </c>
      <c r="I40" s="3" t="s">
        <v>1021</v>
      </c>
      <c r="J40" s="3" t="s">
        <v>4640</v>
      </c>
      <c r="K40" s="4" t="str">
        <f t="shared" si="1"/>
        <v>노점숙3839</v>
      </c>
      <c r="L40" s="4" t="e">
        <v>#N/A</v>
      </c>
      <c r="M40" s="3" t="str">
        <f>if(vlookup(K40,'1.신청입금매칭표'!C:C,1,false)="","","정상")</f>
        <v>#N/A</v>
      </c>
      <c r="N40" s="3"/>
      <c r="O40" s="3"/>
      <c r="P40" s="3"/>
      <c r="Q40" s="3"/>
      <c r="R40" s="3"/>
      <c r="S40" s="3"/>
    </row>
    <row r="41">
      <c r="A41" s="5">
        <v>752.0</v>
      </c>
      <c r="B41" s="3" t="s">
        <v>2156</v>
      </c>
      <c r="C41" s="3" t="s">
        <v>4709</v>
      </c>
      <c r="D41" s="3" t="s">
        <v>4710</v>
      </c>
      <c r="E41" s="3">
        <v>590913.0</v>
      </c>
      <c r="F41" s="5">
        <v>2.0</v>
      </c>
      <c r="G41" s="3" t="s">
        <v>1021</v>
      </c>
      <c r="H41" s="3" t="s">
        <v>1021</v>
      </c>
      <c r="I41" s="3" t="s">
        <v>1021</v>
      </c>
      <c r="J41" s="3" t="s">
        <v>4640</v>
      </c>
      <c r="K41" s="4" t="str">
        <f t="shared" si="1"/>
        <v>문애순8514</v>
      </c>
      <c r="L41" s="4" t="e">
        <v>#N/A</v>
      </c>
      <c r="M41" s="3" t="str">
        <f>if(vlookup(K41,'1.신청입금매칭표'!C:C,1,false)="","","정상")</f>
        <v>#N/A</v>
      </c>
      <c r="N41" s="3"/>
      <c r="O41" s="3"/>
      <c r="P41" s="3"/>
      <c r="Q41" s="3"/>
      <c r="R41" s="3"/>
      <c r="S41" s="3"/>
    </row>
    <row r="42">
      <c r="A42" s="5">
        <v>725.0</v>
      </c>
      <c r="B42" s="3" t="s">
        <v>1335</v>
      </c>
      <c r="C42" s="3" t="s">
        <v>4711</v>
      </c>
      <c r="D42" s="3" t="s">
        <v>4712</v>
      </c>
      <c r="E42" s="3">
        <v>650905.0</v>
      </c>
      <c r="F42" s="5">
        <v>2.0</v>
      </c>
      <c r="G42" s="3" t="s">
        <v>1021</v>
      </c>
      <c r="H42" s="3" t="s">
        <v>1021</v>
      </c>
      <c r="I42" s="3" t="s">
        <v>1021</v>
      </c>
      <c r="J42" s="3" t="s">
        <v>4640</v>
      </c>
      <c r="K42" s="4" t="str">
        <f t="shared" si="1"/>
        <v>권신자0356</v>
      </c>
      <c r="L42" s="4" t="e">
        <v>#N/A</v>
      </c>
      <c r="M42" s="3" t="str">
        <f>if(vlookup(K42,'1.신청입금매칭표'!C:C,1,false)="","","정상")</f>
        <v>#N/A</v>
      </c>
      <c r="N42" s="3"/>
      <c r="O42" s="3"/>
      <c r="P42" s="3"/>
      <c r="Q42" s="3"/>
      <c r="R42" s="3"/>
      <c r="S42" s="3"/>
    </row>
    <row r="43">
      <c r="A43" s="5">
        <v>691.0</v>
      </c>
      <c r="B43" s="3" t="s">
        <v>1245</v>
      </c>
      <c r="C43" s="3" t="s">
        <v>4713</v>
      </c>
      <c r="D43" s="3" t="s">
        <v>4714</v>
      </c>
      <c r="E43" s="3">
        <v>650723.0</v>
      </c>
      <c r="F43" s="5">
        <v>2.0</v>
      </c>
      <c r="G43" s="3" t="s">
        <v>1021</v>
      </c>
      <c r="H43" s="3" t="s">
        <v>1021</v>
      </c>
      <c r="I43" s="3" t="s">
        <v>1021</v>
      </c>
      <c r="J43" s="3" t="s">
        <v>4640</v>
      </c>
      <c r="K43" s="4" t="str">
        <f t="shared" si="1"/>
        <v>두의정6133</v>
      </c>
      <c r="L43" s="4" t="e">
        <v>#N/A</v>
      </c>
      <c r="M43" s="3" t="str">
        <f>if(vlookup(K43,'1.신청입금매칭표'!C:C,1,false)="","","정상")</f>
        <v>#N/A</v>
      </c>
      <c r="N43" s="3"/>
      <c r="O43" s="3"/>
      <c r="P43" s="3"/>
      <c r="Q43" s="3"/>
      <c r="R43" s="3"/>
      <c r="S43" s="3"/>
    </row>
    <row r="44">
      <c r="A44" s="5">
        <v>696.0</v>
      </c>
      <c r="B44" s="3" t="s">
        <v>1245</v>
      </c>
      <c r="C44" s="3" t="s">
        <v>4715</v>
      </c>
      <c r="D44" s="3" t="s">
        <v>4716</v>
      </c>
      <c r="E44" s="3">
        <v>480405.0</v>
      </c>
      <c r="F44" s="5">
        <v>1.0</v>
      </c>
      <c r="G44" s="3" t="s">
        <v>1021</v>
      </c>
      <c r="H44" s="3" t="s">
        <v>1021</v>
      </c>
      <c r="I44" s="3" t="s">
        <v>1021</v>
      </c>
      <c r="J44" s="3" t="s">
        <v>4640</v>
      </c>
      <c r="K44" s="4" t="str">
        <f t="shared" si="1"/>
        <v>서염미9500</v>
      </c>
      <c r="L44" s="4" t="e">
        <v>#N/A</v>
      </c>
      <c r="M44" s="3" t="str">
        <f>if(vlookup(K44,'1.신청입금매칭표'!C:C,1,false)="","","정상")</f>
        <v>#N/A</v>
      </c>
      <c r="N44" s="3"/>
      <c r="O44" s="3"/>
      <c r="P44" s="3"/>
      <c r="Q44" s="3"/>
      <c r="R44" s="3"/>
      <c r="S44" s="3"/>
    </row>
    <row r="45">
      <c r="A45" s="5">
        <v>688.0</v>
      </c>
      <c r="B45" s="3" t="s">
        <v>1434</v>
      </c>
      <c r="C45" s="3" t="s">
        <v>2956</v>
      </c>
      <c r="D45" s="3" t="s">
        <v>4717</v>
      </c>
      <c r="E45" s="3">
        <v>611005.0</v>
      </c>
      <c r="F45" s="5">
        <v>1.0</v>
      </c>
      <c r="G45" s="3" t="s">
        <v>1021</v>
      </c>
      <c r="H45" s="3" t="s">
        <v>1021</v>
      </c>
      <c r="I45" s="3" t="s">
        <v>1021</v>
      </c>
      <c r="J45" s="3" t="s">
        <v>4640</v>
      </c>
      <c r="K45" s="4" t="str">
        <f t="shared" si="1"/>
        <v>최인숙6577</v>
      </c>
      <c r="L45" s="4" t="e">
        <v>#N/A</v>
      </c>
      <c r="M45" s="3" t="str">
        <f>if(vlookup(K45,'1.신청입금매칭표'!C:C,1,false)="","","정상")</f>
        <v>#N/A</v>
      </c>
      <c r="N45" s="3"/>
      <c r="O45" s="3"/>
      <c r="P45" s="3"/>
      <c r="Q45" s="3"/>
      <c r="R45" s="3"/>
      <c r="S45" s="3"/>
    </row>
    <row r="46">
      <c r="A46" s="5">
        <v>650.0</v>
      </c>
      <c r="B46" s="3" t="s">
        <v>1415</v>
      </c>
      <c r="C46" s="3" t="s">
        <v>4718</v>
      </c>
      <c r="D46" s="3" t="s">
        <v>4719</v>
      </c>
      <c r="E46" s="3">
        <v>550829.0</v>
      </c>
      <c r="F46" s="5">
        <v>2.0</v>
      </c>
      <c r="G46" s="3" t="s">
        <v>4720</v>
      </c>
      <c r="H46" s="3" t="s">
        <v>4721</v>
      </c>
      <c r="I46" s="3">
        <v>530515.0</v>
      </c>
      <c r="J46" s="3" t="s">
        <v>4640</v>
      </c>
      <c r="K46" s="4" t="str">
        <f t="shared" si="1"/>
        <v>공춘자7373</v>
      </c>
      <c r="L46" s="4" t="e">
        <v>#N/A</v>
      </c>
      <c r="M46" s="3" t="str">
        <f>if(vlookup(K46,'1.신청입금매칭표'!C:C,1,false)="","","정상")</f>
        <v>#N/A</v>
      </c>
      <c r="N46" s="3"/>
      <c r="O46" s="3"/>
      <c r="P46" s="3"/>
      <c r="Q46" s="3"/>
      <c r="R46" s="3"/>
      <c r="S46" s="3"/>
    </row>
    <row r="47">
      <c r="A47" s="5">
        <v>635.0</v>
      </c>
      <c r="B47" s="3" t="s">
        <v>1007</v>
      </c>
      <c r="C47" s="3" t="s">
        <v>1632</v>
      </c>
      <c r="D47" s="3" t="s">
        <v>4722</v>
      </c>
      <c r="E47" s="3">
        <v>591006.0</v>
      </c>
      <c r="F47" s="5">
        <v>2.0</v>
      </c>
      <c r="G47" s="3" t="s">
        <v>1021</v>
      </c>
      <c r="H47" s="3" t="s">
        <v>1021</v>
      </c>
      <c r="I47" s="3" t="s">
        <v>1021</v>
      </c>
      <c r="J47" s="3" t="s">
        <v>4640</v>
      </c>
      <c r="K47" s="4" t="str">
        <f t="shared" si="1"/>
        <v>장혜원5338</v>
      </c>
      <c r="L47" s="4" t="e">
        <v>#N/A</v>
      </c>
      <c r="M47" s="3" t="str">
        <f>if(vlookup(K47,'1.신청입금매칭표'!C:C,1,false)="","","정상")</f>
        <v>#N/A</v>
      </c>
      <c r="N47" s="3"/>
      <c r="O47" s="3"/>
      <c r="P47" s="3"/>
      <c r="Q47" s="3"/>
      <c r="R47" s="3"/>
      <c r="S47" s="3"/>
    </row>
    <row r="48">
      <c r="A48" s="5">
        <v>636.0</v>
      </c>
      <c r="B48" s="3" t="s">
        <v>1007</v>
      </c>
      <c r="C48" s="3" t="s">
        <v>4723</v>
      </c>
      <c r="D48" s="3" t="s">
        <v>4724</v>
      </c>
      <c r="E48" s="3">
        <v>730825.0</v>
      </c>
      <c r="F48" s="5">
        <v>1.0</v>
      </c>
      <c r="G48" s="3" t="s">
        <v>1021</v>
      </c>
      <c r="H48" s="3" t="s">
        <v>1021</v>
      </c>
      <c r="I48" s="3" t="s">
        <v>1021</v>
      </c>
      <c r="J48" s="3" t="s">
        <v>4640</v>
      </c>
      <c r="K48" s="4" t="str">
        <f t="shared" si="1"/>
        <v>박진희2845</v>
      </c>
      <c r="L48" s="4" t="e">
        <v>#N/A</v>
      </c>
      <c r="M48" s="3" t="str">
        <f>if(vlookup(K48,'1.신청입금매칭표'!C:C,1,false)="","","정상")</f>
        <v>#N/A</v>
      </c>
      <c r="N48" s="3"/>
      <c r="O48" s="3"/>
      <c r="P48" s="3"/>
      <c r="Q48" s="3"/>
      <c r="R48" s="3"/>
      <c r="S48" s="3"/>
    </row>
    <row r="49">
      <c r="A49" s="5">
        <v>641.0</v>
      </c>
      <c r="B49" s="3" t="s">
        <v>1007</v>
      </c>
      <c r="C49" s="3" t="s">
        <v>4725</v>
      </c>
      <c r="D49" s="3" t="s">
        <v>4726</v>
      </c>
      <c r="E49" s="3">
        <v>610302.0</v>
      </c>
      <c r="F49" s="5">
        <v>1.0</v>
      </c>
      <c r="G49" s="3" t="s">
        <v>1021</v>
      </c>
      <c r="H49" s="3" t="s">
        <v>1021</v>
      </c>
      <c r="I49" s="3" t="s">
        <v>1021</v>
      </c>
      <c r="J49" s="3" t="s">
        <v>4640</v>
      </c>
      <c r="K49" s="4" t="str">
        <f t="shared" si="1"/>
        <v>유기순1719</v>
      </c>
      <c r="L49" s="4" t="e">
        <v>#N/A</v>
      </c>
      <c r="M49" s="3" t="str">
        <f>if(vlookup(K49,'1.신청입금매칭표'!C:C,1,false)="","","정상")</f>
        <v>#N/A</v>
      </c>
      <c r="N49" s="3"/>
      <c r="O49" s="3"/>
      <c r="P49" s="3"/>
      <c r="Q49" s="3"/>
      <c r="R49" s="3"/>
      <c r="S49" s="3"/>
    </row>
    <row r="50">
      <c r="A50" s="5">
        <v>642.0</v>
      </c>
      <c r="B50" s="3" t="s">
        <v>1007</v>
      </c>
      <c r="C50" s="3" t="s">
        <v>4727</v>
      </c>
      <c r="D50" s="3" t="s">
        <v>4728</v>
      </c>
      <c r="E50" s="3">
        <v>610826.0</v>
      </c>
      <c r="F50" s="5">
        <v>1.0</v>
      </c>
      <c r="G50" s="3" t="s">
        <v>1021</v>
      </c>
      <c r="H50" s="3" t="s">
        <v>1021</v>
      </c>
      <c r="I50" s="3" t="s">
        <v>1021</v>
      </c>
      <c r="J50" s="3" t="s">
        <v>4640</v>
      </c>
      <c r="K50" s="4" t="str">
        <f t="shared" si="1"/>
        <v>오권자1521</v>
      </c>
      <c r="L50" s="4" t="e">
        <v>#N/A</v>
      </c>
      <c r="M50" s="3" t="str">
        <f>if(vlookup(K50,'1.신청입금매칭표'!C:C,1,false)="","","정상")</f>
        <v>#N/A</v>
      </c>
      <c r="N50" s="3"/>
      <c r="O50" s="3"/>
      <c r="P50" s="3"/>
      <c r="Q50" s="3"/>
      <c r="R50" s="3"/>
      <c r="S50" s="3"/>
    </row>
    <row r="51">
      <c r="A51" s="5">
        <v>644.0</v>
      </c>
      <c r="B51" s="3" t="s">
        <v>1007</v>
      </c>
      <c r="C51" s="3" t="s">
        <v>4729</v>
      </c>
      <c r="D51" s="3" t="s">
        <v>4730</v>
      </c>
      <c r="E51" s="3">
        <v>621212.0</v>
      </c>
      <c r="F51" s="5">
        <v>1.0</v>
      </c>
      <c r="G51" s="3" t="s">
        <v>1021</v>
      </c>
      <c r="H51" s="3" t="s">
        <v>1021</v>
      </c>
      <c r="I51" s="3" t="s">
        <v>1021</v>
      </c>
      <c r="J51" s="3" t="s">
        <v>4640</v>
      </c>
      <c r="K51" s="4" t="str">
        <f t="shared" si="1"/>
        <v>임숙자7481</v>
      </c>
      <c r="L51" s="4" t="e">
        <v>#N/A</v>
      </c>
      <c r="M51" s="3" t="str">
        <f>if(vlookup(K51,'1.신청입금매칭표'!C:C,1,false)="","","정상")</f>
        <v>#N/A</v>
      </c>
      <c r="N51" s="3"/>
      <c r="O51" s="3"/>
      <c r="P51" s="3"/>
      <c r="Q51" s="3"/>
      <c r="R51" s="3"/>
      <c r="S51" s="3"/>
    </row>
    <row r="52">
      <c r="A52" s="5">
        <v>647.0</v>
      </c>
      <c r="B52" s="3" t="s">
        <v>1007</v>
      </c>
      <c r="C52" s="3" t="s">
        <v>4731</v>
      </c>
      <c r="D52" s="3" t="s">
        <v>4732</v>
      </c>
      <c r="E52" s="3">
        <v>800913.0</v>
      </c>
      <c r="F52" s="5">
        <v>2.0</v>
      </c>
      <c r="G52" s="3" t="s">
        <v>1021</v>
      </c>
      <c r="H52" s="3" t="s">
        <v>1021</v>
      </c>
      <c r="I52" s="3" t="s">
        <v>1021</v>
      </c>
      <c r="J52" s="3" t="s">
        <v>4640</v>
      </c>
      <c r="K52" s="4" t="str">
        <f t="shared" si="1"/>
        <v>노용헌0238</v>
      </c>
      <c r="L52" s="4" t="e">
        <v>#N/A</v>
      </c>
      <c r="M52" s="3" t="str">
        <f>if(vlookup(K52,'1.신청입금매칭표'!C:C,1,false)="","","정상")</f>
        <v>#N/A</v>
      </c>
      <c r="N52" s="3"/>
      <c r="O52" s="3"/>
      <c r="P52" s="3"/>
      <c r="Q52" s="3"/>
      <c r="R52" s="3"/>
      <c r="S52" s="3"/>
    </row>
    <row r="53">
      <c r="A53" s="5">
        <v>617.0</v>
      </c>
      <c r="B53" s="3" t="s">
        <v>1662</v>
      </c>
      <c r="C53" s="3" t="s">
        <v>4733</v>
      </c>
      <c r="D53" s="3" t="s">
        <v>4734</v>
      </c>
      <c r="E53" s="3">
        <v>650801.0</v>
      </c>
      <c r="F53" s="5">
        <v>1.0</v>
      </c>
      <c r="G53" s="3" t="s">
        <v>1021</v>
      </c>
      <c r="H53" s="3" t="s">
        <v>1021</v>
      </c>
      <c r="I53" s="3" t="s">
        <v>1021</v>
      </c>
      <c r="J53" s="3" t="s">
        <v>4640</v>
      </c>
      <c r="K53" s="4" t="str">
        <f t="shared" si="1"/>
        <v>허옥조7063</v>
      </c>
      <c r="L53" s="4" t="e">
        <v>#N/A</v>
      </c>
      <c r="M53" s="3" t="str">
        <f>if(vlookup(K53,'1.신청입금매칭표'!C:C,1,false)="","","정상")</f>
        <v>#N/A</v>
      </c>
      <c r="N53" s="3"/>
      <c r="O53" s="3"/>
      <c r="P53" s="3"/>
      <c r="Q53" s="3"/>
      <c r="R53" s="3"/>
      <c r="S53" s="3"/>
    </row>
    <row r="54">
      <c r="A54" s="5">
        <v>603.0</v>
      </c>
      <c r="B54" s="3" t="s">
        <v>1219</v>
      </c>
      <c r="C54" s="3" t="s">
        <v>2259</v>
      </c>
      <c r="D54" s="3" t="s">
        <v>4735</v>
      </c>
      <c r="E54" s="3">
        <v>620707.0</v>
      </c>
      <c r="F54" s="5">
        <v>2.0</v>
      </c>
      <c r="G54" s="3" t="s">
        <v>1021</v>
      </c>
      <c r="H54" s="3" t="s">
        <v>1021</v>
      </c>
      <c r="I54" s="3" t="s">
        <v>1021</v>
      </c>
      <c r="J54" s="3" t="s">
        <v>4640</v>
      </c>
      <c r="K54" s="4" t="str">
        <f t="shared" si="1"/>
        <v>김순화0936</v>
      </c>
      <c r="L54" s="4" t="e">
        <v>#N/A</v>
      </c>
      <c r="M54" s="3" t="str">
        <f>if(vlookup(K54,'1.신청입금매칭표'!C:C,1,false)="","","정상")</f>
        <v>#N/A</v>
      </c>
      <c r="N54" s="3"/>
      <c r="O54" s="3"/>
      <c r="P54" s="3"/>
      <c r="Q54" s="3"/>
      <c r="R54" s="3"/>
      <c r="S54" s="3"/>
    </row>
    <row r="55">
      <c r="A55" s="5">
        <v>606.0</v>
      </c>
      <c r="B55" s="3" t="s">
        <v>1219</v>
      </c>
      <c r="C55" s="3" t="s">
        <v>4736</v>
      </c>
      <c r="D55" s="3" t="s">
        <v>4737</v>
      </c>
      <c r="E55" s="3">
        <v>550731.0</v>
      </c>
      <c r="F55" s="5">
        <v>1.0</v>
      </c>
      <c r="G55" s="3" t="s">
        <v>1021</v>
      </c>
      <c r="H55" s="3" t="s">
        <v>1021</v>
      </c>
      <c r="I55" s="3" t="s">
        <v>1021</v>
      </c>
      <c r="J55" s="3" t="s">
        <v>4640</v>
      </c>
      <c r="K55" s="4" t="str">
        <f t="shared" si="1"/>
        <v>조영민5274</v>
      </c>
      <c r="L55" s="4" t="e">
        <v>#N/A</v>
      </c>
      <c r="M55" s="3" t="str">
        <f>if(vlookup(K55,'1.신청입금매칭표'!C:C,1,false)="","","정상")</f>
        <v>#N/A</v>
      </c>
      <c r="N55" s="3"/>
      <c r="O55" s="3"/>
      <c r="P55" s="3"/>
      <c r="Q55" s="3"/>
      <c r="R55" s="3"/>
      <c r="S55" s="3"/>
    </row>
    <row r="56">
      <c r="A56" s="5">
        <v>591.0</v>
      </c>
      <c r="B56" s="3" t="s">
        <v>1825</v>
      </c>
      <c r="C56" s="3" t="s">
        <v>1979</v>
      </c>
      <c r="D56" s="3" t="s">
        <v>4738</v>
      </c>
      <c r="E56" s="3">
        <v>671013.0</v>
      </c>
      <c r="F56" s="5">
        <v>1.0</v>
      </c>
      <c r="G56" s="3" t="s">
        <v>1021</v>
      </c>
      <c r="H56" s="3" t="s">
        <v>1021</v>
      </c>
      <c r="I56" s="3" t="s">
        <v>1021</v>
      </c>
      <c r="J56" s="3" t="s">
        <v>4640</v>
      </c>
      <c r="K56" s="4" t="str">
        <f t="shared" si="1"/>
        <v>안순옥3025</v>
      </c>
      <c r="L56" s="4" t="e">
        <v>#N/A</v>
      </c>
      <c r="M56" s="3" t="str">
        <f>if(vlookup(K56,'1.신청입금매칭표'!C:C,1,false)="","","정상")</f>
        <v>#N/A</v>
      </c>
      <c r="N56" s="3"/>
      <c r="O56" s="3"/>
      <c r="P56" s="3"/>
      <c r="Q56" s="3"/>
      <c r="R56" s="3"/>
      <c r="S56" s="3"/>
    </row>
    <row r="57">
      <c r="A57" s="5">
        <v>589.0</v>
      </c>
      <c r="B57" s="3" t="s">
        <v>1372</v>
      </c>
      <c r="C57" s="3" t="s">
        <v>4739</v>
      </c>
      <c r="D57" s="3" t="s">
        <v>4740</v>
      </c>
      <c r="E57" s="3">
        <v>610225.0</v>
      </c>
      <c r="F57" s="5">
        <v>1.0</v>
      </c>
      <c r="G57" s="3" t="s">
        <v>1021</v>
      </c>
      <c r="H57" s="3" t="s">
        <v>1021</v>
      </c>
      <c r="I57" s="3" t="s">
        <v>1021</v>
      </c>
      <c r="J57" s="3" t="s">
        <v>4640</v>
      </c>
      <c r="K57" s="4" t="str">
        <f t="shared" si="1"/>
        <v>안순희2985</v>
      </c>
      <c r="L57" s="4" t="e">
        <v>#N/A</v>
      </c>
      <c r="M57" s="3" t="str">
        <f>if(vlookup(K57,'1.신청입금매칭표'!C:C,1,false)="","","정상")</f>
        <v>#N/A</v>
      </c>
      <c r="N57" s="3"/>
      <c r="O57" s="3"/>
      <c r="P57" s="3"/>
      <c r="Q57" s="3"/>
      <c r="R57" s="3"/>
      <c r="S57" s="3"/>
    </row>
    <row r="58">
      <c r="A58" s="5">
        <v>590.0</v>
      </c>
      <c r="B58" s="3" t="s">
        <v>1372</v>
      </c>
      <c r="C58" s="3" t="s">
        <v>4741</v>
      </c>
      <c r="D58" s="3" t="s">
        <v>4742</v>
      </c>
      <c r="E58" s="3">
        <v>660128.0</v>
      </c>
      <c r="F58" s="5">
        <v>2.0</v>
      </c>
      <c r="G58" s="3" t="s">
        <v>1021</v>
      </c>
      <c r="H58" s="3" t="s">
        <v>1021</v>
      </c>
      <c r="I58" s="3" t="s">
        <v>1021</v>
      </c>
      <c r="J58" s="3" t="s">
        <v>4640</v>
      </c>
      <c r="K58" s="4" t="str">
        <f t="shared" si="1"/>
        <v>최귀숙0012</v>
      </c>
      <c r="L58" s="4" t="e">
        <v>#N/A</v>
      </c>
      <c r="M58" s="3" t="str">
        <f>if(vlookup(K58,'1.신청입금매칭표'!C:C,1,false)="","","정상")</f>
        <v>#N/A</v>
      </c>
      <c r="N58" s="3"/>
      <c r="O58" s="3"/>
      <c r="P58" s="3"/>
      <c r="Q58" s="3"/>
      <c r="R58" s="3"/>
      <c r="S58" s="3"/>
    </row>
    <row r="59">
      <c r="A59" s="5">
        <v>553.0</v>
      </c>
      <c r="B59" s="3" t="s">
        <v>1552</v>
      </c>
      <c r="C59" s="3" t="s">
        <v>4689</v>
      </c>
      <c r="D59" s="3" t="s">
        <v>4743</v>
      </c>
      <c r="E59" s="3">
        <v>581024.0</v>
      </c>
      <c r="F59" s="5">
        <v>2.0</v>
      </c>
      <c r="G59" s="3" t="s">
        <v>1021</v>
      </c>
      <c r="H59" s="3" t="s">
        <v>1021</v>
      </c>
      <c r="I59" s="3" t="s">
        <v>1021</v>
      </c>
      <c r="J59" s="3" t="s">
        <v>4640</v>
      </c>
      <c r="K59" s="4" t="str">
        <f t="shared" si="1"/>
        <v>정현미3675</v>
      </c>
      <c r="L59" s="4" t="e">
        <v>#N/A</v>
      </c>
      <c r="M59" s="3" t="str">
        <f>if(vlookup(K59,'1.신청입금매칭표'!C:C,1,false)="","","정상")</f>
        <v>#N/A</v>
      </c>
      <c r="N59" s="3"/>
      <c r="O59" s="3"/>
      <c r="P59" s="3"/>
      <c r="Q59" s="3"/>
      <c r="R59" s="3"/>
      <c r="S59" s="3"/>
    </row>
    <row r="60">
      <c r="A60" s="5">
        <v>486.0</v>
      </c>
      <c r="B60" s="3" t="s">
        <v>1027</v>
      </c>
      <c r="C60" s="3" t="s">
        <v>4744</v>
      </c>
      <c r="D60" s="3" t="s">
        <v>4745</v>
      </c>
      <c r="E60" s="3">
        <v>590925.0</v>
      </c>
      <c r="F60" s="5">
        <v>2.0</v>
      </c>
      <c r="G60" s="3" t="s">
        <v>1021</v>
      </c>
      <c r="H60" s="3" t="s">
        <v>1021</v>
      </c>
      <c r="I60" s="3" t="s">
        <v>1021</v>
      </c>
      <c r="J60" s="3" t="s">
        <v>4640</v>
      </c>
      <c r="K60" s="4" t="str">
        <f t="shared" si="1"/>
        <v>배난희9925</v>
      </c>
      <c r="L60" s="4" t="e">
        <v>#N/A</v>
      </c>
      <c r="M60" s="3" t="str">
        <f>if(vlookup(K60,'1.신청입금매칭표'!C:C,1,false)="","","정상")</f>
        <v>#N/A</v>
      </c>
      <c r="N60" s="3"/>
      <c r="O60" s="3"/>
      <c r="P60" s="3"/>
      <c r="Q60" s="3"/>
      <c r="R60" s="3"/>
      <c r="S60" s="3"/>
    </row>
    <row r="61">
      <c r="A61" s="5">
        <v>471.0</v>
      </c>
      <c r="B61" s="3" t="s">
        <v>1808</v>
      </c>
      <c r="C61" s="3" t="s">
        <v>4746</v>
      </c>
      <c r="D61" s="3" t="s">
        <v>4747</v>
      </c>
      <c r="E61" s="3">
        <v>630430.0</v>
      </c>
      <c r="F61" s="5">
        <v>1.0</v>
      </c>
      <c r="G61" s="3" t="s">
        <v>1021</v>
      </c>
      <c r="H61" s="3" t="s">
        <v>1021</v>
      </c>
      <c r="I61" s="3" t="s">
        <v>1021</v>
      </c>
      <c r="J61" s="3" t="s">
        <v>4640</v>
      </c>
      <c r="K61" s="4" t="str">
        <f t="shared" si="1"/>
        <v>장희순8681</v>
      </c>
      <c r="L61" s="4" t="e">
        <v>#N/A</v>
      </c>
      <c r="M61" s="3" t="str">
        <f>if(vlookup(K61,'1.신청입금매칭표'!C:C,1,false)="","","정상")</f>
        <v>#N/A</v>
      </c>
      <c r="N61" s="3"/>
      <c r="O61" s="3"/>
      <c r="P61" s="3"/>
      <c r="Q61" s="3"/>
      <c r="R61" s="3"/>
      <c r="S61" s="3"/>
    </row>
    <row r="62">
      <c r="A62" s="5">
        <v>472.0</v>
      </c>
      <c r="B62" s="3" t="s">
        <v>1808</v>
      </c>
      <c r="C62" s="3" t="s">
        <v>4748</v>
      </c>
      <c r="D62" s="3" t="s">
        <v>4749</v>
      </c>
      <c r="E62" s="3">
        <v>720220.0</v>
      </c>
      <c r="F62" s="5">
        <v>1.0</v>
      </c>
      <c r="G62" s="3" t="s">
        <v>1021</v>
      </c>
      <c r="H62" s="3" t="s">
        <v>1021</v>
      </c>
      <c r="I62" s="3" t="s">
        <v>1021</v>
      </c>
      <c r="J62" s="3" t="s">
        <v>4640</v>
      </c>
      <c r="K62" s="4" t="str">
        <f t="shared" si="1"/>
        <v>김민경2557</v>
      </c>
      <c r="L62" s="4" t="e">
        <v>#N/A</v>
      </c>
      <c r="M62" s="3" t="str">
        <f>if(vlookup(K62,'1.신청입금매칭표'!C:C,1,false)="","","정상")</f>
        <v>#N/A</v>
      </c>
      <c r="N62" s="3"/>
      <c r="O62" s="3"/>
      <c r="P62" s="3"/>
      <c r="Q62" s="3"/>
      <c r="R62" s="3"/>
      <c r="S62" s="3"/>
    </row>
    <row r="63">
      <c r="A63" s="5">
        <v>452.0</v>
      </c>
      <c r="B63" s="3" t="s">
        <v>1626</v>
      </c>
      <c r="C63" s="3" t="s">
        <v>4750</v>
      </c>
      <c r="D63" s="3" t="s">
        <v>4751</v>
      </c>
      <c r="E63" s="3">
        <v>600715.0</v>
      </c>
      <c r="F63" s="5">
        <v>2.0</v>
      </c>
      <c r="G63" s="3" t="s">
        <v>1021</v>
      </c>
      <c r="H63" s="3" t="s">
        <v>1021</v>
      </c>
      <c r="I63" s="3" t="s">
        <v>1021</v>
      </c>
      <c r="J63" s="3" t="s">
        <v>4640</v>
      </c>
      <c r="K63" s="4" t="str">
        <f t="shared" si="1"/>
        <v>송희순1289</v>
      </c>
      <c r="L63" s="4" t="e">
        <v>#N/A</v>
      </c>
      <c r="M63" s="3" t="str">
        <f>if(vlookup(K63,'1.신청입금매칭표'!C:C,1,false)="","","정상")</f>
        <v>#N/A</v>
      </c>
      <c r="N63" s="3"/>
      <c r="O63" s="3"/>
      <c r="P63" s="3"/>
      <c r="Q63" s="3"/>
      <c r="R63" s="3"/>
      <c r="S63" s="3"/>
    </row>
    <row r="64">
      <c r="A64" s="5">
        <v>424.0</v>
      </c>
      <c r="B64" s="3" t="s">
        <v>1730</v>
      </c>
      <c r="C64" s="3" t="s">
        <v>4752</v>
      </c>
      <c r="D64" s="3" t="s">
        <v>4753</v>
      </c>
      <c r="E64" s="3">
        <v>750624.0</v>
      </c>
      <c r="F64" s="5">
        <v>1.0</v>
      </c>
      <c r="G64" s="3" t="s">
        <v>1021</v>
      </c>
      <c r="H64" s="3" t="s">
        <v>1021</v>
      </c>
      <c r="I64" s="3" t="s">
        <v>1021</v>
      </c>
      <c r="J64" s="3" t="s">
        <v>4640</v>
      </c>
      <c r="K64" s="4" t="str">
        <f t="shared" si="1"/>
        <v>이지선7559</v>
      </c>
      <c r="L64" s="4" t="e">
        <v>#N/A</v>
      </c>
      <c r="M64" s="3" t="str">
        <f>if(vlookup(K64,'1.신청입금매칭표'!C:C,1,false)="","","정상")</f>
        <v>#N/A</v>
      </c>
      <c r="N64" s="3"/>
      <c r="O64" s="3"/>
      <c r="P64" s="3"/>
      <c r="Q64" s="3"/>
      <c r="R64" s="3"/>
      <c r="S64" s="3"/>
    </row>
    <row r="65">
      <c r="A65" s="5">
        <v>427.0</v>
      </c>
      <c r="B65" s="3" t="s">
        <v>1730</v>
      </c>
      <c r="C65" s="3" t="s">
        <v>4754</v>
      </c>
      <c r="D65" s="3" t="s">
        <v>4755</v>
      </c>
      <c r="E65" s="3">
        <v>650701.0</v>
      </c>
      <c r="F65" s="5">
        <v>2.0</v>
      </c>
      <c r="G65" s="3" t="s">
        <v>4756</v>
      </c>
      <c r="H65" s="3" t="s">
        <v>4757</v>
      </c>
      <c r="I65" s="3">
        <v>721205.0</v>
      </c>
      <c r="J65" s="3" t="s">
        <v>4640</v>
      </c>
      <c r="K65" s="4" t="str">
        <f t="shared" si="1"/>
        <v>정선태4506</v>
      </c>
      <c r="L65" s="4" t="e">
        <v>#N/A</v>
      </c>
      <c r="M65" s="3" t="str">
        <f>if(vlookup(K65,'1.신청입금매칭표'!C:C,1,false)="","","정상")</f>
        <v>#N/A</v>
      </c>
      <c r="N65" s="3"/>
      <c r="O65" s="3"/>
      <c r="P65" s="3"/>
      <c r="Q65" s="3"/>
      <c r="R65" s="3"/>
      <c r="S65" s="3"/>
    </row>
    <row r="66">
      <c r="A66" s="5">
        <v>394.0</v>
      </c>
      <c r="B66" s="3" t="s">
        <v>1195</v>
      </c>
      <c r="C66" s="3" t="s">
        <v>1742</v>
      </c>
      <c r="D66" s="3" t="s">
        <v>4758</v>
      </c>
      <c r="E66" s="3">
        <v>621020.0</v>
      </c>
      <c r="F66" s="5">
        <v>2.0</v>
      </c>
      <c r="G66" s="3" t="s">
        <v>1021</v>
      </c>
      <c r="H66" s="3" t="s">
        <v>1021</v>
      </c>
      <c r="I66" s="3" t="s">
        <v>1021</v>
      </c>
      <c r="J66" s="3" t="s">
        <v>4640</v>
      </c>
      <c r="K66" s="4" t="str">
        <f t="shared" si="1"/>
        <v>이정희2671</v>
      </c>
      <c r="L66" s="4" t="e">
        <v>#N/A</v>
      </c>
      <c r="M66" s="3" t="str">
        <f>if(vlookup(K66,'1.신청입금매칭표'!C:C,1,false)="","","정상")</f>
        <v>#N/A</v>
      </c>
      <c r="N66" s="3"/>
      <c r="O66" s="3"/>
      <c r="P66" s="3"/>
      <c r="Q66" s="3"/>
      <c r="R66" s="3"/>
      <c r="S66" s="3"/>
    </row>
    <row r="67">
      <c r="A67" s="5">
        <v>399.0</v>
      </c>
      <c r="B67" s="3" t="s">
        <v>1195</v>
      </c>
      <c r="C67" s="3" t="s">
        <v>4759</v>
      </c>
      <c r="D67" s="3" t="s">
        <v>4760</v>
      </c>
      <c r="E67" s="3">
        <v>600906.0</v>
      </c>
      <c r="F67" s="5">
        <v>2.0</v>
      </c>
      <c r="G67" s="3" t="s">
        <v>1021</v>
      </c>
      <c r="H67" s="3" t="s">
        <v>1021</v>
      </c>
      <c r="I67" s="3" t="s">
        <v>1021</v>
      </c>
      <c r="J67" s="3" t="s">
        <v>4640</v>
      </c>
      <c r="K67" s="4" t="str">
        <f t="shared" si="1"/>
        <v>황의명4115</v>
      </c>
      <c r="L67" s="4" t="e">
        <v>#N/A</v>
      </c>
      <c r="M67" s="3" t="str">
        <f>if(vlookup(K67,'1.신청입금매칭표'!C:C,1,false)="","","정상")</f>
        <v>#N/A</v>
      </c>
      <c r="N67" s="3"/>
      <c r="O67" s="3"/>
      <c r="P67" s="3"/>
      <c r="Q67" s="3"/>
      <c r="R67" s="3"/>
      <c r="S67" s="3"/>
    </row>
    <row r="68">
      <c r="A68" s="5">
        <v>411.0</v>
      </c>
      <c r="B68" s="3" t="s">
        <v>1195</v>
      </c>
      <c r="C68" s="3" t="s">
        <v>4761</v>
      </c>
      <c r="D68" s="3" t="s">
        <v>4762</v>
      </c>
      <c r="E68" s="3">
        <v>801102.0</v>
      </c>
      <c r="F68" s="5">
        <v>1.0</v>
      </c>
      <c r="G68" s="3" t="s">
        <v>1021</v>
      </c>
      <c r="H68" s="3" t="s">
        <v>1021</v>
      </c>
      <c r="I68" s="3" t="s">
        <v>1021</v>
      </c>
      <c r="J68" s="3" t="s">
        <v>4640</v>
      </c>
      <c r="K68" s="4" t="str">
        <f t="shared" si="1"/>
        <v>조현정4733</v>
      </c>
      <c r="L68" s="4" t="e">
        <v>#N/A</v>
      </c>
      <c r="M68" s="3" t="str">
        <f>if(vlookup(K68,'1.신청입금매칭표'!C:C,1,false)="","","정상")</f>
        <v>#N/A</v>
      </c>
      <c r="N68" s="3"/>
      <c r="O68" s="3"/>
      <c r="P68" s="3"/>
      <c r="Q68" s="3"/>
      <c r="R68" s="3"/>
      <c r="S68" s="3"/>
    </row>
    <row r="69">
      <c r="A69" s="5">
        <v>367.0</v>
      </c>
      <c r="B69" s="3" t="s">
        <v>1086</v>
      </c>
      <c r="C69" s="3" t="s">
        <v>4763</v>
      </c>
      <c r="D69" s="3" t="s">
        <v>4764</v>
      </c>
      <c r="E69" s="3">
        <v>600220.0</v>
      </c>
      <c r="F69" s="5">
        <v>2.0</v>
      </c>
      <c r="G69" s="3" t="s">
        <v>1021</v>
      </c>
      <c r="H69" s="3" t="s">
        <v>1021</v>
      </c>
      <c r="I69" s="3" t="s">
        <v>1021</v>
      </c>
      <c r="J69" s="3" t="s">
        <v>4640</v>
      </c>
      <c r="K69" s="4" t="str">
        <f t="shared" si="1"/>
        <v>윤순자4462</v>
      </c>
      <c r="L69" s="4" t="e">
        <v>#N/A</v>
      </c>
      <c r="M69" s="3" t="str">
        <f>if(vlookup(K69,'1.신청입금매칭표'!C:C,1,false)="","","정상")</f>
        <v>#N/A</v>
      </c>
      <c r="N69" s="3"/>
      <c r="O69" s="3"/>
      <c r="P69" s="3"/>
      <c r="Q69" s="3"/>
      <c r="R69" s="3"/>
      <c r="S69" s="3"/>
    </row>
    <row r="70">
      <c r="A70" s="5">
        <v>333.0</v>
      </c>
      <c r="B70" s="3" t="s">
        <v>1052</v>
      </c>
      <c r="C70" s="3" t="s">
        <v>4765</v>
      </c>
      <c r="D70" s="3" t="s">
        <v>4766</v>
      </c>
      <c r="E70" s="3">
        <v>960201.0</v>
      </c>
      <c r="F70" s="5">
        <v>2.0</v>
      </c>
      <c r="G70" s="3" t="s">
        <v>1021</v>
      </c>
      <c r="H70" s="3" t="s">
        <v>1021</v>
      </c>
      <c r="I70" s="3" t="s">
        <v>1021</v>
      </c>
      <c r="J70" s="3" t="s">
        <v>4640</v>
      </c>
      <c r="K70" s="4" t="str">
        <f t="shared" si="1"/>
        <v>최준영3335</v>
      </c>
      <c r="L70" s="4" t="e">
        <v>#N/A</v>
      </c>
      <c r="M70" s="3" t="str">
        <f>if(vlookup(K70,'1.신청입금매칭표'!C:C,1,false)="","","정상")</f>
        <v>#N/A</v>
      </c>
      <c r="N70" s="3"/>
      <c r="O70" s="3"/>
      <c r="P70" s="3"/>
      <c r="Q70" s="3"/>
      <c r="R70" s="3"/>
      <c r="S70" s="3"/>
    </row>
    <row r="71">
      <c r="A71" s="5">
        <v>306.0</v>
      </c>
      <c r="B71" s="3" t="s">
        <v>1950</v>
      </c>
      <c r="C71" s="3" t="s">
        <v>3506</v>
      </c>
      <c r="D71" s="3" t="s">
        <v>4767</v>
      </c>
      <c r="E71" s="3">
        <v>530125.0</v>
      </c>
      <c r="F71" s="5">
        <v>1.0</v>
      </c>
      <c r="G71" s="3" t="s">
        <v>1021</v>
      </c>
      <c r="H71" s="3" t="s">
        <v>1021</v>
      </c>
      <c r="I71" s="3" t="s">
        <v>1021</v>
      </c>
      <c r="J71" s="3" t="s">
        <v>4640</v>
      </c>
      <c r="K71" s="4" t="str">
        <f t="shared" si="1"/>
        <v>이영옥4080</v>
      </c>
      <c r="L71" s="4" t="e">
        <v>#N/A</v>
      </c>
      <c r="M71" s="3" t="str">
        <f>if(vlookup(K71,'1.신청입금매칭표'!C:C,1,false)="","","정상")</f>
        <v>#N/A</v>
      </c>
      <c r="N71" s="3"/>
      <c r="O71" s="3"/>
      <c r="P71" s="3"/>
    </row>
    <row r="72">
      <c r="A72" s="5">
        <v>271.0</v>
      </c>
      <c r="B72" s="3" t="s">
        <v>1081</v>
      </c>
      <c r="C72" s="3" t="s">
        <v>4768</v>
      </c>
      <c r="D72" s="3" t="s">
        <v>4769</v>
      </c>
      <c r="E72" s="3">
        <v>990127.0</v>
      </c>
      <c r="F72" s="5">
        <v>1.0</v>
      </c>
      <c r="G72" s="3" t="s">
        <v>1021</v>
      </c>
      <c r="H72" s="3" t="s">
        <v>1021</v>
      </c>
      <c r="I72" s="3" t="s">
        <v>1021</v>
      </c>
      <c r="J72" s="3" t="s">
        <v>4640</v>
      </c>
      <c r="K72" s="4" t="str">
        <f t="shared" si="1"/>
        <v>정루비9605</v>
      </c>
      <c r="L72" s="4" t="e">
        <v>#N/A</v>
      </c>
      <c r="M72" s="3" t="str">
        <f>if(vlookup(K72,'1.신청입금매칭표'!C:C,1,false)="","","정상")</f>
        <v>#N/A</v>
      </c>
      <c r="N72" s="3"/>
      <c r="O72" s="3"/>
      <c r="P72" s="3"/>
    </row>
    <row r="73">
      <c r="A73" s="5">
        <v>224.0</v>
      </c>
      <c r="B73" s="3" t="s">
        <v>1575</v>
      </c>
      <c r="C73" s="3" t="s">
        <v>4770</v>
      </c>
      <c r="D73" s="3" t="s">
        <v>4771</v>
      </c>
      <c r="E73" s="3">
        <v>840419.0</v>
      </c>
      <c r="F73" s="5">
        <v>2.0</v>
      </c>
      <c r="G73" s="3" t="s">
        <v>1021</v>
      </c>
      <c r="H73" s="3" t="s">
        <v>1021</v>
      </c>
      <c r="I73" s="3" t="s">
        <v>1021</v>
      </c>
      <c r="J73" s="3" t="s">
        <v>4640</v>
      </c>
      <c r="K73" s="4" t="str">
        <f t="shared" si="1"/>
        <v>신미진3265</v>
      </c>
      <c r="L73" s="4" t="e">
        <v>#N/A</v>
      </c>
      <c r="M73" s="3" t="str">
        <f>if(vlookup(K73,'1.신청입금매칭표'!C:C,1,false)="","","정상")</f>
        <v>#N/A</v>
      </c>
      <c r="N73" s="3"/>
      <c r="O73" s="3"/>
      <c r="P73" s="3"/>
    </row>
    <row r="74">
      <c r="A74" s="5">
        <v>199.0</v>
      </c>
      <c r="B74" s="3" t="s">
        <v>1282</v>
      </c>
      <c r="C74" s="3" t="s">
        <v>4772</v>
      </c>
      <c r="D74" s="3" t="s">
        <v>4773</v>
      </c>
      <c r="E74" s="3">
        <v>870106.0</v>
      </c>
      <c r="F74" s="5">
        <v>1.0</v>
      </c>
      <c r="G74" s="3" t="s">
        <v>1021</v>
      </c>
      <c r="H74" s="3" t="s">
        <v>1021</v>
      </c>
      <c r="I74" s="3" t="s">
        <v>1021</v>
      </c>
      <c r="J74" s="3" t="s">
        <v>4640</v>
      </c>
      <c r="K74" s="4" t="str">
        <f t="shared" si="1"/>
        <v>김민섭5910</v>
      </c>
      <c r="L74" s="4" t="e">
        <v>#N/A</v>
      </c>
      <c r="M74" s="3" t="str">
        <f>if(vlookup(K74,'1.신청입금매칭표'!C:C,1,false)="","","정상")</f>
        <v>#N/A</v>
      </c>
      <c r="N74" s="3"/>
      <c r="O74" s="3"/>
      <c r="P74" s="3"/>
    </row>
    <row r="75">
      <c r="A75" s="5">
        <v>183.0</v>
      </c>
      <c r="B75" s="3" t="s">
        <v>2607</v>
      </c>
      <c r="C75" s="3" t="s">
        <v>4774</v>
      </c>
      <c r="D75" s="3" t="s">
        <v>4775</v>
      </c>
      <c r="E75" s="3">
        <v>641121.0</v>
      </c>
      <c r="F75" s="5">
        <v>1.0</v>
      </c>
      <c r="G75" s="3" t="s">
        <v>1021</v>
      </c>
      <c r="H75" s="3" t="s">
        <v>1021</v>
      </c>
      <c r="I75" s="3" t="s">
        <v>1021</v>
      </c>
      <c r="J75" s="3" t="s">
        <v>4640</v>
      </c>
      <c r="K75" s="4" t="str">
        <f t="shared" si="1"/>
        <v>황미희2766</v>
      </c>
      <c r="L75" s="4" t="e">
        <v>#N/A</v>
      </c>
      <c r="M75" s="3" t="str">
        <f>if(vlookup(K75,'1.신청입금매칭표'!C:C,1,false)="","","정상")</f>
        <v>#N/A</v>
      </c>
      <c r="N75" s="3"/>
      <c r="O75" s="3"/>
      <c r="P75" s="3"/>
    </row>
    <row r="76">
      <c r="A76" s="5">
        <v>174.0</v>
      </c>
      <c r="B76" s="3" t="s">
        <v>1250</v>
      </c>
      <c r="C76" s="3" t="s">
        <v>4776</v>
      </c>
      <c r="D76" s="3" t="s">
        <v>4777</v>
      </c>
      <c r="E76" s="3">
        <v>600430.0</v>
      </c>
      <c r="F76" s="5">
        <v>1.0</v>
      </c>
      <c r="G76" s="3" t="s">
        <v>1021</v>
      </c>
      <c r="H76" s="3" t="s">
        <v>1021</v>
      </c>
      <c r="I76" s="3" t="s">
        <v>1021</v>
      </c>
      <c r="J76" s="3" t="s">
        <v>4640</v>
      </c>
      <c r="K76" s="4" t="str">
        <f t="shared" si="1"/>
        <v>함형준8595</v>
      </c>
      <c r="L76" s="4" t="e">
        <v>#N/A</v>
      </c>
      <c r="M76" s="3" t="str">
        <f>if(vlookup(K76,'1.신청입금매칭표'!C:C,1,false)="","","정상")</f>
        <v>#N/A</v>
      </c>
      <c r="N76" s="3"/>
      <c r="O76" s="3"/>
      <c r="P76" s="3"/>
    </row>
    <row r="77">
      <c r="A77" s="5">
        <v>131.0</v>
      </c>
      <c r="B77" s="3" t="s">
        <v>2628</v>
      </c>
      <c r="C77" s="3" t="s">
        <v>2854</v>
      </c>
      <c r="D77" s="3" t="s">
        <v>4778</v>
      </c>
      <c r="E77" s="3">
        <v>700305.0</v>
      </c>
      <c r="F77" s="5">
        <v>1.0</v>
      </c>
      <c r="G77" s="3" t="s">
        <v>1021</v>
      </c>
      <c r="H77" s="3" t="s">
        <v>1021</v>
      </c>
      <c r="I77" s="3" t="s">
        <v>1021</v>
      </c>
      <c r="J77" s="3" t="s">
        <v>4640</v>
      </c>
      <c r="K77" s="4" t="str">
        <f t="shared" si="1"/>
        <v>서순정0683</v>
      </c>
      <c r="L77" s="4" t="e">
        <v>#N/A</v>
      </c>
      <c r="M77" s="3" t="str">
        <f>if(vlookup(K77,'1.신청입금매칭표'!C:C,1,false)="","","정상")</f>
        <v>#N/A</v>
      </c>
      <c r="N77" s="3"/>
      <c r="O77" s="3"/>
      <c r="P77" s="3"/>
    </row>
    <row r="78">
      <c r="A78" s="5">
        <v>1059.0</v>
      </c>
      <c r="B78" s="3" t="s">
        <v>1047</v>
      </c>
      <c r="C78" s="3" t="s">
        <v>1839</v>
      </c>
      <c r="D78" s="3" t="s">
        <v>4779</v>
      </c>
      <c r="E78" s="3">
        <v>741115.0</v>
      </c>
      <c r="F78" s="5">
        <v>2.0</v>
      </c>
      <c r="G78" s="3" t="s">
        <v>1841</v>
      </c>
      <c r="H78" s="3" t="s">
        <v>1840</v>
      </c>
      <c r="I78" s="3">
        <v>770815.0</v>
      </c>
      <c r="J78" s="3" t="s">
        <v>1021</v>
      </c>
      <c r="K78" s="4" t="str">
        <f t="shared" si="1"/>
        <v>이남애6398</v>
      </c>
      <c r="L78" s="3" t="s">
        <v>4640</v>
      </c>
      <c r="M78" s="3" t="s">
        <v>4780</v>
      </c>
      <c r="N78" s="3"/>
      <c r="O78" s="3"/>
      <c r="P78" s="3"/>
    </row>
    <row r="79">
      <c r="A79" s="5">
        <v>989.0</v>
      </c>
      <c r="B79" s="3" t="s">
        <v>1022</v>
      </c>
      <c r="C79" s="3" t="s">
        <v>4781</v>
      </c>
      <c r="D79" s="3" t="s">
        <v>1229</v>
      </c>
      <c r="E79" s="3">
        <v>650409.0</v>
      </c>
      <c r="F79" s="5">
        <v>2.0</v>
      </c>
      <c r="G79" s="3" t="s">
        <v>4782</v>
      </c>
      <c r="H79" s="3" t="s">
        <v>1231</v>
      </c>
      <c r="I79" s="3">
        <v>670418.0</v>
      </c>
      <c r="J79" s="3" t="s">
        <v>1021</v>
      </c>
      <c r="K79" s="4" t="str">
        <f t="shared" si="1"/>
        <v>길미7345</v>
      </c>
      <c r="L79" s="3" t="s">
        <v>4640</v>
      </c>
      <c r="M79" s="3" t="s">
        <v>4780</v>
      </c>
      <c r="N79" s="3"/>
      <c r="O79" s="3"/>
      <c r="P79" s="3"/>
    </row>
    <row r="80">
      <c r="A80" s="5">
        <v>439.0</v>
      </c>
      <c r="B80" s="3" t="s">
        <v>1381</v>
      </c>
      <c r="C80" s="3" t="s">
        <v>4783</v>
      </c>
      <c r="D80" s="3" t="s">
        <v>4784</v>
      </c>
      <c r="E80" s="3">
        <v>610412.0</v>
      </c>
      <c r="F80" s="5">
        <v>1.0</v>
      </c>
      <c r="G80" s="3" t="s">
        <v>1021</v>
      </c>
      <c r="H80" s="3" t="s">
        <v>1021</v>
      </c>
      <c r="I80" s="3" t="s">
        <v>1021</v>
      </c>
      <c r="J80" s="3" t="s">
        <v>1021</v>
      </c>
      <c r="K80" s="4" t="str">
        <f t="shared" si="1"/>
        <v>노민영6536</v>
      </c>
      <c r="L80" s="3" t="s">
        <v>4640</v>
      </c>
      <c r="M80" s="3" t="s">
        <v>4780</v>
      </c>
      <c r="N80" s="3"/>
      <c r="O80" s="3"/>
      <c r="P80" s="3"/>
    </row>
    <row r="81">
      <c r="A81" s="5">
        <v>425.0</v>
      </c>
      <c r="B81" s="3" t="s">
        <v>1730</v>
      </c>
      <c r="C81" s="3" t="s">
        <v>1731</v>
      </c>
      <c r="D81" s="3" t="s">
        <v>1732</v>
      </c>
      <c r="E81" s="3">
        <v>640201.0</v>
      </c>
      <c r="F81" s="5">
        <v>2.0</v>
      </c>
      <c r="G81" s="3" t="s">
        <v>1733</v>
      </c>
      <c r="H81" s="3" t="s">
        <v>1734</v>
      </c>
      <c r="I81" s="3">
        <v>611230.0</v>
      </c>
      <c r="J81" s="3" t="s">
        <v>1021</v>
      </c>
      <c r="K81" s="4" t="str">
        <f t="shared" si="1"/>
        <v>이지영2400</v>
      </c>
      <c r="L81" s="3" t="s">
        <v>4640</v>
      </c>
      <c r="M81" s="3" t="s">
        <v>4780</v>
      </c>
      <c r="N81" s="3"/>
      <c r="O81" s="3"/>
      <c r="P81" s="3"/>
    </row>
  </sheetData>
  <autoFilter ref="$A$1:$P$81">
    <sortState ref="A1:P81">
      <sortCondition ref="L1:L81"/>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0.13"/>
    <col customWidth="1" min="5" max="5" width="60.13"/>
  </cols>
  <sheetData>
    <row r="1" ht="14.25" customHeight="1">
      <c r="A1" s="86" t="s">
        <v>4785</v>
      </c>
      <c r="B1" s="86" t="s">
        <v>984</v>
      </c>
      <c r="C1" s="86" t="s">
        <v>985</v>
      </c>
      <c r="D1" s="86"/>
      <c r="E1" s="86" t="s">
        <v>4786</v>
      </c>
      <c r="F1" s="86" t="s">
        <v>4787</v>
      </c>
      <c r="G1" s="86" t="s">
        <v>4788</v>
      </c>
      <c r="H1" s="86" t="s">
        <v>4789</v>
      </c>
      <c r="I1" s="86" t="s">
        <v>4790</v>
      </c>
    </row>
    <row r="2" ht="14.25" customHeight="1">
      <c r="A2" s="87">
        <v>1.0</v>
      </c>
      <c r="B2" s="88" t="s">
        <v>1733</v>
      </c>
      <c r="C2" s="89">
        <v>1.037511846E9</v>
      </c>
      <c r="D2" s="89" t="str">
        <f t="shared" ref="D2:D1048" si="1">concatenate(B2,right(C2,4))</f>
        <v>이지현1846</v>
      </c>
      <c r="E2" s="89" t="s">
        <v>4791</v>
      </c>
      <c r="F2" s="90">
        <v>46000.24497685185</v>
      </c>
      <c r="G2" s="88" t="s">
        <v>4792</v>
      </c>
      <c r="H2" s="91"/>
      <c r="I2" s="92"/>
    </row>
    <row r="3" ht="14.25" customHeight="1">
      <c r="A3" s="87">
        <v>2.0</v>
      </c>
      <c r="B3" s="88" t="s">
        <v>3190</v>
      </c>
      <c r="C3" s="89">
        <v>1.037340296E9</v>
      </c>
      <c r="D3" s="89" t="str">
        <f t="shared" si="1"/>
        <v>맹태만0296</v>
      </c>
      <c r="E3" s="89" t="s">
        <v>4793</v>
      </c>
      <c r="F3" s="90">
        <v>46000.18892361111</v>
      </c>
      <c r="G3" s="88" t="s">
        <v>4792</v>
      </c>
      <c r="H3" s="91"/>
      <c r="I3" s="92"/>
    </row>
    <row r="4" ht="14.25" customHeight="1">
      <c r="A4" s="87">
        <v>3.0</v>
      </c>
      <c r="B4" s="88" t="s">
        <v>1040</v>
      </c>
      <c r="C4" s="89">
        <v>1.065562831E9</v>
      </c>
      <c r="D4" s="89" t="str">
        <f t="shared" si="1"/>
        <v>김해영2831</v>
      </c>
      <c r="E4" s="89" t="s">
        <v>4794</v>
      </c>
      <c r="F4" s="90">
        <v>46000.106620370374</v>
      </c>
      <c r="G4" s="88" t="s">
        <v>4792</v>
      </c>
      <c r="H4" s="91"/>
      <c r="I4" s="92"/>
    </row>
    <row r="5" ht="14.25" customHeight="1">
      <c r="A5" s="87">
        <v>4.0</v>
      </c>
      <c r="B5" s="88" t="s">
        <v>4795</v>
      </c>
      <c r="C5" s="89">
        <v>1.092993732E9</v>
      </c>
      <c r="D5" s="89" t="str">
        <f t="shared" si="1"/>
        <v>이상희3732</v>
      </c>
      <c r="E5" s="89" t="s">
        <v>4796</v>
      </c>
      <c r="F5" s="90">
        <v>46000.06662037037</v>
      </c>
      <c r="G5" s="88" t="s">
        <v>4792</v>
      </c>
      <c r="H5" s="91"/>
      <c r="I5" s="92"/>
    </row>
    <row r="6" ht="14.25" customHeight="1">
      <c r="A6" s="87">
        <v>5.0</v>
      </c>
      <c r="B6" s="88" t="s">
        <v>4797</v>
      </c>
      <c r="C6" s="89">
        <v>1.062666306E9</v>
      </c>
      <c r="D6" s="89" t="str">
        <f t="shared" si="1"/>
        <v>손병기6306</v>
      </c>
      <c r="E6" s="89" t="s">
        <v>4798</v>
      </c>
      <c r="F6" s="90">
        <v>46000.03003472222</v>
      </c>
      <c r="G6" s="88" t="s">
        <v>4792</v>
      </c>
      <c r="H6" s="91"/>
      <c r="I6" s="92"/>
    </row>
    <row r="7" ht="14.25" customHeight="1">
      <c r="A7" s="87">
        <v>6.0</v>
      </c>
      <c r="B7" s="88" t="s">
        <v>2837</v>
      </c>
      <c r="C7" s="89">
        <v>1.072110988E9</v>
      </c>
      <c r="D7" s="89" t="str">
        <f t="shared" si="1"/>
        <v>김혜성0988</v>
      </c>
      <c r="E7" s="89" t="s">
        <v>4799</v>
      </c>
      <c r="F7" s="90">
        <v>46000.021157407406</v>
      </c>
      <c r="G7" s="88" t="s">
        <v>4792</v>
      </c>
      <c r="H7" s="91"/>
      <c r="I7" s="92"/>
    </row>
    <row r="8" ht="14.25" customHeight="1">
      <c r="A8" s="87">
        <v>7.0</v>
      </c>
      <c r="B8" s="88" t="s">
        <v>4800</v>
      </c>
      <c r="C8" s="89">
        <v>1.055119963E9</v>
      </c>
      <c r="D8" s="89" t="str">
        <f t="shared" si="1"/>
        <v>이미연9963</v>
      </c>
      <c r="E8" s="89" t="s">
        <v>4801</v>
      </c>
      <c r="F8" s="90">
        <v>46000.01950231481</v>
      </c>
      <c r="G8" s="88" t="s">
        <v>4792</v>
      </c>
      <c r="H8" s="91"/>
      <c r="I8" s="92"/>
    </row>
    <row r="9" ht="14.25" customHeight="1">
      <c r="A9" s="87">
        <v>8.0</v>
      </c>
      <c r="B9" s="88" t="s">
        <v>3848</v>
      </c>
      <c r="C9" s="89">
        <v>1.020145896E9</v>
      </c>
      <c r="D9" s="89" t="str">
        <f t="shared" si="1"/>
        <v>손영숙5896</v>
      </c>
      <c r="E9" s="89" t="s">
        <v>4802</v>
      </c>
      <c r="F9" s="90">
        <v>46000.012037037035</v>
      </c>
      <c r="G9" s="88" t="s">
        <v>4792</v>
      </c>
      <c r="H9" s="91"/>
      <c r="I9" s="92"/>
    </row>
    <row r="10" ht="14.25" customHeight="1">
      <c r="A10" s="87">
        <v>9.0</v>
      </c>
      <c r="B10" s="88" t="s">
        <v>2395</v>
      </c>
      <c r="C10" s="89">
        <v>1.043332348E9</v>
      </c>
      <c r="D10" s="89" t="str">
        <f t="shared" si="1"/>
        <v>최은혜2348</v>
      </c>
      <c r="E10" s="89" t="s">
        <v>4803</v>
      </c>
      <c r="F10" s="90">
        <v>45999.99513888889</v>
      </c>
      <c r="G10" s="88" t="s">
        <v>4792</v>
      </c>
      <c r="H10" s="93"/>
      <c r="I10" s="93"/>
    </row>
    <row r="11" ht="14.25" customHeight="1">
      <c r="A11" s="87">
        <v>10.0</v>
      </c>
      <c r="B11" s="88" t="s">
        <v>1398</v>
      </c>
      <c r="C11" s="89">
        <v>1.089230225E9</v>
      </c>
      <c r="D11" s="89" t="str">
        <f t="shared" si="1"/>
        <v>주현경0225</v>
      </c>
      <c r="E11" s="89" t="s">
        <v>4804</v>
      </c>
      <c r="F11" s="90">
        <v>45999.97483796296</v>
      </c>
      <c r="G11" s="88" t="s">
        <v>4805</v>
      </c>
      <c r="H11" s="88" t="s">
        <v>4806</v>
      </c>
      <c r="I11" s="90">
        <v>45999.979537037034</v>
      </c>
    </row>
    <row r="12" ht="14.25" customHeight="1">
      <c r="A12" s="87">
        <v>11.0</v>
      </c>
      <c r="B12" s="88" t="s">
        <v>1067</v>
      </c>
      <c r="C12" s="89">
        <v>1.04512148E9</v>
      </c>
      <c r="D12" s="89" t="str">
        <f t="shared" si="1"/>
        <v>차현주1480</v>
      </c>
      <c r="E12" s="89" t="s">
        <v>4807</v>
      </c>
      <c r="F12" s="90">
        <v>45999.95459490741</v>
      </c>
      <c r="G12" s="88" t="s">
        <v>4805</v>
      </c>
      <c r="H12" s="88" t="s">
        <v>4808</v>
      </c>
      <c r="I12" s="90">
        <v>45999.95778935185</v>
      </c>
    </row>
    <row r="13" ht="14.25" customHeight="1">
      <c r="A13" s="87">
        <v>12.0</v>
      </c>
      <c r="B13" s="88" t="s">
        <v>4490</v>
      </c>
      <c r="C13" s="89">
        <v>1.02365048E9</v>
      </c>
      <c r="D13" s="89" t="str">
        <f t="shared" si="1"/>
        <v>하대호0480</v>
      </c>
      <c r="E13" s="89" t="s">
        <v>4809</v>
      </c>
      <c r="F13" s="90">
        <v>45999.949895833335</v>
      </c>
      <c r="G13" s="88" t="s">
        <v>4805</v>
      </c>
      <c r="H13" s="88" t="s">
        <v>4810</v>
      </c>
      <c r="I13" s="90">
        <v>45999.95631944444</v>
      </c>
    </row>
    <row r="14" ht="14.25" customHeight="1">
      <c r="A14" s="87">
        <v>13.0</v>
      </c>
      <c r="B14" s="88" t="s">
        <v>3832</v>
      </c>
      <c r="C14" s="89">
        <v>1.050334525E9</v>
      </c>
      <c r="D14" s="89" t="str">
        <f t="shared" si="1"/>
        <v>임순빈4525</v>
      </c>
      <c r="E14" s="89" t="s">
        <v>4811</v>
      </c>
      <c r="F14" s="90">
        <v>45999.934594907405</v>
      </c>
      <c r="G14" s="88" t="s">
        <v>4805</v>
      </c>
      <c r="H14" s="88" t="s">
        <v>4812</v>
      </c>
      <c r="I14" s="90">
        <v>45999.948969907404</v>
      </c>
    </row>
    <row r="15" ht="14.25" customHeight="1">
      <c r="A15" s="87">
        <v>14.0</v>
      </c>
      <c r="B15" s="88" t="s">
        <v>1627</v>
      </c>
      <c r="C15" s="89">
        <v>1.080220409E9</v>
      </c>
      <c r="D15" s="89" t="str">
        <f t="shared" si="1"/>
        <v>김미0409</v>
      </c>
      <c r="E15" s="89" t="s">
        <v>4813</v>
      </c>
      <c r="F15" s="90">
        <v>45999.88612268519</v>
      </c>
      <c r="G15" s="88" t="s">
        <v>4805</v>
      </c>
      <c r="H15" s="88" t="s">
        <v>4814</v>
      </c>
      <c r="I15" s="90">
        <v>45999.951875</v>
      </c>
    </row>
    <row r="16" ht="14.25" customHeight="1">
      <c r="A16" s="87">
        <v>15.0</v>
      </c>
      <c r="B16" s="94" t="s">
        <v>3235</v>
      </c>
      <c r="C16" s="89">
        <v>1.081085598E9</v>
      </c>
      <c r="D16" s="89" t="str">
        <f t="shared" si="1"/>
        <v>박선화5598</v>
      </c>
      <c r="E16" s="89" t="s">
        <v>4815</v>
      </c>
      <c r="F16" s="90">
        <v>45999.88428240741</v>
      </c>
      <c r="G16" s="88" t="s">
        <v>4792</v>
      </c>
      <c r="H16" s="91"/>
      <c r="I16" s="92"/>
    </row>
    <row r="17" ht="14.25" customHeight="1">
      <c r="A17" s="87">
        <v>16.0</v>
      </c>
      <c r="B17" s="88" t="s">
        <v>1237</v>
      </c>
      <c r="C17" s="89">
        <v>1.090267644E9</v>
      </c>
      <c r="D17" s="89" t="str">
        <f t="shared" si="1"/>
        <v>한명실7644</v>
      </c>
      <c r="E17" s="89" t="s">
        <v>4816</v>
      </c>
      <c r="F17" s="90">
        <v>45999.858310185184</v>
      </c>
      <c r="G17" s="88" t="s">
        <v>4805</v>
      </c>
      <c r="H17" s="88" t="s">
        <v>4817</v>
      </c>
      <c r="I17" s="90">
        <v>45999.863217592596</v>
      </c>
    </row>
    <row r="18" ht="14.25" customHeight="1">
      <c r="A18" s="87">
        <v>17.0</v>
      </c>
      <c r="B18" s="88" t="s">
        <v>1237</v>
      </c>
      <c r="C18" s="89">
        <v>1.090267644E9</v>
      </c>
      <c r="D18" s="89" t="str">
        <f t="shared" si="1"/>
        <v>한명실7644</v>
      </c>
      <c r="E18" s="89" t="s">
        <v>4818</v>
      </c>
      <c r="F18" s="90">
        <v>45999.85653935185</v>
      </c>
      <c r="G18" s="88" t="s">
        <v>4805</v>
      </c>
      <c r="H18" s="88" t="s">
        <v>4819</v>
      </c>
      <c r="I18" s="90">
        <v>45999.93866898148</v>
      </c>
    </row>
    <row r="19" ht="14.25" customHeight="1">
      <c r="A19" s="87">
        <v>18.0</v>
      </c>
      <c r="B19" s="88" t="s">
        <v>2010</v>
      </c>
      <c r="C19" s="89">
        <v>1.042276604E9</v>
      </c>
      <c r="D19" s="89" t="str">
        <f t="shared" si="1"/>
        <v>오효근6604</v>
      </c>
      <c r="E19" s="89" t="s">
        <v>4820</v>
      </c>
      <c r="F19" s="90">
        <v>45999.84986111111</v>
      </c>
      <c r="G19" s="88" t="s">
        <v>4805</v>
      </c>
      <c r="H19" s="88" t="s">
        <v>4821</v>
      </c>
      <c r="I19" s="90">
        <v>45999.864270833335</v>
      </c>
    </row>
    <row r="20" ht="14.25" customHeight="1">
      <c r="A20" s="87">
        <v>19.0</v>
      </c>
      <c r="B20" s="88" t="s">
        <v>2990</v>
      </c>
      <c r="C20" s="89">
        <v>1.0884519E9</v>
      </c>
      <c r="D20" s="89" t="str">
        <f t="shared" si="1"/>
        <v>권나희1900</v>
      </c>
      <c r="E20" s="89" t="s">
        <v>4822</v>
      </c>
      <c r="F20" s="90">
        <v>45999.84892361111</v>
      </c>
      <c r="G20" s="88" t="s">
        <v>4805</v>
      </c>
      <c r="H20" s="88" t="s">
        <v>4823</v>
      </c>
      <c r="I20" s="90">
        <v>45999.865381944444</v>
      </c>
    </row>
    <row r="21" ht="14.25" customHeight="1">
      <c r="A21" s="87">
        <v>20.0</v>
      </c>
      <c r="B21" s="88" t="s">
        <v>1398</v>
      </c>
      <c r="C21" s="89">
        <v>1.089230225E9</v>
      </c>
      <c r="D21" s="89" t="str">
        <f t="shared" si="1"/>
        <v>주현경0225</v>
      </c>
      <c r="E21" s="89" t="s">
        <v>4824</v>
      </c>
      <c r="F21" s="90">
        <v>45999.84520833333</v>
      </c>
      <c r="G21" s="88" t="s">
        <v>4805</v>
      </c>
      <c r="H21" s="88" t="s">
        <v>4825</v>
      </c>
      <c r="I21" s="90">
        <v>45999.939930555556</v>
      </c>
    </row>
    <row r="22" ht="14.25" customHeight="1">
      <c r="A22" s="87">
        <v>21.0</v>
      </c>
      <c r="B22" s="88" t="s">
        <v>2115</v>
      </c>
      <c r="C22" s="89">
        <v>1.063210794E9</v>
      </c>
      <c r="D22" s="89" t="str">
        <f t="shared" si="1"/>
        <v>김하나0794</v>
      </c>
      <c r="E22" s="89" t="s">
        <v>4826</v>
      </c>
      <c r="F22" s="90">
        <v>45999.81229166667</v>
      </c>
      <c r="G22" s="88" t="s">
        <v>4805</v>
      </c>
      <c r="H22" s="88" t="s">
        <v>4827</v>
      </c>
      <c r="I22" s="90">
        <v>45999.827939814815</v>
      </c>
    </row>
    <row r="23" ht="14.25" customHeight="1">
      <c r="A23" s="87">
        <v>22.0</v>
      </c>
      <c r="B23" s="88" t="s">
        <v>1267</v>
      </c>
      <c r="C23" s="89">
        <v>1.076573075E9</v>
      </c>
      <c r="D23" s="89" t="str">
        <f t="shared" si="1"/>
        <v>강경희3075</v>
      </c>
      <c r="E23" s="89" t="s">
        <v>4828</v>
      </c>
      <c r="F23" s="90">
        <v>45999.80988425926</v>
      </c>
      <c r="G23" s="88" t="s">
        <v>4805</v>
      </c>
      <c r="H23" s="88" t="s">
        <v>4829</v>
      </c>
      <c r="I23" s="90">
        <v>45999.83881944444</v>
      </c>
    </row>
    <row r="24" ht="14.25" customHeight="1">
      <c r="A24" s="87">
        <v>23.0</v>
      </c>
      <c r="B24" s="88" t="s">
        <v>4830</v>
      </c>
      <c r="C24" s="89">
        <v>1.026276052E9</v>
      </c>
      <c r="D24" s="89" t="str">
        <f t="shared" si="1"/>
        <v>이상열6052</v>
      </c>
      <c r="E24" s="89" t="s">
        <v>4831</v>
      </c>
      <c r="F24" s="90">
        <v>45999.808171296296</v>
      </c>
      <c r="G24" s="88" t="s">
        <v>4805</v>
      </c>
      <c r="H24" s="88" t="s">
        <v>4832</v>
      </c>
      <c r="I24" s="90">
        <v>45999.83993055556</v>
      </c>
    </row>
    <row r="25" ht="14.25" customHeight="1">
      <c r="A25" s="87">
        <v>24.0</v>
      </c>
      <c r="B25" s="88" t="s">
        <v>2115</v>
      </c>
      <c r="C25" s="89">
        <v>1.063210794E9</v>
      </c>
      <c r="D25" s="89" t="str">
        <f t="shared" si="1"/>
        <v>김하나0794</v>
      </c>
      <c r="E25" s="89" t="s">
        <v>4833</v>
      </c>
      <c r="F25" s="90">
        <v>45999.80096064815</v>
      </c>
      <c r="G25" s="88" t="s">
        <v>4805</v>
      </c>
      <c r="H25" s="88" t="s">
        <v>4834</v>
      </c>
      <c r="I25" s="90">
        <v>45999.804502314815</v>
      </c>
    </row>
    <row r="26" ht="14.25" customHeight="1">
      <c r="A26" s="87">
        <v>25.0</v>
      </c>
      <c r="B26" s="88" t="s">
        <v>3064</v>
      </c>
      <c r="C26" s="89">
        <v>1.091663415E9</v>
      </c>
      <c r="D26" s="89" t="str">
        <f t="shared" si="1"/>
        <v>김설자3415</v>
      </c>
      <c r="E26" s="89" t="s">
        <v>4835</v>
      </c>
      <c r="F26" s="90">
        <v>45999.800162037034</v>
      </c>
      <c r="G26" s="88" t="s">
        <v>4792</v>
      </c>
      <c r="H26" s="91"/>
      <c r="I26" s="92"/>
    </row>
    <row r="27" ht="14.25" customHeight="1">
      <c r="A27" s="87">
        <v>26.0</v>
      </c>
      <c r="B27" s="88" t="s">
        <v>3200</v>
      </c>
      <c r="C27" s="89">
        <v>1.023590417E9</v>
      </c>
      <c r="D27" s="89" t="str">
        <f t="shared" si="1"/>
        <v>문채영0417</v>
      </c>
      <c r="E27" s="89" t="s">
        <v>4836</v>
      </c>
      <c r="F27" s="90">
        <v>45999.797488425924</v>
      </c>
      <c r="G27" s="88" t="s">
        <v>4805</v>
      </c>
      <c r="H27" s="88" t="s">
        <v>4837</v>
      </c>
      <c r="I27" s="90">
        <v>45999.806122685186</v>
      </c>
    </row>
    <row r="28" ht="14.25" customHeight="1">
      <c r="A28" s="87">
        <v>27.0</v>
      </c>
      <c r="B28" s="88" t="s">
        <v>3064</v>
      </c>
      <c r="C28" s="89">
        <v>1.091663415E9</v>
      </c>
      <c r="D28" s="89" t="str">
        <f t="shared" si="1"/>
        <v>김설자3415</v>
      </c>
      <c r="E28" s="89" t="s">
        <v>4838</v>
      </c>
      <c r="F28" s="90">
        <v>45999.79722222222</v>
      </c>
      <c r="G28" s="88" t="s">
        <v>4805</v>
      </c>
      <c r="H28" s="88" t="s">
        <v>4839</v>
      </c>
      <c r="I28" s="90">
        <v>45999.80641203704</v>
      </c>
    </row>
    <row r="29" ht="14.25" customHeight="1">
      <c r="A29" s="87">
        <v>28.0</v>
      </c>
      <c r="B29" s="88" t="s">
        <v>3878</v>
      </c>
      <c r="C29" s="89">
        <v>1.065173088E9</v>
      </c>
      <c r="D29" s="89" t="str">
        <f t="shared" si="1"/>
        <v>나경희3088</v>
      </c>
      <c r="E29" s="89" t="s">
        <v>4840</v>
      </c>
      <c r="F29" s="90">
        <v>45999.75784722222</v>
      </c>
      <c r="G29" s="88" t="s">
        <v>4805</v>
      </c>
      <c r="H29" s="88" t="s">
        <v>4841</v>
      </c>
      <c r="I29" s="90">
        <v>45999.80774305556</v>
      </c>
    </row>
    <row r="30" ht="14.25" customHeight="1">
      <c r="A30" s="87">
        <v>29.0</v>
      </c>
      <c r="B30" s="88" t="s">
        <v>4842</v>
      </c>
      <c r="C30" s="89">
        <v>1.04892507E9</v>
      </c>
      <c r="D30" s="89" t="str">
        <f t="shared" si="1"/>
        <v>설다은5070</v>
      </c>
      <c r="E30" s="89" t="s">
        <v>4843</v>
      </c>
      <c r="F30" s="90">
        <v>45999.74407407407</v>
      </c>
      <c r="G30" s="88" t="s">
        <v>4805</v>
      </c>
      <c r="H30" s="88" t="s">
        <v>4844</v>
      </c>
      <c r="I30" s="90">
        <v>45999.74685185185</v>
      </c>
    </row>
    <row r="31" ht="14.25" customHeight="1">
      <c r="A31" s="87">
        <v>30.0</v>
      </c>
      <c r="B31" s="88" t="s">
        <v>2763</v>
      </c>
      <c r="C31" s="89">
        <v>1.055313799E9</v>
      </c>
      <c r="D31" s="89" t="str">
        <f t="shared" si="1"/>
        <v>지은아3799</v>
      </c>
      <c r="E31" s="89" t="s">
        <v>4845</v>
      </c>
      <c r="F31" s="90">
        <v>45999.742789351854</v>
      </c>
      <c r="G31" s="88" t="s">
        <v>4792</v>
      </c>
      <c r="H31" s="91"/>
      <c r="I31" s="92"/>
    </row>
    <row r="32" ht="14.25" customHeight="1">
      <c r="A32" s="87">
        <v>31.0</v>
      </c>
      <c r="B32" s="88" t="s">
        <v>3884</v>
      </c>
      <c r="C32" s="89">
        <v>1.094956109E9</v>
      </c>
      <c r="D32" s="89" t="str">
        <f t="shared" si="1"/>
        <v>김정화6109</v>
      </c>
      <c r="E32" s="89" t="s">
        <v>4846</v>
      </c>
      <c r="F32" s="90">
        <v>45999.72804398148</v>
      </c>
      <c r="G32" s="88" t="s">
        <v>4792</v>
      </c>
      <c r="H32" s="91"/>
      <c r="I32" s="92"/>
    </row>
    <row r="33" ht="14.25" customHeight="1">
      <c r="A33" s="87">
        <v>32.0</v>
      </c>
      <c r="B33" s="88" t="s">
        <v>3878</v>
      </c>
      <c r="C33" s="89">
        <v>1.065173088E9</v>
      </c>
      <c r="D33" s="89" t="str">
        <f t="shared" si="1"/>
        <v>나경희3088</v>
      </c>
      <c r="E33" s="89" t="s">
        <v>4847</v>
      </c>
      <c r="F33" s="90">
        <v>45999.727789351855</v>
      </c>
      <c r="G33" s="88" t="s">
        <v>4805</v>
      </c>
      <c r="H33" s="88" t="s">
        <v>4848</v>
      </c>
      <c r="I33" s="90">
        <v>45999.744421296295</v>
      </c>
    </row>
    <row r="34" ht="14.25" customHeight="1">
      <c r="A34" s="87">
        <v>33.0</v>
      </c>
      <c r="B34" s="88" t="s">
        <v>1043</v>
      </c>
      <c r="C34" s="89">
        <v>1.028045404E9</v>
      </c>
      <c r="D34" s="89" t="str">
        <f t="shared" si="1"/>
        <v>안은숙5404</v>
      </c>
      <c r="E34" s="89" t="s">
        <v>4849</v>
      </c>
      <c r="F34" s="90">
        <v>45999.72539351852</v>
      </c>
      <c r="G34" s="88" t="s">
        <v>4805</v>
      </c>
      <c r="H34" s="88" t="s">
        <v>4841</v>
      </c>
      <c r="I34" s="90">
        <v>45999.74560185185</v>
      </c>
    </row>
    <row r="35" ht="14.25" customHeight="1">
      <c r="A35" s="87">
        <v>34.0</v>
      </c>
      <c r="B35" s="88" t="s">
        <v>3878</v>
      </c>
      <c r="C35" s="89">
        <v>1.065173088E9</v>
      </c>
      <c r="D35" s="89" t="str">
        <f t="shared" si="1"/>
        <v>나경희3088</v>
      </c>
      <c r="E35" s="89" t="s">
        <v>4850</v>
      </c>
      <c r="F35" s="90">
        <v>45999.724270833336</v>
      </c>
      <c r="G35" s="88" t="s">
        <v>4792</v>
      </c>
      <c r="H35" s="91"/>
      <c r="I35" s="92"/>
    </row>
    <row r="36" ht="14.25" customHeight="1">
      <c r="A36" s="87">
        <v>35.0</v>
      </c>
      <c r="B36" s="88" t="s">
        <v>4851</v>
      </c>
      <c r="C36" s="89">
        <v>1.050399373E9</v>
      </c>
      <c r="D36" s="89" t="str">
        <f t="shared" si="1"/>
        <v>박서윤9373</v>
      </c>
      <c r="E36" s="89" t="s">
        <v>4852</v>
      </c>
      <c r="F36" s="90">
        <v>45999.72299768519</v>
      </c>
      <c r="G36" s="88" t="s">
        <v>4805</v>
      </c>
      <c r="H36" s="88" t="s">
        <v>4853</v>
      </c>
      <c r="I36" s="90">
        <v>45999.75332175926</v>
      </c>
    </row>
    <row r="37" ht="14.25" customHeight="1">
      <c r="A37" s="87">
        <v>36.0</v>
      </c>
      <c r="B37" s="88" t="s">
        <v>2852</v>
      </c>
      <c r="C37" s="89">
        <v>1.032596212E9</v>
      </c>
      <c r="D37" s="89" t="str">
        <f t="shared" si="1"/>
        <v>서동미6212</v>
      </c>
      <c r="E37" s="89" t="s">
        <v>4854</v>
      </c>
      <c r="F37" s="90">
        <v>45999.72179398148</v>
      </c>
      <c r="G37" s="88" t="s">
        <v>4805</v>
      </c>
      <c r="H37" s="88" t="s">
        <v>4839</v>
      </c>
      <c r="I37" s="90">
        <v>45999.81070601852</v>
      </c>
    </row>
    <row r="38" ht="14.25" customHeight="1">
      <c r="A38" s="87">
        <v>37.0</v>
      </c>
      <c r="B38" s="88" t="s">
        <v>3884</v>
      </c>
      <c r="C38" s="89">
        <v>1.094956109E9</v>
      </c>
      <c r="D38" s="89" t="str">
        <f t="shared" si="1"/>
        <v>김정화6109</v>
      </c>
      <c r="E38" s="89" t="s">
        <v>4855</v>
      </c>
      <c r="F38" s="90">
        <v>45999.718206018515</v>
      </c>
      <c r="G38" s="88" t="s">
        <v>4792</v>
      </c>
      <c r="H38" s="91"/>
      <c r="I38" s="92"/>
    </row>
    <row r="39" ht="14.25" customHeight="1">
      <c r="A39" s="87">
        <v>38.0</v>
      </c>
      <c r="B39" s="88" t="s">
        <v>2511</v>
      </c>
      <c r="C39" s="89">
        <v>1.052325712E9</v>
      </c>
      <c r="D39" s="89" t="str">
        <f t="shared" si="1"/>
        <v>김나영5712</v>
      </c>
      <c r="E39" s="89" t="s">
        <v>4856</v>
      </c>
      <c r="F39" s="90">
        <v>45999.71461805556</v>
      </c>
      <c r="G39" s="88" t="s">
        <v>4805</v>
      </c>
      <c r="H39" s="88" t="s">
        <v>4857</v>
      </c>
      <c r="I39" s="90">
        <v>45999.75502314815</v>
      </c>
    </row>
    <row r="40" ht="14.25" customHeight="1">
      <c r="A40" s="87">
        <v>39.0</v>
      </c>
      <c r="B40" s="88" t="s">
        <v>1015</v>
      </c>
      <c r="C40" s="89">
        <v>1.063165693E9</v>
      </c>
      <c r="D40" s="89" t="str">
        <f t="shared" si="1"/>
        <v>문현주5693</v>
      </c>
      <c r="E40" s="89" t="s">
        <v>4858</v>
      </c>
      <c r="F40" s="90">
        <v>45999.71418981482</v>
      </c>
      <c r="G40" s="88" t="s">
        <v>4805</v>
      </c>
      <c r="H40" s="88" t="s">
        <v>4859</v>
      </c>
      <c r="I40" s="90">
        <v>45999.78309027778</v>
      </c>
    </row>
    <row r="41" ht="14.25" customHeight="1">
      <c r="A41" s="87">
        <v>40.0</v>
      </c>
      <c r="B41" s="88" t="s">
        <v>3894</v>
      </c>
      <c r="C41" s="89">
        <v>1.044082577E9</v>
      </c>
      <c r="D41" s="89" t="str">
        <f t="shared" si="1"/>
        <v>신지우2577</v>
      </c>
      <c r="E41" s="89" t="s">
        <v>4860</v>
      </c>
      <c r="F41" s="90">
        <v>45999.710856481484</v>
      </c>
      <c r="G41" s="88" t="s">
        <v>4792</v>
      </c>
      <c r="H41" s="91"/>
      <c r="I41" s="92"/>
    </row>
    <row r="42" ht="14.25" customHeight="1">
      <c r="A42" s="87">
        <v>41.0</v>
      </c>
      <c r="B42" s="88" t="s">
        <v>3842</v>
      </c>
      <c r="C42" s="89">
        <v>1.025417212E9</v>
      </c>
      <c r="D42" s="89" t="str">
        <f t="shared" si="1"/>
        <v>이복남7212</v>
      </c>
      <c r="E42" s="89" t="s">
        <v>4861</v>
      </c>
      <c r="F42" s="90">
        <v>45999.70854166667</v>
      </c>
      <c r="G42" s="88" t="s">
        <v>4805</v>
      </c>
      <c r="H42" s="88" t="s">
        <v>4862</v>
      </c>
      <c r="I42" s="90">
        <v>45999.76954861111</v>
      </c>
    </row>
    <row r="43" ht="14.25" customHeight="1">
      <c r="A43" s="87">
        <v>42.0</v>
      </c>
      <c r="B43" s="88" t="s">
        <v>2923</v>
      </c>
      <c r="C43" s="89">
        <v>1.077368663E9</v>
      </c>
      <c r="D43" s="89" t="str">
        <f t="shared" si="1"/>
        <v>추민지8663</v>
      </c>
      <c r="E43" s="89" t="s">
        <v>4863</v>
      </c>
      <c r="F43" s="90">
        <v>45999.70792824074</v>
      </c>
      <c r="G43" s="88" t="s">
        <v>4805</v>
      </c>
      <c r="H43" s="88" t="s">
        <v>4864</v>
      </c>
      <c r="I43" s="90">
        <v>45999.76924768519</v>
      </c>
    </row>
    <row r="44" ht="14.25" customHeight="1">
      <c r="A44" s="87">
        <v>43.0</v>
      </c>
      <c r="B44" s="88" t="s">
        <v>4865</v>
      </c>
      <c r="C44" s="89">
        <v>1.03654861E9</v>
      </c>
      <c r="D44" s="89" t="str">
        <f t="shared" si="1"/>
        <v>조수빈8610</v>
      </c>
      <c r="E44" s="89" t="s">
        <v>4866</v>
      </c>
      <c r="F44" s="90">
        <v>45999.697604166664</v>
      </c>
      <c r="G44" s="88" t="s">
        <v>4805</v>
      </c>
      <c r="H44" s="88" t="s">
        <v>4862</v>
      </c>
      <c r="I44" s="90">
        <v>45999.773518518516</v>
      </c>
    </row>
    <row r="45" ht="14.25" customHeight="1">
      <c r="A45" s="87">
        <v>44.0</v>
      </c>
      <c r="B45" s="88" t="s">
        <v>3884</v>
      </c>
      <c r="C45" s="89">
        <v>1.094956109E9</v>
      </c>
      <c r="D45" s="89" t="str">
        <f t="shared" si="1"/>
        <v>김정화6109</v>
      </c>
      <c r="E45" s="89" t="s">
        <v>4867</v>
      </c>
      <c r="F45" s="90">
        <v>45999.69384259259</v>
      </c>
      <c r="G45" s="88" t="s">
        <v>4792</v>
      </c>
      <c r="H45" s="91"/>
      <c r="I45" s="92"/>
    </row>
    <row r="46" ht="14.25" customHeight="1">
      <c r="A46" s="87">
        <v>45.0</v>
      </c>
      <c r="B46" s="88" t="s">
        <v>3851</v>
      </c>
      <c r="C46" s="89">
        <v>1.090588084E9</v>
      </c>
      <c r="D46" s="89" t="str">
        <f t="shared" si="1"/>
        <v>황은옥8084</v>
      </c>
      <c r="E46" s="89" t="s">
        <v>4868</v>
      </c>
      <c r="F46" s="90">
        <v>45999.689050925925</v>
      </c>
      <c r="G46" s="88" t="s">
        <v>4805</v>
      </c>
      <c r="H46" s="88" t="s">
        <v>4869</v>
      </c>
      <c r="I46" s="90">
        <v>45999.77483796296</v>
      </c>
    </row>
    <row r="47" ht="14.25" customHeight="1">
      <c r="A47" s="87">
        <v>46.0</v>
      </c>
      <c r="B47" s="88" t="s">
        <v>1617</v>
      </c>
      <c r="C47" s="89">
        <v>1.092546863E9</v>
      </c>
      <c r="D47" s="89" t="str">
        <f t="shared" si="1"/>
        <v>김숙현6863</v>
      </c>
      <c r="E47" s="89" t="s">
        <v>4870</v>
      </c>
      <c r="F47" s="90">
        <v>45999.68851851852</v>
      </c>
      <c r="G47" s="88" t="s">
        <v>4805</v>
      </c>
      <c r="H47" s="88" t="s">
        <v>4871</v>
      </c>
      <c r="I47" s="90">
        <v>45999.77511574074</v>
      </c>
    </row>
    <row r="48" ht="14.25" customHeight="1">
      <c r="A48" s="87">
        <v>47.0</v>
      </c>
      <c r="B48" s="88" t="s">
        <v>1043</v>
      </c>
      <c r="C48" s="89">
        <v>1.02804454E9</v>
      </c>
      <c r="D48" s="89" t="str">
        <f t="shared" si="1"/>
        <v>안은숙4540</v>
      </c>
      <c r="E48" s="89" t="s">
        <v>4872</v>
      </c>
      <c r="F48" s="90">
        <v>45999.686886574076</v>
      </c>
      <c r="G48" s="88" t="s">
        <v>4805</v>
      </c>
      <c r="H48" s="88" t="s">
        <v>4841</v>
      </c>
      <c r="I48" s="90">
        <v>45999.78957175926</v>
      </c>
    </row>
    <row r="49" ht="14.25" customHeight="1">
      <c r="A49" s="87">
        <v>48.0</v>
      </c>
      <c r="B49" s="88" t="s">
        <v>3832</v>
      </c>
      <c r="C49" s="89">
        <v>1.050334525E9</v>
      </c>
      <c r="D49" s="89" t="str">
        <f t="shared" si="1"/>
        <v>임순빈4525</v>
      </c>
      <c r="E49" s="89" t="s">
        <v>4873</v>
      </c>
      <c r="F49" s="90">
        <v>45999.68539351852</v>
      </c>
      <c r="G49" s="88" t="s">
        <v>4805</v>
      </c>
      <c r="H49" s="88" t="s">
        <v>4874</v>
      </c>
      <c r="I49" s="90">
        <v>45999.786203703705</v>
      </c>
    </row>
    <row r="50" ht="14.25" customHeight="1">
      <c r="A50" s="87">
        <v>49.0</v>
      </c>
      <c r="B50" s="88" t="s">
        <v>2647</v>
      </c>
      <c r="C50" s="89">
        <v>1.032191531E9</v>
      </c>
      <c r="D50" s="89" t="str">
        <f t="shared" si="1"/>
        <v>정소연1531</v>
      </c>
      <c r="E50" s="89" t="s">
        <v>4875</v>
      </c>
      <c r="F50" s="90">
        <v>45999.68332175926</v>
      </c>
      <c r="G50" s="88" t="s">
        <v>4805</v>
      </c>
      <c r="H50" s="88" t="s">
        <v>4876</v>
      </c>
      <c r="I50" s="90">
        <v>46000.00268518519</v>
      </c>
    </row>
    <row r="51" ht="14.25" customHeight="1">
      <c r="A51" s="87">
        <v>50.0</v>
      </c>
      <c r="B51" s="88" t="s">
        <v>1272</v>
      </c>
      <c r="C51" s="89">
        <v>1.022265676E9</v>
      </c>
      <c r="D51" s="89" t="str">
        <f t="shared" si="1"/>
        <v>주광옥5676</v>
      </c>
      <c r="E51" s="89" t="s">
        <v>4877</v>
      </c>
      <c r="F51" s="90">
        <v>45999.682800925926</v>
      </c>
      <c r="G51" s="88" t="s">
        <v>4792</v>
      </c>
      <c r="H51" s="91"/>
      <c r="I51" s="92"/>
    </row>
    <row r="52" ht="14.25" customHeight="1">
      <c r="A52" s="87">
        <v>51.0</v>
      </c>
      <c r="B52" s="88" t="s">
        <v>2852</v>
      </c>
      <c r="C52" s="89">
        <v>1.032596212E9</v>
      </c>
      <c r="D52" s="89" t="str">
        <f t="shared" si="1"/>
        <v>서동미6212</v>
      </c>
      <c r="E52" s="89" t="s">
        <v>4878</v>
      </c>
      <c r="F52" s="90">
        <v>45999.65883101852</v>
      </c>
      <c r="G52" s="88" t="s">
        <v>4805</v>
      </c>
      <c r="H52" s="88" t="s">
        <v>4879</v>
      </c>
      <c r="I52" s="90">
        <v>45999.788298611114</v>
      </c>
    </row>
    <row r="53" ht="14.25" customHeight="1">
      <c r="A53" s="87">
        <v>52.0</v>
      </c>
      <c r="B53" s="88" t="s">
        <v>2852</v>
      </c>
      <c r="C53" s="89">
        <v>1.032596212E9</v>
      </c>
      <c r="D53" s="89" t="str">
        <f t="shared" si="1"/>
        <v>서동미6212</v>
      </c>
      <c r="E53" s="89" t="s">
        <v>4880</v>
      </c>
      <c r="F53" s="90">
        <v>45999.65405092593</v>
      </c>
      <c r="G53" s="88" t="s">
        <v>4792</v>
      </c>
      <c r="H53" s="91"/>
      <c r="I53" s="92"/>
    </row>
    <row r="54" ht="14.25" customHeight="1">
      <c r="A54" s="87">
        <v>53.0</v>
      </c>
      <c r="B54" s="88" t="s">
        <v>4881</v>
      </c>
      <c r="C54" s="89">
        <v>1.090188301E9</v>
      </c>
      <c r="D54" s="89" t="str">
        <f t="shared" si="1"/>
        <v>손명윤8301</v>
      </c>
      <c r="E54" s="89" t="s">
        <v>4882</v>
      </c>
      <c r="F54" s="90">
        <v>45999.650416666664</v>
      </c>
      <c r="G54" s="88" t="s">
        <v>4805</v>
      </c>
      <c r="H54" s="88" t="s">
        <v>4883</v>
      </c>
      <c r="I54" s="90">
        <v>45999.792905092596</v>
      </c>
    </row>
    <row r="55" ht="14.25" customHeight="1">
      <c r="A55" s="87">
        <v>54.0</v>
      </c>
      <c r="B55" s="88" t="s">
        <v>1168</v>
      </c>
      <c r="C55" s="89">
        <v>1.040234973E9</v>
      </c>
      <c r="D55" s="89" t="str">
        <f t="shared" si="1"/>
        <v>서우주4973</v>
      </c>
      <c r="E55" s="89" t="s">
        <v>4884</v>
      </c>
      <c r="F55" s="90">
        <v>45999.64527777778</v>
      </c>
      <c r="G55" s="88" t="s">
        <v>4805</v>
      </c>
      <c r="H55" s="88" t="s">
        <v>4885</v>
      </c>
      <c r="I55" s="90">
        <v>45999.795486111114</v>
      </c>
    </row>
    <row r="56" ht="14.25" customHeight="1">
      <c r="A56" s="87">
        <v>55.0</v>
      </c>
      <c r="B56" s="88" t="s">
        <v>1272</v>
      </c>
      <c r="C56" s="89">
        <v>1.022265676E9</v>
      </c>
      <c r="D56" s="89" t="str">
        <f t="shared" si="1"/>
        <v>주광옥5676</v>
      </c>
      <c r="E56" s="89" t="s">
        <v>4886</v>
      </c>
      <c r="F56" s="90">
        <v>45999.64461805556</v>
      </c>
      <c r="G56" s="88" t="s">
        <v>4792</v>
      </c>
      <c r="H56" s="91"/>
      <c r="I56" s="92"/>
    </row>
    <row r="57" ht="14.25" customHeight="1">
      <c r="A57" s="87">
        <v>56.0</v>
      </c>
      <c r="B57" s="88" t="s">
        <v>1272</v>
      </c>
      <c r="C57" s="89">
        <v>1.022265676E9</v>
      </c>
      <c r="D57" s="89" t="str">
        <f t="shared" si="1"/>
        <v>주광옥5676</v>
      </c>
      <c r="E57" s="89" t="s">
        <v>4887</v>
      </c>
      <c r="F57" s="90">
        <v>45999.64297453704</v>
      </c>
      <c r="G57" s="88" t="s">
        <v>4792</v>
      </c>
      <c r="H57" s="91"/>
      <c r="I57" s="92"/>
    </row>
    <row r="58" ht="14.25" customHeight="1">
      <c r="A58" s="87">
        <v>57.0</v>
      </c>
      <c r="B58" s="88" t="s">
        <v>2763</v>
      </c>
      <c r="C58" s="89">
        <v>1.055313799E9</v>
      </c>
      <c r="D58" s="89" t="str">
        <f t="shared" si="1"/>
        <v>지은아3799</v>
      </c>
      <c r="E58" s="89" t="s">
        <v>4888</v>
      </c>
      <c r="F58" s="90">
        <v>45999.64053240741</v>
      </c>
      <c r="G58" s="88" t="s">
        <v>4792</v>
      </c>
      <c r="H58" s="91"/>
      <c r="I58" s="92"/>
    </row>
    <row r="59" ht="14.25" customHeight="1">
      <c r="A59" s="87">
        <v>58.0</v>
      </c>
      <c r="B59" s="88" t="s">
        <v>3249</v>
      </c>
      <c r="C59" s="89">
        <v>1.087136217E9</v>
      </c>
      <c r="D59" s="89" t="str">
        <f t="shared" si="1"/>
        <v>박승혜6217</v>
      </c>
      <c r="E59" s="89" t="s">
        <v>4889</v>
      </c>
      <c r="F59" s="90">
        <v>45999.639340277776</v>
      </c>
      <c r="G59" s="88" t="s">
        <v>4805</v>
      </c>
      <c r="H59" s="88" t="s">
        <v>4890</v>
      </c>
      <c r="I59" s="90">
        <v>45999.6471875</v>
      </c>
    </row>
    <row r="60" ht="14.25" customHeight="1">
      <c r="A60" s="87">
        <v>59.0</v>
      </c>
      <c r="B60" s="88" t="s">
        <v>2529</v>
      </c>
      <c r="C60" s="89">
        <v>1.05290086E9</v>
      </c>
      <c r="D60" s="89" t="str">
        <f t="shared" si="1"/>
        <v>김령지0860</v>
      </c>
      <c r="E60" s="89" t="s">
        <v>4891</v>
      </c>
      <c r="F60" s="90">
        <v>45999.63917824074</v>
      </c>
      <c r="G60" s="88" t="s">
        <v>4805</v>
      </c>
      <c r="H60" s="88" t="s">
        <v>4892</v>
      </c>
      <c r="I60" s="90">
        <v>45999.812314814815</v>
      </c>
    </row>
    <row r="61" ht="14.25" customHeight="1">
      <c r="A61" s="87">
        <v>60.0</v>
      </c>
      <c r="B61" s="88" t="s">
        <v>3851</v>
      </c>
      <c r="C61" s="89">
        <v>1.090588084E9</v>
      </c>
      <c r="D61" s="89" t="str">
        <f t="shared" si="1"/>
        <v>황은옥8084</v>
      </c>
      <c r="E61" s="89" t="s">
        <v>4893</v>
      </c>
      <c r="F61" s="90">
        <v>45999.637719907405</v>
      </c>
      <c r="G61" s="88" t="s">
        <v>4792</v>
      </c>
      <c r="H61" s="91"/>
      <c r="I61" s="92"/>
    </row>
    <row r="62" ht="14.25" customHeight="1">
      <c r="A62" s="87">
        <v>61.0</v>
      </c>
      <c r="B62" s="88" t="s">
        <v>1008</v>
      </c>
      <c r="C62" s="89">
        <v>1.071380037E9</v>
      </c>
      <c r="D62" s="89" t="str">
        <f t="shared" si="1"/>
        <v>이유주0037</v>
      </c>
      <c r="E62" s="89" t="s">
        <v>4894</v>
      </c>
      <c r="F62" s="90">
        <v>45999.63554398148</v>
      </c>
      <c r="G62" s="88" t="s">
        <v>4805</v>
      </c>
      <c r="H62" s="88" t="s">
        <v>4895</v>
      </c>
      <c r="I62" s="90">
        <v>45999.82078703704</v>
      </c>
    </row>
    <row r="63" ht="14.25" customHeight="1">
      <c r="A63" s="87">
        <v>62.0</v>
      </c>
      <c r="B63" s="88" t="s">
        <v>2852</v>
      </c>
      <c r="C63" s="89">
        <v>1.032596212E9</v>
      </c>
      <c r="D63" s="89" t="str">
        <f t="shared" si="1"/>
        <v>서동미6212</v>
      </c>
      <c r="E63" s="89" t="s">
        <v>4896</v>
      </c>
      <c r="F63" s="90">
        <v>45999.6259375</v>
      </c>
      <c r="G63" s="88" t="s">
        <v>4805</v>
      </c>
      <c r="H63" s="88" t="s">
        <v>4897</v>
      </c>
      <c r="I63" s="90">
        <v>45999.641597222224</v>
      </c>
    </row>
    <row r="64" ht="14.25" customHeight="1">
      <c r="A64" s="87">
        <v>63.0</v>
      </c>
      <c r="B64" s="88" t="s">
        <v>2852</v>
      </c>
      <c r="C64" s="89">
        <v>1.032596212E9</v>
      </c>
      <c r="D64" s="89" t="str">
        <f t="shared" si="1"/>
        <v>서동미6212</v>
      </c>
      <c r="E64" s="89" t="s">
        <v>4898</v>
      </c>
      <c r="F64" s="90">
        <v>45999.62509259259</v>
      </c>
      <c r="G64" s="88" t="s">
        <v>4805</v>
      </c>
      <c r="H64" s="88" t="s">
        <v>4899</v>
      </c>
      <c r="I64" s="90">
        <v>45999.63328703704</v>
      </c>
    </row>
    <row r="65" ht="14.25" customHeight="1">
      <c r="A65" s="87">
        <v>64.0</v>
      </c>
      <c r="B65" s="88" t="s">
        <v>1691</v>
      </c>
      <c r="C65" s="89">
        <v>1.085573114E9</v>
      </c>
      <c r="D65" s="89" t="str">
        <f t="shared" si="1"/>
        <v>진라희3114</v>
      </c>
      <c r="E65" s="89" t="s">
        <v>4900</v>
      </c>
      <c r="F65" s="90">
        <v>45999.61965277778</v>
      </c>
      <c r="G65" s="88" t="s">
        <v>4805</v>
      </c>
      <c r="H65" s="88" t="s">
        <v>4901</v>
      </c>
      <c r="I65" s="90">
        <v>45999.63569444444</v>
      </c>
    </row>
    <row r="66" ht="14.25" customHeight="1">
      <c r="A66" s="87">
        <v>65.0</v>
      </c>
      <c r="B66" s="88" t="s">
        <v>2852</v>
      </c>
      <c r="C66" s="89">
        <v>1.032596212E9</v>
      </c>
      <c r="D66" s="89" t="str">
        <f t="shared" si="1"/>
        <v>서동미6212</v>
      </c>
      <c r="E66" s="89" t="s">
        <v>4902</v>
      </c>
      <c r="F66" s="90">
        <v>45999.61337962963</v>
      </c>
      <c r="G66" s="88" t="s">
        <v>4805</v>
      </c>
      <c r="H66" s="88" t="s">
        <v>4903</v>
      </c>
      <c r="I66" s="90">
        <v>45999.64263888889</v>
      </c>
    </row>
    <row r="67" ht="14.25" customHeight="1">
      <c r="A67" s="87">
        <v>66.0</v>
      </c>
      <c r="B67" s="88" t="s">
        <v>1175</v>
      </c>
      <c r="C67" s="89">
        <v>1.031398556E9</v>
      </c>
      <c r="D67" s="89" t="str">
        <f t="shared" si="1"/>
        <v>임정임8556</v>
      </c>
      <c r="E67" s="89" t="s">
        <v>4904</v>
      </c>
      <c r="F67" s="90">
        <v>45999.606828703705</v>
      </c>
      <c r="G67" s="88" t="s">
        <v>4805</v>
      </c>
      <c r="H67" s="88" t="s">
        <v>4905</v>
      </c>
      <c r="I67" s="90">
        <v>45999.81481481482</v>
      </c>
    </row>
    <row r="68" ht="14.25" customHeight="1">
      <c r="A68" s="87">
        <v>67.0</v>
      </c>
      <c r="B68" s="88" t="s">
        <v>2891</v>
      </c>
      <c r="C68" s="89">
        <v>1.096087595E9</v>
      </c>
      <c r="D68" s="89" t="str">
        <f t="shared" si="1"/>
        <v>이은령7595</v>
      </c>
      <c r="E68" s="89" t="s">
        <v>4906</v>
      </c>
      <c r="F68" s="90">
        <v>45999.600127314814</v>
      </c>
      <c r="G68" s="88" t="s">
        <v>4805</v>
      </c>
      <c r="H68" s="88" t="s">
        <v>4907</v>
      </c>
      <c r="I68" s="90">
        <v>45999.64465277778</v>
      </c>
    </row>
    <row r="69" ht="14.25" customHeight="1">
      <c r="A69" s="87">
        <v>68.0</v>
      </c>
      <c r="B69" s="88" t="s">
        <v>2941</v>
      </c>
      <c r="C69" s="89">
        <v>1.039475635E9</v>
      </c>
      <c r="D69" s="89" t="str">
        <f t="shared" si="1"/>
        <v>황경미5635</v>
      </c>
      <c r="E69" s="89" t="s">
        <v>4908</v>
      </c>
      <c r="F69" s="90">
        <v>45999.59336805555</v>
      </c>
      <c r="G69" s="88" t="s">
        <v>4805</v>
      </c>
      <c r="H69" s="88" t="s">
        <v>4909</v>
      </c>
      <c r="I69" s="90">
        <v>45999.64616898148</v>
      </c>
    </row>
    <row r="70" ht="14.25" customHeight="1">
      <c r="A70" s="87">
        <v>69.0</v>
      </c>
      <c r="B70" s="88" t="s">
        <v>1746</v>
      </c>
      <c r="C70" s="89">
        <v>1.051154913E9</v>
      </c>
      <c r="D70" s="89" t="str">
        <f t="shared" si="1"/>
        <v>이정옥4913</v>
      </c>
      <c r="E70" s="89" t="s">
        <v>4910</v>
      </c>
      <c r="F70" s="90">
        <v>45999.592141203706</v>
      </c>
      <c r="G70" s="88" t="s">
        <v>4805</v>
      </c>
      <c r="H70" s="89" t="s">
        <v>4911</v>
      </c>
      <c r="I70" s="90">
        <v>45999.59564814815</v>
      </c>
    </row>
    <row r="71" ht="14.25" customHeight="1">
      <c r="A71" s="87">
        <v>70.0</v>
      </c>
      <c r="B71" s="88" t="s">
        <v>1691</v>
      </c>
      <c r="C71" s="89">
        <v>1.085573114E9</v>
      </c>
      <c r="D71" s="89" t="str">
        <f t="shared" si="1"/>
        <v>진라희3114</v>
      </c>
      <c r="E71" s="89" t="s">
        <v>4912</v>
      </c>
      <c r="F71" s="90">
        <v>45999.589641203704</v>
      </c>
      <c r="G71" s="88" t="s">
        <v>4792</v>
      </c>
      <c r="H71" s="93"/>
      <c r="I71" s="93"/>
    </row>
    <row r="72" ht="14.25" customHeight="1">
      <c r="A72" s="87">
        <v>71.0</v>
      </c>
      <c r="B72" s="88" t="s">
        <v>2284</v>
      </c>
      <c r="C72" s="89">
        <v>1.071658428E9</v>
      </c>
      <c r="D72" s="89" t="str">
        <f t="shared" si="1"/>
        <v>박찬영8428</v>
      </c>
      <c r="E72" s="89" t="s">
        <v>4913</v>
      </c>
      <c r="F72" s="90">
        <v>45999.58672453704</v>
      </c>
      <c r="G72" s="88" t="s">
        <v>4805</v>
      </c>
      <c r="H72" s="88" t="s">
        <v>4914</v>
      </c>
      <c r="I72" s="90">
        <v>45999.59892361111</v>
      </c>
    </row>
    <row r="73" ht="14.25" customHeight="1">
      <c r="A73" s="87">
        <v>72.0</v>
      </c>
      <c r="B73" s="88" t="s">
        <v>1175</v>
      </c>
      <c r="C73" s="89">
        <v>1.031398556E9</v>
      </c>
      <c r="D73" s="89" t="str">
        <f t="shared" si="1"/>
        <v>임정임8556</v>
      </c>
      <c r="E73" s="89" t="s">
        <v>4915</v>
      </c>
      <c r="F73" s="90">
        <v>45999.58175925926</v>
      </c>
      <c r="G73" s="88" t="s">
        <v>4805</v>
      </c>
      <c r="H73" s="88" t="s">
        <v>4916</v>
      </c>
      <c r="I73" s="90">
        <v>45999.5953125</v>
      </c>
    </row>
    <row r="74" ht="14.25" customHeight="1">
      <c r="A74" s="87">
        <v>73.0</v>
      </c>
      <c r="B74" s="88" t="s">
        <v>3878</v>
      </c>
      <c r="C74" s="89">
        <v>1.065173088E9</v>
      </c>
      <c r="D74" s="89" t="str">
        <f t="shared" si="1"/>
        <v>나경희3088</v>
      </c>
      <c r="E74" s="89" t="s">
        <v>4917</v>
      </c>
      <c r="F74" s="90">
        <v>45999.58126157407</v>
      </c>
      <c r="G74" s="88" t="s">
        <v>4805</v>
      </c>
      <c r="H74" s="89" t="s">
        <v>4911</v>
      </c>
      <c r="I74" s="90">
        <v>45999.5865625</v>
      </c>
    </row>
    <row r="75" ht="14.25" customHeight="1">
      <c r="A75" s="87">
        <v>74.0</v>
      </c>
      <c r="B75" s="88" t="s">
        <v>2647</v>
      </c>
      <c r="C75" s="89">
        <v>1.032191531E9</v>
      </c>
      <c r="D75" s="89" t="str">
        <f t="shared" si="1"/>
        <v>정소연1531</v>
      </c>
      <c r="E75" s="89" t="s">
        <v>4918</v>
      </c>
      <c r="F75" s="90">
        <v>45999.573379629626</v>
      </c>
      <c r="G75" s="88" t="s">
        <v>4805</v>
      </c>
      <c r="H75" s="88" t="s">
        <v>4919</v>
      </c>
      <c r="I75" s="90">
        <v>45999.651967592596</v>
      </c>
    </row>
    <row r="76" ht="14.25" customHeight="1">
      <c r="A76" s="87">
        <v>75.0</v>
      </c>
      <c r="B76" s="88" t="s">
        <v>3754</v>
      </c>
      <c r="C76" s="89">
        <v>1.045397911E9</v>
      </c>
      <c r="D76" s="89" t="str">
        <f t="shared" si="1"/>
        <v>한아름7911</v>
      </c>
      <c r="E76" s="89" t="s">
        <v>4920</v>
      </c>
      <c r="F76" s="90">
        <v>45999.57208333333</v>
      </c>
      <c r="G76" s="88" t="s">
        <v>4792</v>
      </c>
      <c r="H76" s="91"/>
      <c r="I76" s="92"/>
    </row>
    <row r="77" ht="14.25" customHeight="1">
      <c r="A77" s="87">
        <v>76.0</v>
      </c>
      <c r="B77" s="88" t="s">
        <v>4921</v>
      </c>
      <c r="C77" s="89">
        <v>1.099198597E9</v>
      </c>
      <c r="D77" s="89" t="str">
        <f t="shared" si="1"/>
        <v>현경애8597</v>
      </c>
      <c r="E77" s="89" t="s">
        <v>4922</v>
      </c>
      <c r="F77" s="90">
        <v>45999.559386574074</v>
      </c>
      <c r="G77" s="88" t="s">
        <v>4805</v>
      </c>
      <c r="H77" s="88" t="s">
        <v>4923</v>
      </c>
      <c r="I77" s="90">
        <v>45999.59983796296</v>
      </c>
    </row>
    <row r="78" ht="14.25" customHeight="1">
      <c r="A78" s="87">
        <v>77.0</v>
      </c>
      <c r="B78" s="88" t="s">
        <v>2845</v>
      </c>
      <c r="C78" s="89">
        <v>1.058803729E9</v>
      </c>
      <c r="D78" s="89" t="str">
        <f t="shared" si="1"/>
        <v>노춘화3729</v>
      </c>
      <c r="E78" s="89" t="s">
        <v>4924</v>
      </c>
      <c r="F78" s="90">
        <v>45999.55832175926</v>
      </c>
      <c r="G78" s="88" t="s">
        <v>4805</v>
      </c>
      <c r="H78" s="88" t="s">
        <v>4925</v>
      </c>
      <c r="I78" s="90">
        <v>45999.56738425926</v>
      </c>
    </row>
    <row r="79" ht="14.25" customHeight="1">
      <c r="A79" s="87">
        <v>78.0</v>
      </c>
      <c r="B79" s="88" t="s">
        <v>4926</v>
      </c>
      <c r="C79" s="89">
        <v>1.042109734E9</v>
      </c>
      <c r="D79" s="89" t="str">
        <f t="shared" si="1"/>
        <v>박채민9734</v>
      </c>
      <c r="E79" s="89" t="s">
        <v>4927</v>
      </c>
      <c r="F79" s="90">
        <v>45999.557650462964</v>
      </c>
      <c r="G79" s="88" t="s">
        <v>4805</v>
      </c>
      <c r="H79" s="88" t="s">
        <v>4928</v>
      </c>
      <c r="I79" s="90">
        <v>45999.55824074074</v>
      </c>
    </row>
    <row r="80" ht="14.25" customHeight="1">
      <c r="A80" s="87">
        <v>79.0</v>
      </c>
      <c r="B80" s="88" t="s">
        <v>2845</v>
      </c>
      <c r="C80" s="89">
        <v>1.058803729E9</v>
      </c>
      <c r="D80" s="89" t="str">
        <f t="shared" si="1"/>
        <v>노춘화3729</v>
      </c>
      <c r="E80" s="89" t="s">
        <v>4929</v>
      </c>
      <c r="F80" s="90">
        <v>45999.55706018519</v>
      </c>
      <c r="G80" s="88" t="s">
        <v>4805</v>
      </c>
      <c r="H80" s="88" t="s">
        <v>4930</v>
      </c>
      <c r="I80" s="90">
        <v>45999.57098379629</v>
      </c>
    </row>
    <row r="81" ht="14.25" customHeight="1">
      <c r="A81" s="87">
        <v>80.0</v>
      </c>
      <c r="B81" s="88" t="s">
        <v>1235</v>
      </c>
      <c r="C81" s="89">
        <v>1.027323178E9</v>
      </c>
      <c r="D81" s="89" t="str">
        <f t="shared" si="1"/>
        <v>김경숙3178</v>
      </c>
      <c r="E81" s="89" t="s">
        <v>4931</v>
      </c>
      <c r="F81" s="90">
        <v>45999.55378472222</v>
      </c>
      <c r="G81" s="88" t="s">
        <v>4805</v>
      </c>
      <c r="H81" s="88" t="s">
        <v>4932</v>
      </c>
      <c r="I81" s="90">
        <v>45999.55768518519</v>
      </c>
    </row>
    <row r="82" ht="14.25" customHeight="1">
      <c r="A82" s="87">
        <v>81.0</v>
      </c>
      <c r="B82" s="88" t="s">
        <v>1175</v>
      </c>
      <c r="C82" s="89">
        <v>1.031398556E9</v>
      </c>
      <c r="D82" s="89" t="str">
        <f t="shared" si="1"/>
        <v>임정임8556</v>
      </c>
      <c r="E82" s="89" t="s">
        <v>4933</v>
      </c>
      <c r="F82" s="90">
        <v>45999.55013888889</v>
      </c>
      <c r="G82" s="88" t="s">
        <v>4805</v>
      </c>
      <c r="H82" s="88" t="s">
        <v>4934</v>
      </c>
      <c r="I82" s="90">
        <v>45999.55570601852</v>
      </c>
    </row>
    <row r="83" ht="14.25" customHeight="1">
      <c r="A83" s="87">
        <v>82.0</v>
      </c>
      <c r="B83" s="88" t="s">
        <v>1272</v>
      </c>
      <c r="C83" s="89">
        <v>1.022265676E9</v>
      </c>
      <c r="D83" s="89" t="str">
        <f t="shared" si="1"/>
        <v>주광옥5676</v>
      </c>
      <c r="E83" s="89" t="s">
        <v>4935</v>
      </c>
      <c r="F83" s="90">
        <v>45999.54320601852</v>
      </c>
      <c r="G83" s="88" t="s">
        <v>4805</v>
      </c>
      <c r="H83" s="88" t="s">
        <v>4936</v>
      </c>
      <c r="I83" s="90">
        <v>45999.57201388889</v>
      </c>
    </row>
    <row r="84" ht="14.25" customHeight="1">
      <c r="A84" s="87">
        <v>83.0</v>
      </c>
      <c r="B84" s="88" t="s">
        <v>1921</v>
      </c>
      <c r="C84" s="89">
        <v>1.08881058E9</v>
      </c>
      <c r="D84" s="89" t="str">
        <f t="shared" si="1"/>
        <v>최윤희0580</v>
      </c>
      <c r="E84" s="89" t="s">
        <v>4937</v>
      </c>
      <c r="F84" s="90">
        <v>45999.54287037037</v>
      </c>
      <c r="G84" s="88" t="s">
        <v>4805</v>
      </c>
      <c r="H84" s="88" t="s">
        <v>4938</v>
      </c>
      <c r="I84" s="90">
        <v>45999.572858796295</v>
      </c>
    </row>
    <row r="85" ht="14.25" customHeight="1">
      <c r="A85" s="87">
        <v>84.0</v>
      </c>
      <c r="B85" s="88" t="s">
        <v>3851</v>
      </c>
      <c r="C85" s="89">
        <v>1.090588084E9</v>
      </c>
      <c r="D85" s="89" t="str">
        <f t="shared" si="1"/>
        <v>황은옥8084</v>
      </c>
      <c r="E85" s="89" t="s">
        <v>4939</v>
      </c>
      <c r="F85" s="90">
        <v>45999.542766203704</v>
      </c>
      <c r="G85" s="88" t="s">
        <v>4805</v>
      </c>
      <c r="H85" s="88" t="s">
        <v>4940</v>
      </c>
      <c r="I85" s="90">
        <v>45999.574849537035</v>
      </c>
    </row>
    <row r="86" ht="14.25" customHeight="1">
      <c r="A86" s="87">
        <v>85.0</v>
      </c>
      <c r="B86" s="88" t="s">
        <v>1272</v>
      </c>
      <c r="C86" s="89">
        <v>1.022265676E9</v>
      </c>
      <c r="D86" s="89" t="str">
        <f t="shared" si="1"/>
        <v>주광옥5676</v>
      </c>
      <c r="E86" s="89" t="s">
        <v>4941</v>
      </c>
      <c r="F86" s="90">
        <v>45999.54188657407</v>
      </c>
      <c r="G86" s="88" t="s">
        <v>4805</v>
      </c>
      <c r="H86" s="89" t="s">
        <v>4911</v>
      </c>
      <c r="I86" s="90">
        <v>45999.60003472222</v>
      </c>
    </row>
    <row r="87" ht="14.25" customHeight="1">
      <c r="A87" s="87">
        <v>86.0</v>
      </c>
      <c r="B87" s="88" t="s">
        <v>2284</v>
      </c>
      <c r="C87" s="89">
        <v>1.071658428E9</v>
      </c>
      <c r="D87" s="89" t="str">
        <f t="shared" si="1"/>
        <v>박찬영8428</v>
      </c>
      <c r="E87" s="89" t="s">
        <v>4942</v>
      </c>
      <c r="F87" s="90">
        <v>45999.53259259259</v>
      </c>
      <c r="G87" s="88" t="s">
        <v>4805</v>
      </c>
      <c r="H87" s="88" t="s">
        <v>4943</v>
      </c>
      <c r="I87" s="90">
        <v>45999.575902777775</v>
      </c>
    </row>
    <row r="88" ht="14.25" customHeight="1">
      <c r="A88" s="87">
        <v>87.0</v>
      </c>
      <c r="B88" s="88" t="s">
        <v>2515</v>
      </c>
      <c r="C88" s="89">
        <v>1.036605595E9</v>
      </c>
      <c r="D88" s="89" t="str">
        <f t="shared" si="1"/>
        <v>이영례5595</v>
      </c>
      <c r="E88" s="89" t="s">
        <v>4944</v>
      </c>
      <c r="F88" s="90">
        <v>45999.528761574074</v>
      </c>
      <c r="G88" s="88" t="s">
        <v>4805</v>
      </c>
      <c r="H88" s="88" t="s">
        <v>4945</v>
      </c>
      <c r="I88" s="90">
        <v>45999.57850694445</v>
      </c>
    </row>
    <row r="89" ht="14.25" customHeight="1">
      <c r="A89" s="87">
        <v>88.0</v>
      </c>
      <c r="B89" s="88" t="s">
        <v>3884</v>
      </c>
      <c r="C89" s="89">
        <v>1.094956109E9</v>
      </c>
      <c r="D89" s="89" t="str">
        <f t="shared" si="1"/>
        <v>김정화6109</v>
      </c>
      <c r="E89" s="89" t="s">
        <v>4946</v>
      </c>
      <c r="F89" s="90">
        <v>45999.526342592595</v>
      </c>
      <c r="G89" s="88" t="s">
        <v>4805</v>
      </c>
      <c r="H89" s="88" t="s">
        <v>4947</v>
      </c>
      <c r="I89" s="90">
        <v>45999.602268518516</v>
      </c>
    </row>
    <row r="90" ht="14.25" customHeight="1">
      <c r="A90" s="87">
        <v>89.0</v>
      </c>
      <c r="B90" s="88" t="s">
        <v>4948</v>
      </c>
      <c r="C90" s="89">
        <v>1.036611199E9</v>
      </c>
      <c r="D90" s="89" t="str">
        <f t="shared" si="1"/>
        <v>박채빈1199</v>
      </c>
      <c r="E90" s="89" t="s">
        <v>4949</v>
      </c>
      <c r="F90" s="90">
        <v>45999.51395833334</v>
      </c>
      <c r="G90" s="88" t="s">
        <v>4792</v>
      </c>
      <c r="H90" s="91"/>
      <c r="I90" s="92"/>
    </row>
    <row r="91" ht="14.25" customHeight="1">
      <c r="A91" s="87">
        <v>90.0</v>
      </c>
      <c r="B91" s="88" t="s">
        <v>2255</v>
      </c>
      <c r="C91" s="89">
        <v>1.06665531E9</v>
      </c>
      <c r="D91" s="89" t="str">
        <f t="shared" si="1"/>
        <v>박진숙5310</v>
      </c>
      <c r="E91" s="89" t="s">
        <v>4950</v>
      </c>
      <c r="F91" s="90">
        <v>45999.50898148148</v>
      </c>
      <c r="G91" s="88" t="s">
        <v>4805</v>
      </c>
      <c r="H91" s="88" t="s">
        <v>4951</v>
      </c>
      <c r="I91" s="90">
        <v>45999.58075231482</v>
      </c>
    </row>
    <row r="92" ht="14.25" customHeight="1">
      <c r="A92" s="87">
        <v>91.0</v>
      </c>
      <c r="B92" s="88" t="s">
        <v>2140</v>
      </c>
      <c r="C92" s="89">
        <v>1.063677027E9</v>
      </c>
      <c r="D92" s="89" t="str">
        <f t="shared" si="1"/>
        <v>이세라7027</v>
      </c>
      <c r="E92" s="89" t="s">
        <v>4952</v>
      </c>
      <c r="F92" s="90">
        <v>45999.49921296296</v>
      </c>
      <c r="G92" s="88" t="s">
        <v>4805</v>
      </c>
      <c r="H92" s="88" t="s">
        <v>4953</v>
      </c>
      <c r="I92" s="90">
        <v>45999.582962962966</v>
      </c>
    </row>
    <row r="93" ht="14.25" customHeight="1">
      <c r="A93" s="87">
        <v>92.0</v>
      </c>
      <c r="B93" s="88" t="s">
        <v>3449</v>
      </c>
      <c r="C93" s="89">
        <v>1.071866882E9</v>
      </c>
      <c r="D93" s="89" t="str">
        <f t="shared" si="1"/>
        <v>이경연6882</v>
      </c>
      <c r="E93" s="89" t="s">
        <v>4954</v>
      </c>
      <c r="F93" s="90">
        <v>45999.49694444444</v>
      </c>
      <c r="G93" s="88" t="s">
        <v>4805</v>
      </c>
      <c r="H93" s="88" t="s">
        <v>4955</v>
      </c>
      <c r="I93" s="90">
        <v>45999.49909722222</v>
      </c>
    </row>
    <row r="94" ht="14.25" customHeight="1">
      <c r="A94" s="87">
        <v>93.0</v>
      </c>
      <c r="B94" s="88" t="s">
        <v>1733</v>
      </c>
      <c r="C94" s="89">
        <v>1.037511846E9</v>
      </c>
      <c r="D94" s="89" t="str">
        <f t="shared" si="1"/>
        <v>이지현1846</v>
      </c>
      <c r="E94" s="89" t="s">
        <v>4956</v>
      </c>
      <c r="F94" s="90">
        <v>45999.490590277775</v>
      </c>
      <c r="G94" s="88" t="s">
        <v>4805</v>
      </c>
      <c r="H94" s="88" t="s">
        <v>4899</v>
      </c>
      <c r="I94" s="90">
        <v>45999.49626157407</v>
      </c>
    </row>
    <row r="95" ht="14.25" customHeight="1">
      <c r="A95" s="87">
        <v>94.0</v>
      </c>
      <c r="B95" s="88" t="s">
        <v>1270</v>
      </c>
      <c r="C95" s="89">
        <v>1.062881842E9</v>
      </c>
      <c r="D95" s="89" t="str">
        <f t="shared" si="1"/>
        <v>김영1842</v>
      </c>
      <c r="E95" s="89" t="s">
        <v>4957</v>
      </c>
      <c r="F95" s="90">
        <v>45999.48743055556</v>
      </c>
      <c r="G95" s="88" t="s">
        <v>4805</v>
      </c>
      <c r="H95" s="88" t="s">
        <v>4958</v>
      </c>
      <c r="I95" s="90">
        <v>45999.498240740744</v>
      </c>
    </row>
    <row r="96" ht="14.25" customHeight="1">
      <c r="A96" s="87">
        <v>95.0</v>
      </c>
      <c r="B96" s="88" t="s">
        <v>1050</v>
      </c>
      <c r="C96" s="89">
        <v>1.032385025E9</v>
      </c>
      <c r="D96" s="89" t="str">
        <f t="shared" si="1"/>
        <v>김태순5025</v>
      </c>
      <c r="E96" s="89" t="s">
        <v>4959</v>
      </c>
      <c r="F96" s="90">
        <v>45999.486134259256</v>
      </c>
      <c r="G96" s="88" t="s">
        <v>4805</v>
      </c>
      <c r="H96" s="88" t="s">
        <v>4960</v>
      </c>
      <c r="I96" s="90">
        <v>45999.58210648148</v>
      </c>
    </row>
    <row r="97" ht="14.25" customHeight="1">
      <c r="A97" s="87">
        <v>96.0</v>
      </c>
      <c r="B97" s="88" t="s">
        <v>3025</v>
      </c>
      <c r="C97" s="89">
        <v>1.033667785E9</v>
      </c>
      <c r="D97" s="89" t="str">
        <f t="shared" si="1"/>
        <v>김금자7785</v>
      </c>
      <c r="E97" s="89" t="s">
        <v>4961</v>
      </c>
      <c r="F97" s="90">
        <v>45999.484375</v>
      </c>
      <c r="G97" s="88" t="s">
        <v>4805</v>
      </c>
      <c r="H97" s="88" t="s">
        <v>4962</v>
      </c>
      <c r="I97" s="90">
        <v>45999.59054398148</v>
      </c>
    </row>
    <row r="98" ht="14.25" customHeight="1">
      <c r="A98" s="87">
        <v>97.0</v>
      </c>
      <c r="B98" s="88" t="s">
        <v>1439</v>
      </c>
      <c r="C98" s="89">
        <v>1.062214246E9</v>
      </c>
      <c r="D98" s="89" t="str">
        <f t="shared" si="1"/>
        <v>김종환4246</v>
      </c>
      <c r="E98" s="89" t="s">
        <v>4963</v>
      </c>
      <c r="F98" s="90">
        <v>45999.482777777775</v>
      </c>
      <c r="G98" s="88" t="s">
        <v>4805</v>
      </c>
      <c r="H98" s="88" t="s">
        <v>4964</v>
      </c>
      <c r="I98" s="90">
        <v>45999.61509259259</v>
      </c>
    </row>
    <row r="99" ht="14.25" customHeight="1">
      <c r="A99" s="87">
        <v>98.0</v>
      </c>
      <c r="B99" s="88" t="s">
        <v>2930</v>
      </c>
      <c r="C99" s="89">
        <v>1.052632139E9</v>
      </c>
      <c r="D99" s="89" t="str">
        <f t="shared" si="1"/>
        <v>한원희2139</v>
      </c>
      <c r="E99" s="89" t="s">
        <v>4965</v>
      </c>
      <c r="F99" s="90">
        <v>45999.47920138889</v>
      </c>
      <c r="G99" s="88" t="s">
        <v>4792</v>
      </c>
      <c r="H99" s="91"/>
      <c r="I99" s="92"/>
    </row>
    <row r="100" ht="14.25" customHeight="1">
      <c r="A100" s="87">
        <v>99.0</v>
      </c>
      <c r="B100" s="88" t="s">
        <v>1439</v>
      </c>
      <c r="C100" s="89">
        <v>1.062214246E9</v>
      </c>
      <c r="D100" s="89" t="str">
        <f t="shared" si="1"/>
        <v>김종환4246</v>
      </c>
      <c r="E100" s="89" t="s">
        <v>4966</v>
      </c>
      <c r="F100" s="90">
        <v>45999.478784722225</v>
      </c>
      <c r="G100" s="88" t="s">
        <v>4805</v>
      </c>
      <c r="H100" s="88" t="s">
        <v>4964</v>
      </c>
      <c r="I100" s="90">
        <v>45999.61620370371</v>
      </c>
    </row>
    <row r="101" ht="14.25" customHeight="1">
      <c r="A101" s="87">
        <v>100.0</v>
      </c>
      <c r="B101" s="88" t="s">
        <v>3839</v>
      </c>
      <c r="C101" s="89">
        <v>1.029786549E9</v>
      </c>
      <c r="D101" s="89" t="str">
        <f t="shared" si="1"/>
        <v>양영주6549</v>
      </c>
      <c r="E101" s="89" t="s">
        <v>4967</v>
      </c>
      <c r="F101" s="90">
        <v>45999.468981481485</v>
      </c>
      <c r="G101" s="88" t="s">
        <v>4805</v>
      </c>
      <c r="H101" s="89" t="s">
        <v>4911</v>
      </c>
      <c r="I101" s="90">
        <v>45999.621203703704</v>
      </c>
    </row>
    <row r="102" ht="14.25" customHeight="1">
      <c r="A102" s="87">
        <v>101.0</v>
      </c>
      <c r="B102" s="88" t="s">
        <v>1272</v>
      </c>
      <c r="C102" s="89">
        <v>1.022265676E9</v>
      </c>
      <c r="D102" s="89" t="str">
        <f t="shared" si="1"/>
        <v>주광옥5676</v>
      </c>
      <c r="E102" s="89" t="s">
        <v>4968</v>
      </c>
      <c r="F102" s="90">
        <v>45999.46693287037</v>
      </c>
      <c r="G102" s="88" t="s">
        <v>4805</v>
      </c>
      <c r="H102" s="88" t="s">
        <v>4969</v>
      </c>
      <c r="I102" s="90">
        <v>45999.622245370374</v>
      </c>
    </row>
    <row r="103" ht="14.25" customHeight="1">
      <c r="A103" s="87">
        <v>102.0</v>
      </c>
      <c r="B103" s="88" t="s">
        <v>1272</v>
      </c>
      <c r="C103" s="89">
        <v>1.022265676E9</v>
      </c>
      <c r="D103" s="89" t="str">
        <f t="shared" si="1"/>
        <v>주광옥5676</v>
      </c>
      <c r="E103" s="89" t="s">
        <v>4970</v>
      </c>
      <c r="F103" s="90">
        <v>45999.464733796296</v>
      </c>
      <c r="G103" s="88" t="s">
        <v>4792</v>
      </c>
      <c r="H103" s="91"/>
      <c r="I103" s="92"/>
    </row>
    <row r="104" ht="14.25" customHeight="1">
      <c r="A104" s="87">
        <v>103.0</v>
      </c>
      <c r="B104" s="88" t="s">
        <v>4971</v>
      </c>
      <c r="C104" s="89">
        <v>1.065676327E9</v>
      </c>
      <c r="D104" s="89" t="str">
        <f t="shared" si="1"/>
        <v>김민진6327</v>
      </c>
      <c r="E104" s="89" t="s">
        <v>4972</v>
      </c>
      <c r="F104" s="90">
        <v>45999.464479166665</v>
      </c>
      <c r="G104" s="88" t="s">
        <v>4805</v>
      </c>
      <c r="H104" s="88" t="s">
        <v>4973</v>
      </c>
      <c r="I104" s="90">
        <v>45999.62630787037</v>
      </c>
    </row>
    <row r="105" ht="14.25" customHeight="1">
      <c r="A105" s="87">
        <v>104.0</v>
      </c>
      <c r="B105" s="88" t="s">
        <v>1272</v>
      </c>
      <c r="C105" s="89">
        <v>1.022265676E9</v>
      </c>
      <c r="D105" s="89" t="str">
        <f t="shared" si="1"/>
        <v>주광옥5676</v>
      </c>
      <c r="E105" s="89" t="s">
        <v>4974</v>
      </c>
      <c r="F105" s="90">
        <v>45999.46241898148</v>
      </c>
      <c r="G105" s="88" t="s">
        <v>4805</v>
      </c>
      <c r="H105" s="88" t="s">
        <v>4975</v>
      </c>
      <c r="I105" s="90">
        <v>45999.627384259256</v>
      </c>
    </row>
    <row r="106" ht="14.25" customHeight="1">
      <c r="A106" s="87">
        <v>105.0</v>
      </c>
      <c r="B106" s="88" t="s">
        <v>4976</v>
      </c>
      <c r="C106" s="89">
        <v>1.0258016E9</v>
      </c>
      <c r="D106" s="89" t="str">
        <f t="shared" si="1"/>
        <v>박진옥1600</v>
      </c>
      <c r="E106" s="89" t="s">
        <v>4977</v>
      </c>
      <c r="F106" s="90">
        <v>45999.45976851852</v>
      </c>
      <c r="G106" s="88" t="s">
        <v>4792</v>
      </c>
      <c r="H106" s="93"/>
      <c r="I106" s="93"/>
    </row>
    <row r="107" ht="14.25" customHeight="1">
      <c r="A107" s="87">
        <v>106.0</v>
      </c>
      <c r="B107" s="94" t="s">
        <v>3829</v>
      </c>
      <c r="C107" s="89">
        <v>1.045879282E9</v>
      </c>
      <c r="D107" s="89" t="str">
        <f t="shared" si="1"/>
        <v>황남순9282</v>
      </c>
      <c r="E107" s="89" t="s">
        <v>4978</v>
      </c>
      <c r="F107" s="90">
        <v>45999.45914351852</v>
      </c>
      <c r="G107" s="88" t="s">
        <v>4805</v>
      </c>
      <c r="H107" s="88" t="s">
        <v>4979</v>
      </c>
      <c r="I107" s="90">
        <v>45999.6290625</v>
      </c>
    </row>
    <row r="108" ht="14.25" customHeight="1">
      <c r="A108" s="87">
        <v>107.0</v>
      </c>
      <c r="B108" s="88" t="s">
        <v>4539</v>
      </c>
      <c r="C108" s="89">
        <v>1.074504577E9</v>
      </c>
      <c r="D108" s="89" t="str">
        <f t="shared" si="1"/>
        <v>김순아4577</v>
      </c>
      <c r="E108" s="89" t="s">
        <v>4980</v>
      </c>
      <c r="F108" s="90">
        <v>45999.45899305555</v>
      </c>
      <c r="G108" s="88" t="s">
        <v>4805</v>
      </c>
      <c r="H108" s="88" t="s">
        <v>4979</v>
      </c>
      <c r="I108" s="90">
        <v>45999.62991898148</v>
      </c>
    </row>
    <row r="109" ht="14.25" customHeight="1">
      <c r="A109" s="87">
        <v>108.0</v>
      </c>
      <c r="B109" s="88" t="s">
        <v>1168</v>
      </c>
      <c r="C109" s="89">
        <v>1.040234973E9</v>
      </c>
      <c r="D109" s="89" t="str">
        <f t="shared" si="1"/>
        <v>서우주4973</v>
      </c>
      <c r="E109" s="89" t="s">
        <v>4981</v>
      </c>
      <c r="F109" s="90">
        <v>45999.451840277776</v>
      </c>
      <c r="G109" s="88" t="s">
        <v>4805</v>
      </c>
      <c r="H109" s="88" t="s">
        <v>4982</v>
      </c>
      <c r="I109" s="90">
        <v>45999.63230324074</v>
      </c>
    </row>
    <row r="110" ht="14.25" customHeight="1">
      <c r="A110" s="87">
        <v>109.0</v>
      </c>
      <c r="B110" s="88" t="s">
        <v>1089</v>
      </c>
      <c r="C110" s="89">
        <v>1.054839423E9</v>
      </c>
      <c r="D110" s="89" t="str">
        <f t="shared" si="1"/>
        <v>최수정9423</v>
      </c>
      <c r="E110" s="89" t="s">
        <v>4983</v>
      </c>
      <c r="F110" s="90">
        <v>45999.44494212963</v>
      </c>
      <c r="G110" s="88" t="s">
        <v>4805</v>
      </c>
      <c r="H110" s="88" t="s">
        <v>4984</v>
      </c>
      <c r="I110" s="90">
        <v>45999.63439814815</v>
      </c>
    </row>
    <row r="111" ht="14.25" customHeight="1">
      <c r="A111" s="87">
        <v>110.0</v>
      </c>
      <c r="B111" s="88" t="s">
        <v>3407</v>
      </c>
      <c r="C111" s="89">
        <v>1.095213666E9</v>
      </c>
      <c r="D111" s="89" t="str">
        <f t="shared" si="1"/>
        <v>오금자3666</v>
      </c>
      <c r="E111" s="89" t="s">
        <v>4985</v>
      </c>
      <c r="F111" s="90">
        <v>45999.4431712963</v>
      </c>
      <c r="G111" s="88" t="s">
        <v>4805</v>
      </c>
      <c r="H111" s="88" t="s">
        <v>4964</v>
      </c>
      <c r="I111" s="90">
        <v>45999.639965277776</v>
      </c>
    </row>
    <row r="112" ht="14.25" customHeight="1">
      <c r="A112" s="87">
        <v>111.0</v>
      </c>
      <c r="B112" s="88" t="s">
        <v>1089</v>
      </c>
      <c r="C112" s="89">
        <v>1.054839423E9</v>
      </c>
      <c r="D112" s="89" t="str">
        <f t="shared" si="1"/>
        <v>최수정9423</v>
      </c>
      <c r="E112" s="89" t="s">
        <v>4986</v>
      </c>
      <c r="F112" s="90">
        <v>45999.438622685186</v>
      </c>
      <c r="G112" s="88" t="s">
        <v>4805</v>
      </c>
      <c r="H112" s="88" t="s">
        <v>4979</v>
      </c>
      <c r="I112" s="90">
        <v>45999.64034722222</v>
      </c>
    </row>
    <row r="113" ht="14.25" customHeight="1">
      <c r="A113" s="87">
        <v>112.0</v>
      </c>
      <c r="B113" s="88" t="s">
        <v>2837</v>
      </c>
      <c r="C113" s="89">
        <v>1.072110988E9</v>
      </c>
      <c r="D113" s="89" t="str">
        <f t="shared" si="1"/>
        <v>김혜성0988</v>
      </c>
      <c r="E113" s="89" t="s">
        <v>4987</v>
      </c>
      <c r="F113" s="90">
        <v>45999.4362962963</v>
      </c>
      <c r="G113" s="88" t="s">
        <v>4805</v>
      </c>
      <c r="H113" s="89" t="s">
        <v>4911</v>
      </c>
      <c r="I113" s="90">
        <v>45999.63486111111</v>
      </c>
    </row>
    <row r="114" ht="14.25" customHeight="1">
      <c r="A114" s="87">
        <v>113.0</v>
      </c>
      <c r="B114" s="88" t="s">
        <v>1580</v>
      </c>
      <c r="C114" s="89">
        <v>1.063324474E9</v>
      </c>
      <c r="D114" s="89" t="str">
        <f t="shared" si="1"/>
        <v>이경자4474</v>
      </c>
      <c r="E114" s="89" t="s">
        <v>4988</v>
      </c>
      <c r="F114" s="90">
        <v>45999.43177083333</v>
      </c>
      <c r="G114" s="88" t="s">
        <v>4805</v>
      </c>
      <c r="H114" s="88" t="s">
        <v>4989</v>
      </c>
      <c r="I114" s="90">
        <v>45999.63539351852</v>
      </c>
    </row>
    <row r="115" ht="14.25" customHeight="1">
      <c r="A115" s="87">
        <v>114.0</v>
      </c>
      <c r="B115" s="88" t="s">
        <v>3688</v>
      </c>
      <c r="C115" s="89">
        <v>1.09000399E9</v>
      </c>
      <c r="D115" s="89" t="str">
        <f t="shared" si="1"/>
        <v>조희진3990</v>
      </c>
      <c r="E115" s="89" t="s">
        <v>4990</v>
      </c>
      <c r="F115" s="90">
        <v>45999.426712962966</v>
      </c>
      <c r="G115" s="88" t="s">
        <v>4805</v>
      </c>
      <c r="H115" s="88" t="s">
        <v>4991</v>
      </c>
      <c r="I115" s="90">
        <v>45999.635625</v>
      </c>
    </row>
    <row r="116" ht="14.25" customHeight="1">
      <c r="A116" s="87">
        <v>115.0</v>
      </c>
      <c r="B116" s="88" t="s">
        <v>2511</v>
      </c>
      <c r="C116" s="89">
        <v>1.052325712E9</v>
      </c>
      <c r="D116" s="89" t="str">
        <f t="shared" si="1"/>
        <v>김나영5712</v>
      </c>
      <c r="E116" s="89" t="s">
        <v>4992</v>
      </c>
      <c r="F116" s="90">
        <v>45999.426099537035</v>
      </c>
      <c r="G116" s="88" t="s">
        <v>4805</v>
      </c>
      <c r="H116" s="89" t="s">
        <v>4993</v>
      </c>
      <c r="I116" s="90">
        <v>45999.63880787037</v>
      </c>
    </row>
    <row r="117" ht="14.25" customHeight="1">
      <c r="A117" s="87">
        <v>116.0</v>
      </c>
      <c r="B117" s="88" t="s">
        <v>2333</v>
      </c>
      <c r="C117" s="89">
        <v>1.027775674E9</v>
      </c>
      <c r="D117" s="89" t="str">
        <f t="shared" si="1"/>
        <v>노애경5674</v>
      </c>
      <c r="E117" s="89" t="s">
        <v>4994</v>
      </c>
      <c r="F117" s="90">
        <v>45999.422581018516</v>
      </c>
      <c r="G117" s="88" t="s">
        <v>4805</v>
      </c>
      <c r="H117" s="89" t="s">
        <v>4911</v>
      </c>
      <c r="I117" s="90">
        <v>45999.63912037037</v>
      </c>
    </row>
    <row r="118" ht="14.25" customHeight="1">
      <c r="A118" s="87">
        <v>117.0</v>
      </c>
      <c r="B118" s="88" t="s">
        <v>3543</v>
      </c>
      <c r="C118" s="89">
        <v>1.05219496E9</v>
      </c>
      <c r="D118" s="89" t="str">
        <f t="shared" si="1"/>
        <v>임묘순4960</v>
      </c>
      <c r="E118" s="89" t="s">
        <v>4995</v>
      </c>
      <c r="F118" s="90">
        <v>45999.41662037037</v>
      </c>
      <c r="G118" s="88" t="s">
        <v>4805</v>
      </c>
      <c r="H118" s="88" t="s">
        <v>4964</v>
      </c>
      <c r="I118" s="90">
        <v>45999.6396875</v>
      </c>
    </row>
    <row r="119" ht="14.25" customHeight="1">
      <c r="A119" s="87">
        <v>118.0</v>
      </c>
      <c r="B119" s="88" t="s">
        <v>3905</v>
      </c>
      <c r="C119" s="89">
        <v>1.041147399E9</v>
      </c>
      <c r="D119" s="89" t="str">
        <f t="shared" si="1"/>
        <v>경현옥7399</v>
      </c>
      <c r="E119" s="89" t="s">
        <v>4996</v>
      </c>
      <c r="F119" s="90">
        <v>45999.41394675926</v>
      </c>
      <c r="G119" s="88" t="s">
        <v>4805</v>
      </c>
      <c r="H119" s="88" t="s">
        <v>4997</v>
      </c>
      <c r="I119" s="90">
        <v>45999.64175925926</v>
      </c>
    </row>
    <row r="120" ht="14.25" customHeight="1">
      <c r="A120" s="87">
        <v>119.0</v>
      </c>
      <c r="B120" s="88" t="s">
        <v>3835</v>
      </c>
      <c r="C120" s="89">
        <v>1.025786142E9</v>
      </c>
      <c r="D120" s="89" t="str">
        <f t="shared" si="1"/>
        <v>이금봉6142</v>
      </c>
      <c r="E120" s="89" t="s">
        <v>4998</v>
      </c>
      <c r="F120" s="90">
        <v>45999.40864583333</v>
      </c>
      <c r="G120" s="88" t="s">
        <v>4805</v>
      </c>
      <c r="H120" s="88" t="s">
        <v>4999</v>
      </c>
      <c r="I120" s="90">
        <v>45999.94059027778</v>
      </c>
    </row>
    <row r="121" ht="14.25" customHeight="1">
      <c r="A121" s="87">
        <v>120.0</v>
      </c>
      <c r="B121" s="88" t="s">
        <v>3878</v>
      </c>
      <c r="C121" s="89">
        <v>1.065173088E9</v>
      </c>
      <c r="D121" s="89" t="str">
        <f t="shared" si="1"/>
        <v>나경희3088</v>
      </c>
      <c r="E121" s="89" t="s">
        <v>5000</v>
      </c>
      <c r="F121" s="90">
        <v>45999.40793981482</v>
      </c>
      <c r="G121" s="88" t="s">
        <v>4805</v>
      </c>
      <c r="H121" s="88" t="s">
        <v>5001</v>
      </c>
      <c r="I121" s="90">
        <v>45999.41091435185</v>
      </c>
    </row>
    <row r="122" ht="14.25" customHeight="1">
      <c r="A122" s="87">
        <v>121.0</v>
      </c>
      <c r="B122" s="88" t="s">
        <v>2747</v>
      </c>
      <c r="C122" s="89">
        <v>1.023132027E9</v>
      </c>
      <c r="D122" s="89" t="str">
        <f t="shared" si="1"/>
        <v>이혜은2027</v>
      </c>
      <c r="E122" s="89" t="s">
        <v>5002</v>
      </c>
      <c r="F122" s="90">
        <v>45999.4078125</v>
      </c>
      <c r="G122" s="88" t="s">
        <v>4805</v>
      </c>
      <c r="H122" s="88" t="s">
        <v>5003</v>
      </c>
      <c r="I122" s="90">
        <v>45999.41315972222</v>
      </c>
    </row>
    <row r="123" ht="14.25" customHeight="1">
      <c r="A123" s="87">
        <v>122.0</v>
      </c>
      <c r="B123" s="88" t="s">
        <v>5004</v>
      </c>
      <c r="C123" s="89">
        <v>1.039494827E9</v>
      </c>
      <c r="D123" s="89" t="str">
        <f t="shared" si="1"/>
        <v>김영진4827</v>
      </c>
      <c r="E123" s="89" t="s">
        <v>5005</v>
      </c>
      <c r="F123" s="90">
        <v>45999.407476851855</v>
      </c>
      <c r="G123" s="88" t="s">
        <v>4805</v>
      </c>
      <c r="H123" s="88" t="s">
        <v>5006</v>
      </c>
      <c r="I123" s="90">
        <v>45999.41511574074</v>
      </c>
    </row>
    <row r="124" ht="14.25" customHeight="1">
      <c r="A124" s="87">
        <v>123.0</v>
      </c>
      <c r="B124" s="88" t="s">
        <v>3393</v>
      </c>
      <c r="C124" s="89">
        <v>1.066108353E9</v>
      </c>
      <c r="D124" s="89" t="str">
        <f t="shared" si="1"/>
        <v>양영애8353</v>
      </c>
      <c r="E124" s="89" t="s">
        <v>5007</v>
      </c>
      <c r="F124" s="90">
        <v>45999.40589120371</v>
      </c>
      <c r="G124" s="88" t="s">
        <v>4805</v>
      </c>
      <c r="H124" s="88" t="s">
        <v>5008</v>
      </c>
      <c r="I124" s="90">
        <v>45999.40725694445</v>
      </c>
    </row>
    <row r="125" ht="14.25" customHeight="1">
      <c r="A125" s="87">
        <v>124.0</v>
      </c>
      <c r="B125" s="88" t="s">
        <v>3851</v>
      </c>
      <c r="C125" s="89">
        <v>1.090588084E9</v>
      </c>
      <c r="D125" s="89" t="str">
        <f t="shared" si="1"/>
        <v>황은옥8084</v>
      </c>
      <c r="E125" s="89" t="s">
        <v>5009</v>
      </c>
      <c r="F125" s="90">
        <v>45999.403958333336</v>
      </c>
      <c r="G125" s="88" t="s">
        <v>4805</v>
      </c>
      <c r="H125" s="88" t="s">
        <v>5010</v>
      </c>
      <c r="I125" s="90">
        <v>45999.40925925926</v>
      </c>
    </row>
    <row r="126" ht="14.25" customHeight="1">
      <c r="A126" s="87">
        <v>125.0</v>
      </c>
      <c r="B126" s="88" t="s">
        <v>2796</v>
      </c>
      <c r="C126" s="89">
        <v>1.087292453E9</v>
      </c>
      <c r="D126" s="89" t="str">
        <f t="shared" si="1"/>
        <v>권명순2453</v>
      </c>
      <c r="E126" s="89" t="s">
        <v>5011</v>
      </c>
      <c r="F126" s="90">
        <v>45999.398981481485</v>
      </c>
      <c r="G126" s="88" t="s">
        <v>4805</v>
      </c>
      <c r="H126" s="88" t="s">
        <v>5012</v>
      </c>
      <c r="I126" s="90">
        <v>45999.644270833334</v>
      </c>
    </row>
    <row r="127" ht="14.25" customHeight="1">
      <c r="A127" s="87">
        <v>126.0</v>
      </c>
      <c r="B127" s="88" t="s">
        <v>2459</v>
      </c>
      <c r="C127" s="89">
        <v>1.062843632E9</v>
      </c>
      <c r="D127" s="89" t="str">
        <f t="shared" si="1"/>
        <v>이경희3632</v>
      </c>
      <c r="E127" s="89" t="s">
        <v>5013</v>
      </c>
      <c r="F127" s="90">
        <v>45999.3858912037</v>
      </c>
      <c r="G127" s="88" t="s">
        <v>4805</v>
      </c>
      <c r="H127" s="88" t="s">
        <v>5014</v>
      </c>
      <c r="I127" s="90">
        <v>45999.852222222224</v>
      </c>
    </row>
    <row r="128" ht="14.25" customHeight="1">
      <c r="A128" s="87">
        <v>127.0</v>
      </c>
      <c r="B128" s="94" t="s">
        <v>3845</v>
      </c>
      <c r="C128" s="89">
        <v>1.047699367E9</v>
      </c>
      <c r="D128" s="89" t="str">
        <f t="shared" si="1"/>
        <v>오금순9367</v>
      </c>
      <c r="E128" s="89" t="s">
        <v>5015</v>
      </c>
      <c r="F128" s="90">
        <v>45999.38502314815</v>
      </c>
      <c r="G128" s="88" t="s">
        <v>4805</v>
      </c>
      <c r="H128" s="88" t="s">
        <v>5016</v>
      </c>
      <c r="I128" s="90">
        <v>45999.645682870374</v>
      </c>
    </row>
    <row r="129" ht="14.25" customHeight="1">
      <c r="A129" s="87">
        <v>128.0</v>
      </c>
      <c r="B129" s="88" t="s">
        <v>3835</v>
      </c>
      <c r="C129" s="89">
        <v>1.025786142E9</v>
      </c>
      <c r="D129" s="89" t="str">
        <f t="shared" si="1"/>
        <v>이금봉6142</v>
      </c>
      <c r="E129" s="89" t="s">
        <v>5017</v>
      </c>
      <c r="F129" s="90">
        <v>45999.38481481482</v>
      </c>
      <c r="G129" s="88" t="s">
        <v>4805</v>
      </c>
      <c r="H129" s="88" t="s">
        <v>5018</v>
      </c>
      <c r="I129" s="90">
        <v>45999.39310185185</v>
      </c>
    </row>
    <row r="130" ht="14.25" customHeight="1">
      <c r="A130" s="87">
        <v>129.0</v>
      </c>
      <c r="B130" s="88" t="s">
        <v>1297</v>
      </c>
      <c r="C130" s="89">
        <v>1.091445193E9</v>
      </c>
      <c r="D130" s="89" t="str">
        <f t="shared" si="1"/>
        <v>이혜원5193</v>
      </c>
      <c r="E130" s="89" t="s">
        <v>5019</v>
      </c>
      <c r="F130" s="90">
        <v>45999.38465277778</v>
      </c>
      <c r="G130" s="88" t="s">
        <v>4792</v>
      </c>
      <c r="H130" s="91"/>
      <c r="I130" s="92"/>
    </row>
    <row r="131" ht="14.25" customHeight="1">
      <c r="A131" s="87">
        <v>130.0</v>
      </c>
      <c r="B131" s="88" t="s">
        <v>3851</v>
      </c>
      <c r="C131" s="89">
        <v>1.090588084E9</v>
      </c>
      <c r="D131" s="89" t="str">
        <f t="shared" si="1"/>
        <v>황은옥8084</v>
      </c>
      <c r="E131" s="89" t="s">
        <v>5020</v>
      </c>
      <c r="F131" s="90">
        <v>45999.38384259259</v>
      </c>
      <c r="G131" s="88" t="s">
        <v>4805</v>
      </c>
      <c r="H131" s="88" t="s">
        <v>5021</v>
      </c>
      <c r="I131" s="90">
        <v>45999.38868055555</v>
      </c>
    </row>
    <row r="132" ht="14.25" customHeight="1">
      <c r="A132" s="87">
        <v>131.0</v>
      </c>
      <c r="B132" s="88" t="s">
        <v>2796</v>
      </c>
      <c r="C132" s="89">
        <v>1.087292453E9</v>
      </c>
      <c r="D132" s="89" t="str">
        <f t="shared" si="1"/>
        <v>권명순2453</v>
      </c>
      <c r="E132" s="89" t="s">
        <v>5022</v>
      </c>
      <c r="F132" s="90">
        <v>45999.38349537037</v>
      </c>
      <c r="G132" s="88" t="s">
        <v>4805</v>
      </c>
      <c r="H132" s="88" t="s">
        <v>5023</v>
      </c>
      <c r="I132" s="90">
        <v>45999.39607638889</v>
      </c>
    </row>
    <row r="133" ht="14.25" customHeight="1">
      <c r="A133" s="87">
        <v>132.0</v>
      </c>
      <c r="B133" s="88" t="s">
        <v>2474</v>
      </c>
      <c r="C133" s="89">
        <v>1.095979412E9</v>
      </c>
      <c r="D133" s="89" t="str">
        <f t="shared" si="1"/>
        <v>홍효정9412</v>
      </c>
      <c r="E133" s="89" t="s">
        <v>5024</v>
      </c>
      <c r="F133" s="90">
        <v>45999.38097222222</v>
      </c>
      <c r="G133" s="88" t="s">
        <v>4805</v>
      </c>
      <c r="H133" s="88" t="s">
        <v>5025</v>
      </c>
      <c r="I133" s="90">
        <v>45999.85885416667</v>
      </c>
    </row>
    <row r="134" ht="14.25" customHeight="1">
      <c r="A134" s="87">
        <v>133.0</v>
      </c>
      <c r="B134" s="88" t="s">
        <v>3845</v>
      </c>
      <c r="C134" s="89">
        <v>1.047699367E9</v>
      </c>
      <c r="D134" s="89" t="str">
        <f t="shared" si="1"/>
        <v>오금순9367</v>
      </c>
      <c r="E134" s="89" t="s">
        <v>5026</v>
      </c>
      <c r="F134" s="90">
        <v>45999.37773148148</v>
      </c>
      <c r="G134" s="88" t="s">
        <v>4805</v>
      </c>
      <c r="H134" s="88" t="s">
        <v>5027</v>
      </c>
      <c r="I134" s="90">
        <v>45999.38018518518</v>
      </c>
    </row>
    <row r="135" ht="14.25" customHeight="1">
      <c r="A135" s="87">
        <v>134.0</v>
      </c>
      <c r="B135" s="88" t="s">
        <v>2754</v>
      </c>
      <c r="C135" s="89">
        <v>1.087988084E9</v>
      </c>
      <c r="D135" s="89" t="str">
        <f t="shared" si="1"/>
        <v>주청주8084</v>
      </c>
      <c r="E135" s="89" t="s">
        <v>5028</v>
      </c>
      <c r="F135" s="90">
        <v>45999.376076388886</v>
      </c>
      <c r="G135" s="88" t="s">
        <v>4805</v>
      </c>
      <c r="H135" s="88" t="s">
        <v>5029</v>
      </c>
      <c r="I135" s="90">
        <v>45999.85974537037</v>
      </c>
    </row>
    <row r="136" ht="14.25" customHeight="1">
      <c r="A136" s="87">
        <v>135.0</v>
      </c>
      <c r="B136" s="88" t="s">
        <v>1063</v>
      </c>
      <c r="C136" s="89">
        <v>1.043509644E9</v>
      </c>
      <c r="D136" s="89" t="str">
        <f t="shared" si="1"/>
        <v>김일9644</v>
      </c>
      <c r="E136" s="89" t="s">
        <v>5030</v>
      </c>
      <c r="F136" s="90">
        <v>45999.37259259259</v>
      </c>
      <c r="G136" s="88" t="s">
        <v>4805</v>
      </c>
      <c r="H136" s="88" t="s">
        <v>5031</v>
      </c>
      <c r="I136" s="90">
        <v>45999.860925925925</v>
      </c>
    </row>
    <row r="137" ht="14.25" customHeight="1">
      <c r="A137" s="87">
        <v>136.0</v>
      </c>
      <c r="B137" s="88" t="s">
        <v>2763</v>
      </c>
      <c r="C137" s="89">
        <v>1.055313799E9</v>
      </c>
      <c r="D137" s="89" t="str">
        <f t="shared" si="1"/>
        <v>지은아3799</v>
      </c>
      <c r="E137" s="89" t="s">
        <v>5032</v>
      </c>
      <c r="F137" s="90">
        <v>45999.37229166667</v>
      </c>
      <c r="G137" s="88" t="s">
        <v>4792</v>
      </c>
      <c r="H137" s="91"/>
      <c r="I137" s="92"/>
    </row>
    <row r="138" ht="14.25" customHeight="1">
      <c r="A138" s="87">
        <v>137.0</v>
      </c>
      <c r="B138" s="88" t="s">
        <v>2192</v>
      </c>
      <c r="C138" s="89">
        <v>1.05360875E9</v>
      </c>
      <c r="D138" s="89" t="str">
        <f t="shared" si="1"/>
        <v>백창남8750</v>
      </c>
      <c r="E138" s="89" t="s">
        <v>5033</v>
      </c>
      <c r="F138" s="90">
        <v>45999.36834490741</v>
      </c>
      <c r="G138" s="88" t="s">
        <v>4805</v>
      </c>
      <c r="H138" s="88" t="s">
        <v>4964</v>
      </c>
      <c r="I138" s="90">
        <v>45999.915613425925</v>
      </c>
    </row>
    <row r="139" ht="14.25" customHeight="1">
      <c r="A139" s="87">
        <v>138.0</v>
      </c>
      <c r="B139" s="88" t="s">
        <v>1295</v>
      </c>
      <c r="C139" s="89">
        <v>1.056412411E9</v>
      </c>
      <c r="D139" s="89" t="str">
        <f t="shared" si="1"/>
        <v>윤성경2411</v>
      </c>
      <c r="E139" s="89" t="s">
        <v>5034</v>
      </c>
      <c r="F139" s="90">
        <v>45999.365960648145</v>
      </c>
      <c r="G139" s="88" t="s">
        <v>4805</v>
      </c>
      <c r="H139" s="88" t="s">
        <v>5035</v>
      </c>
      <c r="I139" s="90">
        <v>45999.91778935185</v>
      </c>
    </row>
    <row r="140" ht="14.25" customHeight="1">
      <c r="A140" s="87">
        <v>139.0</v>
      </c>
      <c r="B140" s="88" t="s">
        <v>4548</v>
      </c>
      <c r="C140" s="89">
        <v>1.086827188E9</v>
      </c>
      <c r="D140" s="89" t="str">
        <f t="shared" si="1"/>
        <v>신귀순7188</v>
      </c>
      <c r="E140" s="89" t="s">
        <v>5036</v>
      </c>
      <c r="F140" s="90">
        <v>45999.36555555555</v>
      </c>
      <c r="G140" s="88" t="s">
        <v>4805</v>
      </c>
      <c r="H140" s="88" t="s">
        <v>5037</v>
      </c>
      <c r="I140" s="90">
        <v>45999.91925925926</v>
      </c>
    </row>
    <row r="141" ht="14.25" customHeight="1">
      <c r="A141" s="87">
        <v>140.0</v>
      </c>
      <c r="B141" s="88" t="s">
        <v>1067</v>
      </c>
      <c r="C141" s="89">
        <v>1.04512148E9</v>
      </c>
      <c r="D141" s="89" t="str">
        <f t="shared" si="1"/>
        <v>차현주1480</v>
      </c>
      <c r="E141" s="89" t="s">
        <v>5038</v>
      </c>
      <c r="F141" s="90">
        <v>45999.365069444444</v>
      </c>
      <c r="G141" s="88" t="s">
        <v>4805</v>
      </c>
      <c r="H141" s="88" t="s">
        <v>5039</v>
      </c>
      <c r="I141" s="90">
        <v>45999.92459490741</v>
      </c>
    </row>
    <row r="142" ht="14.25" customHeight="1">
      <c r="A142" s="87">
        <v>141.0</v>
      </c>
      <c r="B142" s="88" t="s">
        <v>4657</v>
      </c>
      <c r="C142" s="89">
        <v>1.063541363E9</v>
      </c>
      <c r="D142" s="89" t="str">
        <f t="shared" si="1"/>
        <v>박영순1363</v>
      </c>
      <c r="E142" s="89" t="s">
        <v>5040</v>
      </c>
      <c r="F142" s="90">
        <v>45999.364375</v>
      </c>
      <c r="G142" s="88" t="s">
        <v>4792</v>
      </c>
      <c r="H142" s="91"/>
      <c r="I142" s="92"/>
    </row>
    <row r="143" ht="14.25" customHeight="1">
      <c r="A143" s="87">
        <v>142.0</v>
      </c>
      <c r="B143" s="88" t="s">
        <v>2832</v>
      </c>
      <c r="C143" s="89">
        <v>1.081383166E9</v>
      </c>
      <c r="D143" s="89" t="str">
        <f t="shared" si="1"/>
        <v>김춘희3166</v>
      </c>
      <c r="E143" s="89" t="s">
        <v>5041</v>
      </c>
      <c r="F143" s="90">
        <v>45999.356145833335</v>
      </c>
      <c r="G143" s="88" t="s">
        <v>4805</v>
      </c>
      <c r="H143" s="88" t="s">
        <v>5042</v>
      </c>
      <c r="I143" s="90">
        <v>45999.94619212963</v>
      </c>
    </row>
    <row r="144" ht="14.25" customHeight="1">
      <c r="A144" s="87">
        <v>143.0</v>
      </c>
      <c r="B144" s="88" t="s">
        <v>2832</v>
      </c>
      <c r="C144" s="89">
        <v>1.081383166E9</v>
      </c>
      <c r="D144" s="89" t="str">
        <f t="shared" si="1"/>
        <v>김춘희3166</v>
      </c>
      <c r="E144" s="89" t="s">
        <v>5043</v>
      </c>
      <c r="F144" s="90">
        <v>45999.35121527778</v>
      </c>
      <c r="G144" s="88" t="s">
        <v>4792</v>
      </c>
      <c r="H144" s="91"/>
      <c r="I144" s="92"/>
    </row>
    <row r="145" ht="14.25" customHeight="1">
      <c r="A145" s="87">
        <v>144.0</v>
      </c>
      <c r="B145" s="88" t="s">
        <v>2895</v>
      </c>
      <c r="C145" s="89">
        <v>1.072464461E9</v>
      </c>
      <c r="D145" s="89" t="str">
        <f t="shared" si="1"/>
        <v>이정숙4461</v>
      </c>
      <c r="E145" s="89" t="s">
        <v>5044</v>
      </c>
      <c r="F145" s="90">
        <v>45999.35037037037</v>
      </c>
      <c r="G145" s="88" t="s">
        <v>4805</v>
      </c>
      <c r="H145" s="88" t="s">
        <v>5045</v>
      </c>
      <c r="I145" s="90">
        <v>45999.95997685185</v>
      </c>
    </row>
    <row r="146" ht="14.25" customHeight="1">
      <c r="A146" s="87">
        <v>145.0</v>
      </c>
      <c r="B146" s="88" t="s">
        <v>2832</v>
      </c>
      <c r="C146" s="89">
        <v>1.081383166E9</v>
      </c>
      <c r="D146" s="89" t="str">
        <f t="shared" si="1"/>
        <v>김춘희3166</v>
      </c>
      <c r="E146" s="89" t="s">
        <v>5046</v>
      </c>
      <c r="F146" s="90">
        <v>45999.350023148145</v>
      </c>
      <c r="G146" s="88" t="s">
        <v>4805</v>
      </c>
      <c r="H146" s="88" t="s">
        <v>4817</v>
      </c>
      <c r="I146" s="90">
        <v>45999.96068287037</v>
      </c>
    </row>
    <row r="147" ht="14.25" customHeight="1">
      <c r="A147" s="87">
        <v>146.0</v>
      </c>
      <c r="B147" s="88" t="s">
        <v>2921</v>
      </c>
      <c r="C147" s="89">
        <v>1.093975082E9</v>
      </c>
      <c r="D147" s="89" t="str">
        <f t="shared" si="1"/>
        <v>최은영5082</v>
      </c>
      <c r="E147" s="89" t="s">
        <v>5047</v>
      </c>
      <c r="F147" s="90">
        <v>45999.34774305556</v>
      </c>
      <c r="G147" s="88" t="s">
        <v>4805</v>
      </c>
      <c r="H147" s="88" t="s">
        <v>5048</v>
      </c>
      <c r="I147" s="90">
        <v>45999.9615162037</v>
      </c>
    </row>
    <row r="148" ht="14.25" customHeight="1">
      <c r="A148" s="87">
        <v>147.0</v>
      </c>
      <c r="B148" s="88" t="s">
        <v>2602</v>
      </c>
      <c r="C148" s="89">
        <v>1.045243349E9</v>
      </c>
      <c r="D148" s="89" t="str">
        <f t="shared" si="1"/>
        <v>김난숙3349</v>
      </c>
      <c r="E148" s="89" t="s">
        <v>5049</v>
      </c>
      <c r="F148" s="90">
        <v>45999.34638888889</v>
      </c>
      <c r="G148" s="88" t="s">
        <v>4792</v>
      </c>
      <c r="H148" s="91"/>
      <c r="I148" s="92"/>
    </row>
    <row r="149" ht="14.25" customHeight="1">
      <c r="A149" s="87">
        <v>148.0</v>
      </c>
      <c r="B149" s="88" t="s">
        <v>1065</v>
      </c>
      <c r="C149" s="89">
        <v>1.04280629E9</v>
      </c>
      <c r="D149" s="89" t="str">
        <f t="shared" si="1"/>
        <v>한명희6290</v>
      </c>
      <c r="E149" s="89" t="s">
        <v>5050</v>
      </c>
      <c r="F149" s="90">
        <v>45999.342002314814</v>
      </c>
      <c r="G149" s="88" t="s">
        <v>4805</v>
      </c>
      <c r="H149" s="88" t="s">
        <v>5051</v>
      </c>
      <c r="I149" s="90">
        <v>45999.96309027778</v>
      </c>
    </row>
    <row r="150" ht="14.25" customHeight="1">
      <c r="A150" s="87">
        <v>149.0</v>
      </c>
      <c r="B150" s="88" t="s">
        <v>1318</v>
      </c>
      <c r="C150" s="89">
        <v>1.026271814E9</v>
      </c>
      <c r="D150" s="89" t="str">
        <f t="shared" si="1"/>
        <v>황정임1814</v>
      </c>
      <c r="E150" s="89" t="s">
        <v>5052</v>
      </c>
      <c r="F150" s="90">
        <v>45999.34042824074</v>
      </c>
      <c r="G150" s="88" t="s">
        <v>4805</v>
      </c>
      <c r="H150" s="88" t="s">
        <v>5053</v>
      </c>
      <c r="I150" s="90">
        <v>45999.963738425926</v>
      </c>
    </row>
    <row r="151" ht="14.25" customHeight="1">
      <c r="A151" s="87">
        <v>150.0</v>
      </c>
      <c r="B151" s="88" t="s">
        <v>5054</v>
      </c>
      <c r="C151" s="89">
        <v>1.052632139E9</v>
      </c>
      <c r="D151" s="89" t="str">
        <f t="shared" si="1"/>
        <v>이중빈2139</v>
      </c>
      <c r="E151" s="89" t="s">
        <v>5055</v>
      </c>
      <c r="F151" s="90">
        <v>45999.33125</v>
      </c>
      <c r="G151" s="88" t="s">
        <v>4805</v>
      </c>
      <c r="H151" s="88" t="s">
        <v>5056</v>
      </c>
      <c r="I151" s="90">
        <v>46000.00377314815</v>
      </c>
    </row>
    <row r="152" ht="14.25" customHeight="1">
      <c r="A152" s="87">
        <v>151.0</v>
      </c>
      <c r="B152" s="88" t="s">
        <v>4657</v>
      </c>
      <c r="C152" s="89">
        <v>1.063541363E9</v>
      </c>
      <c r="D152" s="89" t="str">
        <f t="shared" si="1"/>
        <v>박영순1363</v>
      </c>
      <c r="E152" s="89" t="s">
        <v>5057</v>
      </c>
      <c r="F152" s="90">
        <v>45999.330416666664</v>
      </c>
      <c r="G152" s="88" t="s">
        <v>4792</v>
      </c>
      <c r="H152" s="91"/>
      <c r="I152" s="92"/>
    </row>
    <row r="153" ht="14.25" customHeight="1">
      <c r="A153" s="87">
        <v>152.0</v>
      </c>
      <c r="B153" s="88" t="s">
        <v>3848</v>
      </c>
      <c r="C153" s="89">
        <v>1.020145896E9</v>
      </c>
      <c r="D153" s="89" t="str">
        <f t="shared" si="1"/>
        <v>손영숙5896</v>
      </c>
      <c r="E153" s="89" t="s">
        <v>5058</v>
      </c>
      <c r="F153" s="90">
        <v>45999.32800925926</v>
      </c>
      <c r="G153" s="88" t="s">
        <v>4805</v>
      </c>
      <c r="H153" s="88" t="s">
        <v>5059</v>
      </c>
      <c r="I153" s="90">
        <v>45999.970659722225</v>
      </c>
    </row>
    <row r="154" ht="14.25" customHeight="1">
      <c r="A154" s="87">
        <v>153.0</v>
      </c>
      <c r="B154" s="88" t="s">
        <v>2115</v>
      </c>
      <c r="C154" s="89">
        <v>1.063210794E9</v>
      </c>
      <c r="D154" s="89" t="str">
        <f t="shared" si="1"/>
        <v>김하나0794</v>
      </c>
      <c r="E154" s="89" t="s">
        <v>5060</v>
      </c>
      <c r="F154" s="90">
        <v>45999.32560185185</v>
      </c>
      <c r="G154" s="88" t="s">
        <v>4792</v>
      </c>
      <c r="H154" s="93"/>
      <c r="I154" s="93"/>
    </row>
    <row r="155" ht="14.25" customHeight="1">
      <c r="A155" s="87">
        <v>154.0</v>
      </c>
      <c r="B155" s="88" t="s">
        <v>5061</v>
      </c>
      <c r="C155" s="89">
        <v>1.076625506E9</v>
      </c>
      <c r="D155" s="89" t="str">
        <f t="shared" si="1"/>
        <v>박규순5506</v>
      </c>
      <c r="E155" s="89" t="s">
        <v>5062</v>
      </c>
      <c r="F155" s="90">
        <v>45999.32414351852</v>
      </c>
      <c r="G155" s="88" t="s">
        <v>4792</v>
      </c>
      <c r="H155" s="91"/>
      <c r="I155" s="92"/>
    </row>
    <row r="156" ht="14.25" customHeight="1">
      <c r="A156" s="87">
        <v>155.0</v>
      </c>
      <c r="B156" s="88" t="s">
        <v>1691</v>
      </c>
      <c r="C156" s="89">
        <v>1.085573114E9</v>
      </c>
      <c r="D156" s="89" t="str">
        <f t="shared" si="1"/>
        <v>진라희3114</v>
      </c>
      <c r="E156" s="89" t="s">
        <v>5063</v>
      </c>
      <c r="F156" s="90">
        <v>45999.32230324074</v>
      </c>
      <c r="G156" s="88" t="s">
        <v>4805</v>
      </c>
      <c r="H156" s="88" t="s">
        <v>5064</v>
      </c>
      <c r="I156" s="90">
        <v>45999.8250462963</v>
      </c>
    </row>
    <row r="157" ht="14.25" customHeight="1">
      <c r="A157" s="87">
        <v>156.0</v>
      </c>
      <c r="B157" s="88" t="s">
        <v>3455</v>
      </c>
      <c r="C157" s="89">
        <v>1.048417083E9</v>
      </c>
      <c r="D157" s="89" t="str">
        <f t="shared" si="1"/>
        <v>이경훈7083</v>
      </c>
      <c r="E157" s="89" t="s">
        <v>5065</v>
      </c>
      <c r="F157" s="90">
        <v>45999.3205787037</v>
      </c>
      <c r="G157" s="88" t="s">
        <v>4805</v>
      </c>
      <c r="H157" s="88" t="s">
        <v>4839</v>
      </c>
      <c r="I157" s="90">
        <v>45999.5815625</v>
      </c>
    </row>
    <row r="158" ht="14.25" customHeight="1">
      <c r="A158" s="87">
        <v>157.0</v>
      </c>
      <c r="B158" s="88" t="s">
        <v>3902</v>
      </c>
      <c r="C158" s="89">
        <v>1.035346512E9</v>
      </c>
      <c r="D158" s="89" t="str">
        <f t="shared" si="1"/>
        <v>노영숙6512</v>
      </c>
      <c r="E158" s="89" t="s">
        <v>5066</v>
      </c>
      <c r="F158" s="90">
        <v>45999.31851851852</v>
      </c>
      <c r="G158" s="88" t="s">
        <v>4805</v>
      </c>
      <c r="H158" s="88" t="s">
        <v>4857</v>
      </c>
      <c r="I158" s="90">
        <v>45999.581238425926</v>
      </c>
    </row>
    <row r="159" ht="14.25" customHeight="1">
      <c r="A159" s="87">
        <v>158.0</v>
      </c>
      <c r="B159" s="88" t="s">
        <v>1350</v>
      </c>
      <c r="C159" s="89">
        <v>1.086300562E9</v>
      </c>
      <c r="D159" s="89" t="str">
        <f t="shared" si="1"/>
        <v>김수지0562</v>
      </c>
      <c r="E159" s="89" t="s">
        <v>5067</v>
      </c>
      <c r="F159" s="90">
        <v>45999.312476851854</v>
      </c>
      <c r="G159" s="88" t="s">
        <v>4805</v>
      </c>
      <c r="H159" s="88" t="s">
        <v>4964</v>
      </c>
      <c r="I159" s="90">
        <v>45999.580092592594</v>
      </c>
    </row>
    <row r="160" ht="14.25" customHeight="1">
      <c r="A160" s="87">
        <v>159.0</v>
      </c>
      <c r="B160" s="88" t="s">
        <v>1350</v>
      </c>
      <c r="C160" s="89">
        <v>1.086300562E9</v>
      </c>
      <c r="D160" s="89" t="str">
        <f t="shared" si="1"/>
        <v>김수지0562</v>
      </c>
      <c r="E160" s="89" t="s">
        <v>5068</v>
      </c>
      <c r="F160" s="90">
        <v>45999.311631944445</v>
      </c>
      <c r="G160" s="88" t="s">
        <v>4805</v>
      </c>
      <c r="H160" s="88" t="s">
        <v>4839</v>
      </c>
      <c r="I160" s="90">
        <v>45999.579675925925</v>
      </c>
    </row>
    <row r="161" ht="14.25" customHeight="1">
      <c r="A161" s="87">
        <v>160.0</v>
      </c>
      <c r="B161" s="88" t="s">
        <v>2962</v>
      </c>
      <c r="C161" s="89">
        <v>1.054956334E9</v>
      </c>
      <c r="D161" s="89" t="str">
        <f t="shared" si="1"/>
        <v>강철민6334</v>
      </c>
      <c r="E161" s="89" t="s">
        <v>5069</v>
      </c>
      <c r="F161" s="90">
        <v>45999.31155092592</v>
      </c>
      <c r="G161" s="88" t="s">
        <v>4805</v>
      </c>
      <c r="H161" s="88" t="s">
        <v>5070</v>
      </c>
      <c r="I161" s="90">
        <v>45999.57957175926</v>
      </c>
    </row>
    <row r="162" ht="14.25" customHeight="1">
      <c r="A162" s="87">
        <v>161.0</v>
      </c>
      <c r="B162" s="88" t="s">
        <v>2018</v>
      </c>
      <c r="C162" s="89">
        <v>1.088290236E9</v>
      </c>
      <c r="D162" s="89" t="str">
        <f t="shared" si="1"/>
        <v>황성화0236</v>
      </c>
      <c r="E162" s="89" t="s">
        <v>5071</v>
      </c>
      <c r="F162" s="90">
        <v>45999.308958333335</v>
      </c>
      <c r="G162" s="88" t="s">
        <v>4805</v>
      </c>
      <c r="H162" s="88" t="s">
        <v>4839</v>
      </c>
      <c r="I162" s="90">
        <v>45999.57859953704</v>
      </c>
    </row>
    <row r="163" ht="14.25" customHeight="1">
      <c r="A163" s="87">
        <v>162.0</v>
      </c>
      <c r="B163" s="88" t="s">
        <v>1043</v>
      </c>
      <c r="C163" s="89">
        <v>1.028045404E9</v>
      </c>
      <c r="D163" s="89" t="str">
        <f t="shared" si="1"/>
        <v>안은숙5404</v>
      </c>
      <c r="E163" s="89" t="s">
        <v>5072</v>
      </c>
      <c r="F163" s="90">
        <v>45999.29335648148</v>
      </c>
      <c r="G163" s="88" t="s">
        <v>4805</v>
      </c>
      <c r="H163" s="89" t="s">
        <v>4911</v>
      </c>
      <c r="I163" s="90">
        <v>45999.57828703704</v>
      </c>
    </row>
    <row r="164" ht="14.25" customHeight="1">
      <c r="A164" s="87">
        <v>163.0</v>
      </c>
      <c r="B164" s="88" t="s">
        <v>4657</v>
      </c>
      <c r="C164" s="89">
        <v>1.063541363E9</v>
      </c>
      <c r="D164" s="89" t="str">
        <f t="shared" si="1"/>
        <v>박영순1363</v>
      </c>
      <c r="E164" s="89" t="s">
        <v>5073</v>
      </c>
      <c r="F164" s="90">
        <v>45999.28868055555</v>
      </c>
      <c r="G164" s="88" t="s">
        <v>4792</v>
      </c>
      <c r="H164" s="91"/>
      <c r="I164" s="92"/>
    </row>
    <row r="165" ht="14.25" customHeight="1">
      <c r="A165" s="87">
        <v>164.0</v>
      </c>
      <c r="B165" s="88" t="s">
        <v>3867</v>
      </c>
      <c r="C165" s="89">
        <v>1.035660306E9</v>
      </c>
      <c r="D165" s="89" t="str">
        <f t="shared" si="1"/>
        <v>김인혜0306</v>
      </c>
      <c r="E165" s="89" t="s">
        <v>5074</v>
      </c>
      <c r="F165" s="90">
        <v>45999.28803240741</v>
      </c>
      <c r="G165" s="88" t="s">
        <v>4805</v>
      </c>
      <c r="H165" s="88" t="s">
        <v>5075</v>
      </c>
      <c r="I165" s="90">
        <v>45999.577673611115</v>
      </c>
    </row>
    <row r="166" ht="14.25" customHeight="1">
      <c r="A166" s="87">
        <v>165.0</v>
      </c>
      <c r="B166" s="88" t="s">
        <v>4657</v>
      </c>
      <c r="C166" s="89">
        <v>1.063541363E9</v>
      </c>
      <c r="D166" s="89" t="str">
        <f t="shared" si="1"/>
        <v>박영순1363</v>
      </c>
      <c r="E166" s="89" t="s">
        <v>5076</v>
      </c>
      <c r="F166" s="90">
        <v>45999.276724537034</v>
      </c>
      <c r="G166" s="88" t="s">
        <v>4792</v>
      </c>
      <c r="H166" s="91"/>
      <c r="I166" s="92"/>
    </row>
    <row r="167" ht="14.25" customHeight="1">
      <c r="A167" s="87">
        <v>166.0</v>
      </c>
      <c r="B167" s="88" t="s">
        <v>3048</v>
      </c>
      <c r="C167" s="89">
        <v>1.047051835E9</v>
      </c>
      <c r="D167" s="89" t="str">
        <f t="shared" si="1"/>
        <v>김민성1835</v>
      </c>
      <c r="E167" s="89" t="s">
        <v>5077</v>
      </c>
      <c r="F167" s="90">
        <v>45999.276504629626</v>
      </c>
      <c r="G167" s="88" t="s">
        <v>4805</v>
      </c>
      <c r="H167" s="88" t="s">
        <v>4817</v>
      </c>
      <c r="I167" s="90">
        <v>45999.97237268519</v>
      </c>
    </row>
    <row r="168" ht="14.25" customHeight="1">
      <c r="A168" s="87">
        <v>167.0</v>
      </c>
      <c r="B168" s="88" t="s">
        <v>3168</v>
      </c>
      <c r="C168" s="89">
        <v>1.020523311E9</v>
      </c>
      <c r="D168" s="89" t="str">
        <f t="shared" si="1"/>
        <v>김혜숙3311</v>
      </c>
      <c r="E168" s="89" t="s">
        <v>5078</v>
      </c>
      <c r="F168" s="90">
        <v>45999.23899305556</v>
      </c>
      <c r="G168" s="88" t="s">
        <v>4792</v>
      </c>
      <c r="H168" s="93"/>
      <c r="I168" s="93"/>
    </row>
    <row r="169" ht="14.25" customHeight="1">
      <c r="A169" s="87">
        <v>168.0</v>
      </c>
      <c r="B169" s="88" t="s">
        <v>2813</v>
      </c>
      <c r="C169" s="89">
        <v>1.022117611E9</v>
      </c>
      <c r="D169" s="89" t="str">
        <f t="shared" si="1"/>
        <v>김미숙7611</v>
      </c>
      <c r="E169" s="89" t="s">
        <v>5079</v>
      </c>
      <c r="F169" s="90">
        <v>45999.23501157408</v>
      </c>
      <c r="G169" s="88" t="s">
        <v>4805</v>
      </c>
      <c r="H169" s="88" t="s">
        <v>4964</v>
      </c>
      <c r="I169" s="90">
        <v>45999.56731481481</v>
      </c>
    </row>
    <row r="170" ht="14.25" customHeight="1">
      <c r="A170" s="87">
        <v>169.0</v>
      </c>
      <c r="B170" s="88" t="s">
        <v>3317</v>
      </c>
      <c r="C170" s="89">
        <v>1.090039696E9</v>
      </c>
      <c r="D170" s="89" t="str">
        <f t="shared" si="1"/>
        <v>서경숙9696</v>
      </c>
      <c r="E170" s="89" t="s">
        <v>5080</v>
      </c>
      <c r="F170" s="90">
        <v>45999.23369212963</v>
      </c>
      <c r="G170" s="88" t="s">
        <v>4805</v>
      </c>
      <c r="H170" s="88" t="s">
        <v>4991</v>
      </c>
      <c r="I170" s="90">
        <v>45999.56581018519</v>
      </c>
    </row>
    <row r="171" ht="14.25" customHeight="1">
      <c r="A171" s="87">
        <v>170.0</v>
      </c>
      <c r="B171" s="88" t="s">
        <v>2037</v>
      </c>
      <c r="C171" s="89">
        <v>1.036612672E9</v>
      </c>
      <c r="D171" s="89" t="str">
        <f t="shared" si="1"/>
        <v>송영희2672</v>
      </c>
      <c r="E171" s="89" t="s">
        <v>5081</v>
      </c>
      <c r="F171" s="90">
        <v>45999.22357638889</v>
      </c>
      <c r="G171" s="88" t="s">
        <v>4805</v>
      </c>
      <c r="H171" s="88" t="s">
        <v>4899</v>
      </c>
      <c r="I171" s="90">
        <v>45999.23008101852</v>
      </c>
    </row>
    <row r="172" ht="14.25" customHeight="1">
      <c r="A172" s="87">
        <v>171.0</v>
      </c>
      <c r="B172" s="88" t="s">
        <v>2378</v>
      </c>
      <c r="C172" s="89">
        <v>1.04744212E9</v>
      </c>
      <c r="D172" s="89" t="str">
        <f t="shared" si="1"/>
        <v>김혜란2120</v>
      </c>
      <c r="E172" s="89" t="s">
        <v>5082</v>
      </c>
      <c r="F172" s="90">
        <v>45999.20222222222</v>
      </c>
      <c r="G172" s="88" t="s">
        <v>4805</v>
      </c>
      <c r="H172" s="88" t="s">
        <v>5083</v>
      </c>
      <c r="I172" s="90">
        <v>45999.232141203705</v>
      </c>
    </row>
    <row r="173" ht="14.25" customHeight="1">
      <c r="A173" s="87">
        <v>172.0</v>
      </c>
      <c r="B173" s="88" t="s">
        <v>2378</v>
      </c>
      <c r="C173" s="89">
        <v>1.04744212E9</v>
      </c>
      <c r="D173" s="89" t="str">
        <f t="shared" si="1"/>
        <v>김혜란2120</v>
      </c>
      <c r="E173" s="89" t="s">
        <v>5084</v>
      </c>
      <c r="F173" s="90">
        <v>45999.19736111111</v>
      </c>
      <c r="G173" s="88" t="s">
        <v>4805</v>
      </c>
      <c r="H173" s="88" t="s">
        <v>5085</v>
      </c>
      <c r="I173" s="90">
        <v>45999.56537037037</v>
      </c>
    </row>
    <row r="174" ht="14.25" customHeight="1">
      <c r="A174" s="87">
        <v>173.0</v>
      </c>
      <c r="B174" s="88" t="s">
        <v>2899</v>
      </c>
      <c r="C174" s="89">
        <v>1.067352848E9</v>
      </c>
      <c r="D174" s="89" t="str">
        <f t="shared" si="1"/>
        <v>임애리2848</v>
      </c>
      <c r="E174" s="89" t="s">
        <v>5086</v>
      </c>
      <c r="F174" s="90">
        <v>45999.12847222222</v>
      </c>
      <c r="G174" s="88" t="s">
        <v>4805</v>
      </c>
      <c r="H174" s="88" t="s">
        <v>4899</v>
      </c>
      <c r="I174" s="90">
        <v>45999.132893518516</v>
      </c>
    </row>
    <row r="175" ht="14.25" customHeight="1">
      <c r="A175" s="87">
        <v>174.0</v>
      </c>
      <c r="B175" s="88" t="s">
        <v>3832</v>
      </c>
      <c r="C175" s="89">
        <v>1.050334525E9</v>
      </c>
      <c r="D175" s="89" t="str">
        <f t="shared" si="1"/>
        <v>임순빈4525</v>
      </c>
      <c r="E175" s="89" t="s">
        <v>5087</v>
      </c>
      <c r="F175" s="90">
        <v>45999.094305555554</v>
      </c>
      <c r="G175" s="88" t="s">
        <v>4805</v>
      </c>
      <c r="H175" s="88" t="s">
        <v>5088</v>
      </c>
      <c r="I175" s="90">
        <v>45999.13103009259</v>
      </c>
    </row>
    <row r="176" ht="14.25" customHeight="1">
      <c r="A176" s="87">
        <v>175.0</v>
      </c>
      <c r="B176" s="88" t="s">
        <v>1709</v>
      </c>
      <c r="C176" s="89">
        <v>1.031946748E9</v>
      </c>
      <c r="D176" s="89" t="str">
        <f t="shared" si="1"/>
        <v>이미화6748</v>
      </c>
      <c r="E176" s="89" t="s">
        <v>5089</v>
      </c>
      <c r="F176" s="90">
        <v>45999.0825462963</v>
      </c>
      <c r="G176" s="88" t="s">
        <v>4805</v>
      </c>
      <c r="H176" s="88" t="s">
        <v>5090</v>
      </c>
      <c r="I176" s="90">
        <v>45999.09334490741</v>
      </c>
    </row>
    <row r="177" ht="14.25" customHeight="1">
      <c r="A177" s="87">
        <v>176.0</v>
      </c>
      <c r="B177" s="88" t="s">
        <v>2647</v>
      </c>
      <c r="C177" s="89">
        <v>1.032191531E9</v>
      </c>
      <c r="D177" s="89" t="str">
        <f t="shared" si="1"/>
        <v>정소연1531</v>
      </c>
      <c r="E177" s="89" t="s">
        <v>5091</v>
      </c>
      <c r="F177" s="90">
        <v>45999.08059027778</v>
      </c>
      <c r="G177" s="88" t="s">
        <v>4805</v>
      </c>
      <c r="H177" s="88" t="s">
        <v>5092</v>
      </c>
      <c r="I177" s="90">
        <v>45999.09003472222</v>
      </c>
    </row>
    <row r="178" ht="14.25" customHeight="1">
      <c r="A178" s="87">
        <v>177.0</v>
      </c>
      <c r="B178" s="88" t="s">
        <v>4657</v>
      </c>
      <c r="C178" s="89">
        <v>1.063541363E9</v>
      </c>
      <c r="D178" s="89" t="str">
        <f t="shared" si="1"/>
        <v>박영순1363</v>
      </c>
      <c r="E178" s="89" t="s">
        <v>5093</v>
      </c>
      <c r="F178" s="90">
        <v>45999.066655092596</v>
      </c>
      <c r="G178" s="88" t="s">
        <v>4805</v>
      </c>
      <c r="H178" s="88" t="s">
        <v>5094</v>
      </c>
      <c r="I178" s="90">
        <v>45999.094722222224</v>
      </c>
    </row>
    <row r="179" ht="14.25" customHeight="1">
      <c r="A179" s="87">
        <v>178.0</v>
      </c>
      <c r="B179" s="88" t="s">
        <v>1439</v>
      </c>
      <c r="C179" s="89">
        <v>1.062214246E9</v>
      </c>
      <c r="D179" s="89" t="str">
        <f t="shared" si="1"/>
        <v>김종환4246</v>
      </c>
      <c r="E179" s="89" t="s">
        <v>5095</v>
      </c>
      <c r="F179" s="90">
        <v>45999.060532407406</v>
      </c>
      <c r="G179" s="88" t="s">
        <v>4805</v>
      </c>
      <c r="H179" s="88" t="s">
        <v>5096</v>
      </c>
      <c r="I179" s="90">
        <v>45999.10042824074</v>
      </c>
    </row>
    <row r="180" ht="14.25" customHeight="1">
      <c r="A180" s="87">
        <v>179.0</v>
      </c>
      <c r="B180" s="88" t="s">
        <v>2763</v>
      </c>
      <c r="C180" s="89">
        <v>1.055313799E9</v>
      </c>
      <c r="D180" s="89" t="str">
        <f t="shared" si="1"/>
        <v>지은아3799</v>
      </c>
      <c r="E180" s="89" t="s">
        <v>5097</v>
      </c>
      <c r="F180" s="90">
        <v>45999.040671296294</v>
      </c>
      <c r="G180" s="88" t="s">
        <v>4805</v>
      </c>
      <c r="H180" s="88" t="s">
        <v>5098</v>
      </c>
      <c r="I180" s="90">
        <v>45999.04446759259</v>
      </c>
    </row>
    <row r="181" ht="14.25" customHeight="1">
      <c r="A181" s="87">
        <v>180.0</v>
      </c>
      <c r="B181" s="88" t="s">
        <v>2767</v>
      </c>
      <c r="C181" s="89">
        <v>1.097273217E9</v>
      </c>
      <c r="D181" s="89" t="str">
        <f t="shared" si="1"/>
        <v>김미영3217</v>
      </c>
      <c r="E181" s="89" t="s">
        <v>5099</v>
      </c>
      <c r="F181" s="90">
        <v>45999.032858796294</v>
      </c>
      <c r="G181" s="88" t="s">
        <v>4805</v>
      </c>
      <c r="H181" s="88" t="s">
        <v>5100</v>
      </c>
      <c r="I181" s="90">
        <v>45999.03456018519</v>
      </c>
    </row>
    <row r="182" ht="14.25" customHeight="1">
      <c r="A182" s="87">
        <v>181.0</v>
      </c>
      <c r="B182" s="88" t="s">
        <v>4657</v>
      </c>
      <c r="C182" s="89">
        <v>1.063541363E9</v>
      </c>
      <c r="D182" s="89" t="str">
        <f t="shared" si="1"/>
        <v>박영순1363</v>
      </c>
      <c r="E182" s="89" t="s">
        <v>5101</v>
      </c>
      <c r="F182" s="90">
        <v>45999.0315625</v>
      </c>
      <c r="G182" s="88" t="s">
        <v>4805</v>
      </c>
      <c r="H182" s="88" t="s">
        <v>5102</v>
      </c>
      <c r="I182" s="90">
        <v>45999.05550925926</v>
      </c>
    </row>
    <row r="183" ht="14.25" customHeight="1">
      <c r="A183" s="87">
        <v>182.0</v>
      </c>
      <c r="B183" s="88" t="s">
        <v>2763</v>
      </c>
      <c r="C183" s="89">
        <v>1.055313799E9</v>
      </c>
      <c r="D183" s="89" t="str">
        <f t="shared" si="1"/>
        <v>지은아3799</v>
      </c>
      <c r="E183" s="89" t="s">
        <v>5103</v>
      </c>
      <c r="F183" s="90">
        <v>45999.02513888889</v>
      </c>
      <c r="G183" s="88" t="s">
        <v>4805</v>
      </c>
      <c r="H183" s="88" t="s">
        <v>5104</v>
      </c>
      <c r="I183" s="90">
        <v>45999.03625</v>
      </c>
    </row>
    <row r="184" ht="14.25" customHeight="1">
      <c r="A184" s="87">
        <v>183.0</v>
      </c>
      <c r="B184" s="88" t="s">
        <v>4657</v>
      </c>
      <c r="C184" s="89">
        <v>1.063541363E9</v>
      </c>
      <c r="D184" s="89" t="str">
        <f t="shared" si="1"/>
        <v>박영순1363</v>
      </c>
      <c r="E184" s="89" t="s">
        <v>5105</v>
      </c>
      <c r="F184" s="90">
        <v>45999.02311342592</v>
      </c>
      <c r="G184" s="88" t="s">
        <v>4805</v>
      </c>
      <c r="H184" s="88" t="s">
        <v>5106</v>
      </c>
      <c r="I184" s="90">
        <v>45999.03357638889</v>
      </c>
    </row>
    <row r="185" ht="14.25" customHeight="1">
      <c r="A185" s="87">
        <v>184.0</v>
      </c>
      <c r="B185" s="88" t="s">
        <v>1539</v>
      </c>
      <c r="C185" s="89">
        <v>1.039004585E9</v>
      </c>
      <c r="D185" s="89" t="str">
        <f t="shared" si="1"/>
        <v>정경희4585</v>
      </c>
      <c r="E185" s="89" t="s">
        <v>5107</v>
      </c>
      <c r="F185" s="90">
        <v>45999.01673611111</v>
      </c>
      <c r="G185" s="88" t="s">
        <v>4805</v>
      </c>
      <c r="H185" s="88" t="s">
        <v>4991</v>
      </c>
      <c r="I185" s="90">
        <v>45999.03171296296</v>
      </c>
    </row>
    <row r="186" ht="14.25" customHeight="1">
      <c r="A186" s="87">
        <v>185.0</v>
      </c>
      <c r="B186" s="88" t="s">
        <v>2758</v>
      </c>
      <c r="C186" s="89">
        <v>1.023009543E9</v>
      </c>
      <c r="D186" s="89" t="str">
        <f t="shared" si="1"/>
        <v>김경신9543</v>
      </c>
      <c r="E186" s="89" t="s">
        <v>5108</v>
      </c>
      <c r="F186" s="90">
        <v>45999.00987268519</v>
      </c>
      <c r="G186" s="88" t="s">
        <v>4805</v>
      </c>
      <c r="H186" s="88" t="s">
        <v>5109</v>
      </c>
      <c r="I186" s="90">
        <v>45999.047106481485</v>
      </c>
    </row>
    <row r="187" ht="14.25" customHeight="1">
      <c r="A187" s="87">
        <v>186.0</v>
      </c>
      <c r="B187" s="88" t="s">
        <v>4657</v>
      </c>
      <c r="C187" s="89">
        <v>1.063541363E9</v>
      </c>
      <c r="D187" s="89" t="str">
        <f t="shared" si="1"/>
        <v>박영순1363</v>
      </c>
      <c r="E187" s="89" t="s">
        <v>5110</v>
      </c>
      <c r="F187" s="90">
        <v>45998.99810185185</v>
      </c>
      <c r="G187" s="88" t="s">
        <v>4805</v>
      </c>
      <c r="H187" s="88" t="s">
        <v>5111</v>
      </c>
      <c r="I187" s="90">
        <v>45999.01238425926</v>
      </c>
    </row>
    <row r="188" ht="14.25" customHeight="1">
      <c r="A188" s="87">
        <v>187.0</v>
      </c>
      <c r="B188" s="88" t="s">
        <v>3905</v>
      </c>
      <c r="C188" s="89">
        <v>1.041147399E9</v>
      </c>
      <c r="D188" s="89" t="str">
        <f t="shared" si="1"/>
        <v>경현옥7399</v>
      </c>
      <c r="E188" s="89" t="s">
        <v>5112</v>
      </c>
      <c r="F188" s="90">
        <v>45998.9925</v>
      </c>
      <c r="G188" s="88" t="s">
        <v>4805</v>
      </c>
      <c r="H188" s="88" t="s">
        <v>5113</v>
      </c>
      <c r="I188" s="90">
        <v>45999.056296296294</v>
      </c>
    </row>
    <row r="189" ht="14.25" customHeight="1">
      <c r="A189" s="87">
        <v>188.0</v>
      </c>
      <c r="B189" s="88" t="s">
        <v>1040</v>
      </c>
      <c r="C189" s="89">
        <v>1.065562831E9</v>
      </c>
      <c r="D189" s="89" t="str">
        <f t="shared" si="1"/>
        <v>김해영2831</v>
      </c>
      <c r="E189" s="89" t="s">
        <v>5114</v>
      </c>
      <c r="F189" s="90">
        <v>45998.98878472222</v>
      </c>
      <c r="G189" s="88" t="s">
        <v>4805</v>
      </c>
      <c r="H189" s="88" t="s">
        <v>5115</v>
      </c>
      <c r="I189" s="90">
        <v>45999.02149305555</v>
      </c>
    </row>
    <row r="190" ht="14.25" customHeight="1">
      <c r="A190" s="87">
        <v>189.0</v>
      </c>
      <c r="B190" s="88" t="s">
        <v>3829</v>
      </c>
      <c r="C190" s="89">
        <v>1.045879282E9</v>
      </c>
      <c r="D190" s="89" t="str">
        <f t="shared" si="1"/>
        <v>황남순9282</v>
      </c>
      <c r="E190" s="89" t="s">
        <v>5116</v>
      </c>
      <c r="F190" s="90">
        <v>45998.98824074074</v>
      </c>
      <c r="G190" s="88" t="s">
        <v>4805</v>
      </c>
      <c r="H190" s="88" t="s">
        <v>5117</v>
      </c>
      <c r="I190" s="90">
        <v>45999.97400462963</v>
      </c>
    </row>
    <row r="191" ht="14.25" customHeight="1">
      <c r="A191" s="87">
        <v>190.0</v>
      </c>
      <c r="B191" s="88" t="s">
        <v>2867</v>
      </c>
      <c r="C191" s="89">
        <v>1.03804551E9</v>
      </c>
      <c r="D191" s="89" t="str">
        <f t="shared" si="1"/>
        <v>신혜연5510</v>
      </c>
      <c r="E191" s="89" t="s">
        <v>5118</v>
      </c>
      <c r="F191" s="90">
        <v>45998.98475694445</v>
      </c>
      <c r="G191" s="88" t="s">
        <v>4805</v>
      </c>
      <c r="H191" s="88" t="s">
        <v>5119</v>
      </c>
      <c r="I191" s="90">
        <v>45999.02439814815</v>
      </c>
    </row>
    <row r="192" ht="14.25" customHeight="1">
      <c r="A192" s="87">
        <v>191.0</v>
      </c>
      <c r="B192" s="88" t="s">
        <v>5120</v>
      </c>
      <c r="C192" s="89">
        <v>1.064327007E9</v>
      </c>
      <c r="D192" s="89" t="str">
        <f t="shared" si="1"/>
        <v>송보라7007</v>
      </c>
      <c r="E192" s="89" t="s">
        <v>5121</v>
      </c>
      <c r="F192" s="90">
        <v>45998.982523148145</v>
      </c>
      <c r="G192" s="88" t="s">
        <v>4805</v>
      </c>
      <c r="H192" s="88" t="s">
        <v>5122</v>
      </c>
      <c r="I192" s="90">
        <v>45999.0697337963</v>
      </c>
    </row>
    <row r="193" ht="14.25" customHeight="1">
      <c r="A193" s="87">
        <v>192.0</v>
      </c>
      <c r="B193" s="88" t="s">
        <v>3867</v>
      </c>
      <c r="C193" s="89">
        <v>1.035660306E9</v>
      </c>
      <c r="D193" s="89" t="str">
        <f t="shared" si="1"/>
        <v>김인혜0306</v>
      </c>
      <c r="E193" s="89" t="s">
        <v>5123</v>
      </c>
      <c r="F193" s="90">
        <v>45998.97318287037</v>
      </c>
      <c r="G193" s="88" t="s">
        <v>4805</v>
      </c>
      <c r="H193" s="88" t="s">
        <v>5124</v>
      </c>
      <c r="I193" s="90">
        <v>45999.0703125</v>
      </c>
    </row>
    <row r="194" ht="14.25" customHeight="1">
      <c r="A194" s="87">
        <v>193.0</v>
      </c>
      <c r="B194" s="88" t="s">
        <v>2763</v>
      </c>
      <c r="C194" s="89">
        <v>1.055313799E9</v>
      </c>
      <c r="D194" s="89" t="str">
        <f t="shared" si="1"/>
        <v>지은아3799</v>
      </c>
      <c r="E194" s="89" t="s">
        <v>5125</v>
      </c>
      <c r="F194" s="90">
        <v>45998.97131944444</v>
      </c>
      <c r="G194" s="88" t="s">
        <v>4805</v>
      </c>
      <c r="H194" s="88" t="s">
        <v>5126</v>
      </c>
      <c r="I194" s="90">
        <v>45999.01325231481</v>
      </c>
    </row>
    <row r="195" ht="14.25" customHeight="1">
      <c r="A195" s="87">
        <v>194.0</v>
      </c>
      <c r="B195" s="88" t="s">
        <v>1691</v>
      </c>
      <c r="C195" s="89">
        <v>1.085573114E9</v>
      </c>
      <c r="D195" s="89" t="str">
        <f t="shared" si="1"/>
        <v>진라희3114</v>
      </c>
      <c r="E195" s="89" t="s">
        <v>5127</v>
      </c>
      <c r="F195" s="90">
        <v>45998.969976851855</v>
      </c>
      <c r="G195" s="88" t="s">
        <v>4805</v>
      </c>
      <c r="H195" s="88" t="s">
        <v>5128</v>
      </c>
      <c r="I195" s="90">
        <v>45999.08841435185</v>
      </c>
    </row>
    <row r="196" ht="14.25" customHeight="1">
      <c r="A196" s="87">
        <v>195.0</v>
      </c>
      <c r="B196" s="88" t="s">
        <v>3867</v>
      </c>
      <c r="C196" s="89">
        <v>1.035660306E9</v>
      </c>
      <c r="D196" s="89" t="str">
        <f t="shared" si="1"/>
        <v>김인혜0306</v>
      </c>
      <c r="E196" s="89" t="s">
        <v>5129</v>
      </c>
      <c r="F196" s="90">
        <v>45998.968726851854</v>
      </c>
      <c r="G196" s="88" t="s">
        <v>4805</v>
      </c>
      <c r="H196" s="88" t="s">
        <v>5130</v>
      </c>
      <c r="I196" s="90">
        <v>45999.02943287037</v>
      </c>
    </row>
    <row r="197" ht="14.25" customHeight="1">
      <c r="A197" s="87">
        <v>196.0</v>
      </c>
      <c r="B197" s="88" t="s">
        <v>2021</v>
      </c>
      <c r="C197" s="89">
        <v>1.087613879E9</v>
      </c>
      <c r="D197" s="89" t="str">
        <f t="shared" si="1"/>
        <v>진승엽3879</v>
      </c>
      <c r="E197" s="89" t="s">
        <v>5131</v>
      </c>
      <c r="F197" s="90">
        <v>45998.96822916667</v>
      </c>
      <c r="G197" s="88" t="s">
        <v>4805</v>
      </c>
      <c r="H197" s="88" t="s">
        <v>5132</v>
      </c>
      <c r="I197" s="90">
        <v>45999.089849537035</v>
      </c>
    </row>
    <row r="198" ht="14.25" customHeight="1">
      <c r="A198" s="87">
        <v>197.0</v>
      </c>
      <c r="B198" s="88" t="s">
        <v>2763</v>
      </c>
      <c r="C198" s="89">
        <v>1.055313799E9</v>
      </c>
      <c r="D198" s="89" t="str">
        <f t="shared" si="1"/>
        <v>지은아3799</v>
      </c>
      <c r="E198" s="89" t="s">
        <v>5133</v>
      </c>
      <c r="F198" s="90">
        <v>45998.968194444446</v>
      </c>
      <c r="G198" s="88" t="s">
        <v>4805</v>
      </c>
      <c r="H198" s="88" t="s">
        <v>5134</v>
      </c>
      <c r="I198" s="90">
        <v>45999.09824074074</v>
      </c>
    </row>
    <row r="199" ht="14.25" customHeight="1">
      <c r="A199" s="87">
        <v>198.0</v>
      </c>
      <c r="B199" s="88" t="s">
        <v>2763</v>
      </c>
      <c r="C199" s="89">
        <v>1.055313799E9</v>
      </c>
      <c r="D199" s="89" t="str">
        <f t="shared" si="1"/>
        <v>지은아3799</v>
      </c>
      <c r="E199" s="89" t="s">
        <v>5135</v>
      </c>
      <c r="F199" s="90">
        <v>45998.96693287037</v>
      </c>
      <c r="G199" s="88" t="s">
        <v>4805</v>
      </c>
      <c r="H199" s="88" t="s">
        <v>5134</v>
      </c>
      <c r="I199" s="90">
        <v>45999.098587962966</v>
      </c>
    </row>
    <row r="200" ht="14.25" customHeight="1">
      <c r="A200" s="87">
        <v>199.0</v>
      </c>
      <c r="B200" s="88" t="s">
        <v>3867</v>
      </c>
      <c r="C200" s="89">
        <v>1.035660306E9</v>
      </c>
      <c r="D200" s="89" t="str">
        <f t="shared" si="1"/>
        <v>김인혜0306</v>
      </c>
      <c r="E200" s="89" t="s">
        <v>5136</v>
      </c>
      <c r="F200" s="90">
        <v>45998.964467592596</v>
      </c>
      <c r="G200" s="88" t="s">
        <v>4805</v>
      </c>
      <c r="H200" s="88" t="s">
        <v>5137</v>
      </c>
      <c r="I200" s="90">
        <v>45999.03061342592</v>
      </c>
    </row>
    <row r="201" ht="14.25" customHeight="1">
      <c r="A201" s="87">
        <v>200.0</v>
      </c>
      <c r="B201" s="88" t="s">
        <v>2763</v>
      </c>
      <c r="C201" s="89">
        <v>1.055313799E9</v>
      </c>
      <c r="D201" s="89" t="str">
        <f t="shared" si="1"/>
        <v>지은아3799</v>
      </c>
      <c r="E201" s="89" t="s">
        <v>5138</v>
      </c>
      <c r="F201" s="90">
        <v>45998.96298611111</v>
      </c>
      <c r="G201" s="88" t="s">
        <v>4805</v>
      </c>
      <c r="H201" s="88" t="s">
        <v>5139</v>
      </c>
      <c r="I201" s="90">
        <v>45998.96451388889</v>
      </c>
    </row>
    <row r="202" ht="14.25" customHeight="1">
      <c r="A202" s="87">
        <v>201.0</v>
      </c>
      <c r="B202" s="88" t="s">
        <v>3048</v>
      </c>
      <c r="C202" s="89">
        <v>1.047051835E9</v>
      </c>
      <c r="D202" s="89" t="str">
        <f t="shared" si="1"/>
        <v>김민성1835</v>
      </c>
      <c r="E202" s="89" t="s">
        <v>5140</v>
      </c>
      <c r="F202" s="90">
        <v>45998.959502314814</v>
      </c>
      <c r="G202" s="88" t="s">
        <v>4805</v>
      </c>
      <c r="H202" s="88" t="s">
        <v>5141</v>
      </c>
      <c r="I202" s="90">
        <v>45999.09916666667</v>
      </c>
    </row>
    <row r="203" ht="14.25" customHeight="1">
      <c r="A203" s="87">
        <v>202.0</v>
      </c>
      <c r="B203" s="94" t="s">
        <v>3076</v>
      </c>
      <c r="C203" s="89">
        <v>1.033765736E9</v>
      </c>
      <c r="D203" s="89" t="str">
        <f t="shared" si="1"/>
        <v>김세연5736</v>
      </c>
      <c r="E203" s="89" t="s">
        <v>5142</v>
      </c>
      <c r="F203" s="90">
        <v>45998.95670138889</v>
      </c>
      <c r="G203" s="88" t="s">
        <v>4805</v>
      </c>
      <c r="H203" s="88" t="s">
        <v>5143</v>
      </c>
      <c r="I203" s="90">
        <v>45998.99638888889</v>
      </c>
    </row>
    <row r="204" ht="14.25" customHeight="1">
      <c r="A204" s="87">
        <v>203.0</v>
      </c>
      <c r="B204" s="88" t="s">
        <v>2802</v>
      </c>
      <c r="C204" s="89">
        <v>1.082484343E9</v>
      </c>
      <c r="D204" s="89" t="str">
        <f t="shared" si="1"/>
        <v>금동남4343</v>
      </c>
      <c r="E204" s="89" t="s">
        <v>5144</v>
      </c>
      <c r="F204" s="90">
        <v>45998.95358796296</v>
      </c>
      <c r="G204" s="88" t="s">
        <v>4805</v>
      </c>
      <c r="H204" s="88" t="s">
        <v>5145</v>
      </c>
      <c r="I204" s="90">
        <v>45998.96210648148</v>
      </c>
    </row>
    <row r="205" ht="14.25" customHeight="1">
      <c r="A205" s="87">
        <v>204.0</v>
      </c>
      <c r="B205" s="88" t="s">
        <v>2802</v>
      </c>
      <c r="C205" s="89">
        <v>1.082484343E9</v>
      </c>
      <c r="D205" s="89" t="str">
        <f t="shared" si="1"/>
        <v>금동남4343</v>
      </c>
      <c r="E205" s="89" t="s">
        <v>5146</v>
      </c>
      <c r="F205" s="90">
        <v>45998.94991898148</v>
      </c>
      <c r="G205" s="88" t="s">
        <v>4805</v>
      </c>
      <c r="H205" s="88" t="s">
        <v>5145</v>
      </c>
      <c r="I205" s="90">
        <v>45998.96215277778</v>
      </c>
    </row>
    <row r="206" ht="14.25" customHeight="1">
      <c r="A206" s="87">
        <v>205.0</v>
      </c>
      <c r="B206" s="88" t="s">
        <v>3188</v>
      </c>
      <c r="C206" s="89">
        <v>1.098867627E9</v>
      </c>
      <c r="D206" s="89" t="str">
        <f t="shared" si="1"/>
        <v>맹주갑7627</v>
      </c>
      <c r="E206" s="89" t="s">
        <v>5147</v>
      </c>
      <c r="F206" s="90">
        <v>45998.94840277778</v>
      </c>
      <c r="G206" s="88" t="s">
        <v>4805</v>
      </c>
      <c r="H206" s="88" t="s">
        <v>5148</v>
      </c>
      <c r="I206" s="90">
        <v>45998.96365740741</v>
      </c>
    </row>
    <row r="207" ht="14.25" customHeight="1">
      <c r="A207" s="87">
        <v>206.0</v>
      </c>
      <c r="B207" s="88" t="s">
        <v>2763</v>
      </c>
      <c r="C207" s="89">
        <v>1.055313799E9</v>
      </c>
      <c r="D207" s="89" t="str">
        <f t="shared" si="1"/>
        <v>지은아3799</v>
      </c>
      <c r="E207" s="89" t="s">
        <v>5149</v>
      </c>
      <c r="F207" s="90">
        <v>45998.948379629626</v>
      </c>
      <c r="G207" s="88" t="s">
        <v>4805</v>
      </c>
      <c r="H207" s="88" t="s">
        <v>5150</v>
      </c>
      <c r="I207" s="90">
        <v>45999.03810185185</v>
      </c>
    </row>
    <row r="208" ht="14.25" customHeight="1">
      <c r="A208" s="87">
        <v>207.0</v>
      </c>
      <c r="B208" s="88" t="s">
        <v>1272</v>
      </c>
      <c r="C208" s="89">
        <v>1.022265676E9</v>
      </c>
      <c r="D208" s="89" t="str">
        <f t="shared" si="1"/>
        <v>주광옥5676</v>
      </c>
      <c r="E208" s="89" t="s">
        <v>5151</v>
      </c>
      <c r="F208" s="90">
        <v>45998.946550925924</v>
      </c>
      <c r="G208" s="88" t="s">
        <v>4805</v>
      </c>
      <c r="H208" s="88" t="s">
        <v>5152</v>
      </c>
      <c r="I208" s="90">
        <v>45999.10013888889</v>
      </c>
    </row>
    <row r="209" ht="14.25" customHeight="1">
      <c r="A209" s="87">
        <v>208.0</v>
      </c>
      <c r="B209" s="88" t="s">
        <v>1693</v>
      </c>
      <c r="C209" s="89">
        <v>1.046261023E9</v>
      </c>
      <c r="D209" s="89" t="str">
        <f t="shared" si="1"/>
        <v>이현정1023</v>
      </c>
      <c r="E209" s="89" t="s">
        <v>5153</v>
      </c>
      <c r="F209" s="90">
        <v>45998.94530092592</v>
      </c>
      <c r="G209" s="88" t="s">
        <v>4792</v>
      </c>
      <c r="H209" s="91"/>
      <c r="I209" s="92"/>
    </row>
    <row r="210" ht="14.25" customHeight="1">
      <c r="A210" s="87">
        <v>209.0</v>
      </c>
      <c r="B210" s="88" t="s">
        <v>5154</v>
      </c>
      <c r="C210" s="89">
        <v>1.065562831E9</v>
      </c>
      <c r="D210" s="89" t="str">
        <f t="shared" si="1"/>
        <v>깅해영2831</v>
      </c>
      <c r="E210" s="89" t="s">
        <v>5155</v>
      </c>
      <c r="F210" s="90">
        <v>45998.94462962963</v>
      </c>
      <c r="G210" s="88" t="s">
        <v>4805</v>
      </c>
      <c r="H210" s="88" t="s">
        <v>5156</v>
      </c>
      <c r="I210" s="90">
        <v>45998.95193287037</v>
      </c>
    </row>
    <row r="211" ht="14.25" customHeight="1">
      <c r="A211" s="87">
        <v>210.0</v>
      </c>
      <c r="B211" s="88" t="s">
        <v>4539</v>
      </c>
      <c r="C211" s="89">
        <v>1.074504577E9</v>
      </c>
      <c r="D211" s="89" t="str">
        <f t="shared" si="1"/>
        <v>김순아4577</v>
      </c>
      <c r="E211" s="89" t="s">
        <v>5157</v>
      </c>
      <c r="F211" s="90">
        <v>45998.94393518518</v>
      </c>
      <c r="G211" s="88" t="s">
        <v>4805</v>
      </c>
      <c r="H211" s="88" t="s">
        <v>5158</v>
      </c>
      <c r="I211" s="90">
        <v>45999.05905092593</v>
      </c>
    </row>
    <row r="212" ht="14.25" customHeight="1">
      <c r="A212" s="87">
        <v>211.0</v>
      </c>
      <c r="B212" s="88" t="s">
        <v>1270</v>
      </c>
      <c r="C212" s="89">
        <v>1.062881842E9</v>
      </c>
      <c r="D212" s="89" t="str">
        <f t="shared" si="1"/>
        <v>김영1842</v>
      </c>
      <c r="E212" s="89" t="s">
        <v>5159</v>
      </c>
      <c r="F212" s="90">
        <v>45998.942083333335</v>
      </c>
      <c r="G212" s="88" t="s">
        <v>4805</v>
      </c>
      <c r="H212" s="88" t="s">
        <v>5160</v>
      </c>
      <c r="I212" s="90">
        <v>45998.94824074074</v>
      </c>
    </row>
    <row r="213" ht="14.25" customHeight="1">
      <c r="A213" s="87">
        <v>212.0</v>
      </c>
      <c r="B213" s="88" t="s">
        <v>2763</v>
      </c>
      <c r="C213" s="89">
        <v>1.055313799E9</v>
      </c>
      <c r="D213" s="89" t="str">
        <f t="shared" si="1"/>
        <v>지은아3799</v>
      </c>
      <c r="E213" s="89" t="s">
        <v>5161</v>
      </c>
      <c r="F213" s="90">
        <v>45998.941354166665</v>
      </c>
      <c r="G213" s="88" t="s">
        <v>4805</v>
      </c>
      <c r="H213" s="88" t="s">
        <v>5162</v>
      </c>
      <c r="I213" s="90">
        <v>45999.01777777778</v>
      </c>
    </row>
    <row r="214" ht="14.25" customHeight="1">
      <c r="A214" s="87">
        <v>213.0</v>
      </c>
      <c r="B214" s="88" t="s">
        <v>2511</v>
      </c>
      <c r="C214" s="89">
        <v>1.052325712E9</v>
      </c>
      <c r="D214" s="89" t="str">
        <f t="shared" si="1"/>
        <v>김나영5712</v>
      </c>
      <c r="E214" s="89" t="s">
        <v>5163</v>
      </c>
      <c r="F214" s="90">
        <v>45998.940775462965</v>
      </c>
      <c r="G214" s="88" t="s">
        <v>4805</v>
      </c>
      <c r="H214" s="88" t="s">
        <v>5164</v>
      </c>
      <c r="I214" s="90">
        <v>45999.55924768518</v>
      </c>
    </row>
    <row r="215" ht="14.25" customHeight="1">
      <c r="A215" s="87">
        <v>214.0</v>
      </c>
      <c r="B215" s="88" t="s">
        <v>1691</v>
      </c>
      <c r="C215" s="89">
        <v>1.085573114E9</v>
      </c>
      <c r="D215" s="89" t="str">
        <f t="shared" si="1"/>
        <v>진라희3114</v>
      </c>
      <c r="E215" s="89" t="s">
        <v>5165</v>
      </c>
      <c r="F215" s="90">
        <v>45998.940358796295</v>
      </c>
      <c r="G215" s="88" t="s">
        <v>4805</v>
      </c>
      <c r="H215" s="88" t="s">
        <v>5166</v>
      </c>
      <c r="I215" s="90">
        <v>45999.064988425926</v>
      </c>
    </row>
    <row r="216" ht="14.25" customHeight="1">
      <c r="A216" s="87">
        <v>215.0</v>
      </c>
      <c r="B216" s="88" t="s">
        <v>3870</v>
      </c>
      <c r="C216" s="89">
        <v>1.087205944E9</v>
      </c>
      <c r="D216" s="89" t="str">
        <f t="shared" si="1"/>
        <v>공나윤5944</v>
      </c>
      <c r="E216" s="89" t="s">
        <v>5167</v>
      </c>
      <c r="F216" s="90">
        <v>45998.940034722225</v>
      </c>
      <c r="G216" s="88" t="s">
        <v>4805</v>
      </c>
      <c r="H216" s="88" t="s">
        <v>5168</v>
      </c>
      <c r="I216" s="90">
        <v>45999.10293981482</v>
      </c>
    </row>
    <row r="217" ht="14.25" customHeight="1">
      <c r="A217" s="87">
        <v>216.0</v>
      </c>
      <c r="B217" s="88" t="s">
        <v>4657</v>
      </c>
      <c r="C217" s="89">
        <v>1.063541363E9</v>
      </c>
      <c r="D217" s="89" t="str">
        <f t="shared" si="1"/>
        <v>박영순1363</v>
      </c>
      <c r="E217" s="89" t="s">
        <v>5169</v>
      </c>
      <c r="F217" s="90">
        <v>45998.939571759256</v>
      </c>
      <c r="G217" s="88" t="s">
        <v>4805</v>
      </c>
      <c r="H217" s="88" t="s">
        <v>5170</v>
      </c>
      <c r="I217" s="90">
        <v>45999.06177083333</v>
      </c>
    </row>
    <row r="218" ht="14.25" customHeight="1">
      <c r="A218" s="87">
        <v>217.0</v>
      </c>
      <c r="B218" s="88" t="s">
        <v>2511</v>
      </c>
      <c r="C218" s="89">
        <v>1.052325712E9</v>
      </c>
      <c r="D218" s="89" t="str">
        <f t="shared" si="1"/>
        <v>김나영5712</v>
      </c>
      <c r="E218" s="89" t="s">
        <v>5171</v>
      </c>
      <c r="F218" s="90">
        <v>45998.938263888886</v>
      </c>
      <c r="G218" s="88" t="s">
        <v>4792</v>
      </c>
      <c r="H218" s="91"/>
      <c r="I218" s="92"/>
    </row>
    <row r="219" ht="14.25" customHeight="1">
      <c r="A219" s="87">
        <v>218.0</v>
      </c>
      <c r="B219" s="88" t="s">
        <v>1198</v>
      </c>
      <c r="C219" s="89">
        <v>1.092756185E9</v>
      </c>
      <c r="D219" s="89" t="str">
        <f t="shared" si="1"/>
        <v>남궁미6185</v>
      </c>
      <c r="E219" s="89" t="s">
        <v>5172</v>
      </c>
      <c r="F219" s="90">
        <v>45998.93796296296</v>
      </c>
      <c r="G219" s="88" t="s">
        <v>4792</v>
      </c>
      <c r="H219" s="91"/>
      <c r="I219" s="92"/>
    </row>
    <row r="220" ht="14.25" customHeight="1">
      <c r="A220" s="87">
        <v>219.0</v>
      </c>
      <c r="B220" s="88" t="s">
        <v>3842</v>
      </c>
      <c r="C220" s="89">
        <v>1.025417212E9</v>
      </c>
      <c r="D220" s="89" t="str">
        <f t="shared" si="1"/>
        <v>이복남7212</v>
      </c>
      <c r="E220" s="89" t="s">
        <v>5173</v>
      </c>
      <c r="F220" s="90">
        <v>45998.93771990741</v>
      </c>
      <c r="G220" s="88" t="s">
        <v>4805</v>
      </c>
      <c r="H220" s="88" t="s">
        <v>5174</v>
      </c>
      <c r="I220" s="90">
        <v>45999.06418981482</v>
      </c>
    </row>
    <row r="221" ht="14.25" customHeight="1">
      <c r="A221" s="87">
        <v>220.0</v>
      </c>
      <c r="B221" s="88" t="s">
        <v>2511</v>
      </c>
      <c r="C221" s="89">
        <v>1.052325712E9</v>
      </c>
      <c r="D221" s="89" t="str">
        <f t="shared" si="1"/>
        <v>김나영5712</v>
      </c>
      <c r="E221" s="89" t="s">
        <v>5175</v>
      </c>
      <c r="F221" s="90">
        <v>45998.93690972222</v>
      </c>
      <c r="G221" s="88" t="s">
        <v>4805</v>
      </c>
      <c r="H221" s="88" t="s">
        <v>5176</v>
      </c>
      <c r="I221" s="90">
        <v>45999.977534722224</v>
      </c>
    </row>
    <row r="222" ht="14.25" customHeight="1">
      <c r="A222" s="87">
        <v>221.0</v>
      </c>
      <c r="B222" s="88" t="s">
        <v>2788</v>
      </c>
      <c r="C222" s="89">
        <v>1.023615066E9</v>
      </c>
      <c r="D222" s="89" t="str">
        <f t="shared" si="1"/>
        <v>조재희5066</v>
      </c>
      <c r="E222" s="89" t="s">
        <v>5177</v>
      </c>
      <c r="F222" s="90">
        <v>45998.93518518518</v>
      </c>
      <c r="G222" s="88" t="s">
        <v>4805</v>
      </c>
      <c r="H222" s="89" t="s">
        <v>4911</v>
      </c>
      <c r="I222" s="90">
        <v>45999.01982638889</v>
      </c>
    </row>
    <row r="223" ht="14.25" customHeight="1">
      <c r="A223" s="87">
        <v>222.0</v>
      </c>
      <c r="B223" s="88" t="s">
        <v>2800</v>
      </c>
      <c r="C223" s="89">
        <v>1.071049389E9</v>
      </c>
      <c r="D223" s="89" t="str">
        <f t="shared" si="1"/>
        <v>권영진9389</v>
      </c>
      <c r="E223" s="89" t="s">
        <v>5178</v>
      </c>
      <c r="F223" s="90">
        <v>45998.934479166666</v>
      </c>
      <c r="G223" s="88" t="s">
        <v>4805</v>
      </c>
      <c r="H223" s="89" t="s">
        <v>4911</v>
      </c>
      <c r="I223" s="90">
        <v>45999.02006944444</v>
      </c>
    </row>
    <row r="224" ht="14.25" customHeight="1">
      <c r="A224" s="87">
        <v>223.0</v>
      </c>
      <c r="B224" s="88" t="s">
        <v>1156</v>
      </c>
      <c r="C224" s="89">
        <v>1.052032015E9</v>
      </c>
      <c r="D224" s="89" t="str">
        <f t="shared" si="1"/>
        <v>신인호2015</v>
      </c>
      <c r="E224" s="89" t="s">
        <v>5179</v>
      </c>
      <c r="F224" s="90">
        <v>45998.93146990741</v>
      </c>
      <c r="G224" s="88" t="s">
        <v>4805</v>
      </c>
      <c r="H224" s="89" t="s">
        <v>4911</v>
      </c>
      <c r="I224" s="90">
        <v>45999.020208333335</v>
      </c>
    </row>
    <row r="225" ht="14.25" customHeight="1">
      <c r="A225" s="87">
        <v>224.0</v>
      </c>
      <c r="B225" s="88" t="s">
        <v>2395</v>
      </c>
      <c r="C225" s="89">
        <v>1.043332348E9</v>
      </c>
      <c r="D225" s="89" t="str">
        <f t="shared" si="1"/>
        <v>최은혜2348</v>
      </c>
      <c r="E225" s="89" t="s">
        <v>5180</v>
      </c>
      <c r="F225" s="90">
        <v>45998.93050925926</v>
      </c>
      <c r="G225" s="88" t="s">
        <v>4805</v>
      </c>
      <c r="H225" s="88" t="s">
        <v>5181</v>
      </c>
      <c r="I225" s="90">
        <v>45999.10454861111</v>
      </c>
    </row>
    <row r="226" ht="14.25" customHeight="1">
      <c r="A226" s="87">
        <v>225.0</v>
      </c>
      <c r="B226" s="88" t="s">
        <v>2887</v>
      </c>
      <c r="C226" s="89">
        <v>1.089842377E9</v>
      </c>
      <c r="D226" s="89" t="str">
        <f t="shared" si="1"/>
        <v>이세현2377</v>
      </c>
      <c r="E226" s="89" t="s">
        <v>5182</v>
      </c>
      <c r="F226" s="90">
        <v>45998.928877314815</v>
      </c>
      <c r="G226" s="88" t="s">
        <v>4805</v>
      </c>
      <c r="H226" s="89" t="s">
        <v>4911</v>
      </c>
      <c r="I226" s="90">
        <v>45999.021585648145</v>
      </c>
    </row>
    <row r="227" ht="14.25" customHeight="1">
      <c r="A227" s="87">
        <v>226.0</v>
      </c>
      <c r="B227" s="88" t="s">
        <v>2865</v>
      </c>
      <c r="C227" s="89">
        <v>1.037311214E9</v>
      </c>
      <c r="D227" s="89" t="str">
        <f t="shared" si="1"/>
        <v>신영혜1214</v>
      </c>
      <c r="E227" s="89" t="s">
        <v>5183</v>
      </c>
      <c r="F227" s="90">
        <v>45998.92789351852</v>
      </c>
      <c r="G227" s="88" t="s">
        <v>4805</v>
      </c>
      <c r="H227" s="88" t="s">
        <v>4964</v>
      </c>
      <c r="I227" s="90">
        <v>45999.57083333333</v>
      </c>
    </row>
    <row r="228" ht="14.25" customHeight="1">
      <c r="A228" s="87">
        <v>227.0</v>
      </c>
      <c r="B228" s="88" t="s">
        <v>2887</v>
      </c>
      <c r="C228" s="89">
        <v>1.089842377E9</v>
      </c>
      <c r="D228" s="89" t="str">
        <f t="shared" si="1"/>
        <v>이세현2377</v>
      </c>
      <c r="E228" s="89" t="s">
        <v>5184</v>
      </c>
      <c r="F228" s="90">
        <v>45998.92736111111</v>
      </c>
      <c r="G228" s="88" t="s">
        <v>4805</v>
      </c>
      <c r="H228" s="88" t="s">
        <v>5185</v>
      </c>
      <c r="I228" s="90">
        <v>45998.92932870371</v>
      </c>
    </row>
    <row r="229" ht="14.25" customHeight="1">
      <c r="A229" s="87">
        <v>228.0</v>
      </c>
      <c r="B229" s="88" t="s">
        <v>1043</v>
      </c>
      <c r="C229" s="89">
        <v>1.028045404E9</v>
      </c>
      <c r="D229" s="89" t="str">
        <f t="shared" si="1"/>
        <v>안은숙5404</v>
      </c>
      <c r="E229" s="89" t="s">
        <v>5186</v>
      </c>
      <c r="F229" s="90">
        <v>45998.921747685185</v>
      </c>
      <c r="G229" s="88" t="s">
        <v>4805</v>
      </c>
      <c r="H229" s="88" t="s">
        <v>5187</v>
      </c>
      <c r="I229" s="90">
        <v>45998.92502314815</v>
      </c>
    </row>
    <row r="230" ht="14.25" customHeight="1">
      <c r="A230" s="87">
        <v>229.0</v>
      </c>
      <c r="B230" s="88" t="s">
        <v>3470</v>
      </c>
      <c r="C230" s="89">
        <v>1.04049285E9</v>
      </c>
      <c r="D230" s="89" t="str">
        <f t="shared" si="1"/>
        <v>이명욱2850</v>
      </c>
      <c r="E230" s="89" t="s">
        <v>5188</v>
      </c>
      <c r="F230" s="90">
        <v>45998.92166666667</v>
      </c>
      <c r="G230" s="88" t="s">
        <v>4805</v>
      </c>
      <c r="H230" s="88" t="s">
        <v>5189</v>
      </c>
      <c r="I230" s="90">
        <v>45999.10681712963</v>
      </c>
    </row>
    <row r="231" ht="14.25" customHeight="1">
      <c r="A231" s="87">
        <v>230.0</v>
      </c>
      <c r="B231" s="88" t="s">
        <v>2099</v>
      </c>
      <c r="C231" s="89">
        <v>1.053350209E9</v>
      </c>
      <c r="D231" s="89" t="str">
        <f t="shared" si="1"/>
        <v>백광숙0209</v>
      </c>
      <c r="E231" s="89" t="s">
        <v>5190</v>
      </c>
      <c r="F231" s="90">
        <v>45998.921261574076</v>
      </c>
      <c r="G231" s="88" t="s">
        <v>4805</v>
      </c>
      <c r="H231" s="88" t="s">
        <v>4991</v>
      </c>
      <c r="I231" s="90">
        <v>45998.92600694444</v>
      </c>
    </row>
    <row r="232" ht="14.25" customHeight="1">
      <c r="A232" s="87">
        <v>231.0</v>
      </c>
      <c r="B232" s="88" t="s">
        <v>3897</v>
      </c>
      <c r="C232" s="89">
        <v>1.046320621E9</v>
      </c>
      <c r="D232" s="89" t="str">
        <f t="shared" si="1"/>
        <v>박현선0621</v>
      </c>
      <c r="E232" s="89" t="s">
        <v>5191</v>
      </c>
      <c r="F232" s="90">
        <v>45998.920625</v>
      </c>
      <c r="G232" s="88" t="s">
        <v>4805</v>
      </c>
      <c r="H232" s="88" t="s">
        <v>5192</v>
      </c>
      <c r="I232" s="90">
        <v>45998.9265625</v>
      </c>
    </row>
    <row r="233" ht="14.25" customHeight="1">
      <c r="A233" s="87">
        <v>232.0</v>
      </c>
      <c r="B233" s="88" t="s">
        <v>1817</v>
      </c>
      <c r="C233" s="89">
        <v>1.03788542E9</v>
      </c>
      <c r="D233" s="89" t="str">
        <f t="shared" si="1"/>
        <v>이아힘5420</v>
      </c>
      <c r="E233" s="89" t="s">
        <v>5193</v>
      </c>
      <c r="F233" s="90">
        <v>45998.91849537037</v>
      </c>
      <c r="G233" s="88" t="s">
        <v>4805</v>
      </c>
      <c r="H233" s="88" t="s">
        <v>5187</v>
      </c>
      <c r="I233" s="90">
        <v>45998.92679398148</v>
      </c>
    </row>
    <row r="234" ht="14.25" customHeight="1">
      <c r="A234" s="87">
        <v>233.0</v>
      </c>
      <c r="B234" s="88" t="s">
        <v>1731</v>
      </c>
      <c r="C234" s="89">
        <v>1.0889124E9</v>
      </c>
      <c r="D234" s="89" t="str">
        <f t="shared" si="1"/>
        <v>이지영2400</v>
      </c>
      <c r="E234" s="89" t="s">
        <v>5194</v>
      </c>
      <c r="F234" s="90">
        <v>45998.91700231482</v>
      </c>
      <c r="G234" s="88" t="s">
        <v>4805</v>
      </c>
      <c r="H234" s="88" t="s">
        <v>5195</v>
      </c>
      <c r="I234" s="90">
        <v>45999.07398148148</v>
      </c>
    </row>
    <row r="235" ht="14.25" customHeight="1">
      <c r="A235" s="87">
        <v>234.0</v>
      </c>
      <c r="B235" s="88" t="s">
        <v>4612</v>
      </c>
      <c r="C235" s="89">
        <v>1.09593421E9</v>
      </c>
      <c r="D235" s="89" t="str">
        <f t="shared" si="1"/>
        <v>김호정4210</v>
      </c>
      <c r="E235" s="89" t="s">
        <v>5196</v>
      </c>
      <c r="F235" s="90">
        <v>45998.911527777775</v>
      </c>
      <c r="G235" s="88" t="s">
        <v>4805</v>
      </c>
      <c r="H235" s="88" t="s">
        <v>5187</v>
      </c>
      <c r="I235" s="90">
        <v>45998.92690972222</v>
      </c>
    </row>
    <row r="236" ht="14.25" customHeight="1">
      <c r="A236" s="87">
        <v>235.0</v>
      </c>
      <c r="B236" s="88" t="s">
        <v>1267</v>
      </c>
      <c r="C236" s="89">
        <v>1.076573075E9</v>
      </c>
      <c r="D236" s="89" t="str">
        <f t="shared" si="1"/>
        <v>강경희3075</v>
      </c>
      <c r="E236" s="89" t="s">
        <v>5197</v>
      </c>
      <c r="F236" s="90">
        <v>45998.909166666665</v>
      </c>
      <c r="G236" s="88" t="s">
        <v>4805</v>
      </c>
      <c r="H236" s="88" t="s">
        <v>5198</v>
      </c>
      <c r="I236" s="90">
        <v>45998.9281712963</v>
      </c>
    </row>
    <row r="237" ht="14.25" customHeight="1">
      <c r="A237" s="87">
        <v>236.0</v>
      </c>
      <c r="B237" s="88" t="s">
        <v>3741</v>
      </c>
      <c r="C237" s="89">
        <v>1.023957136E9</v>
      </c>
      <c r="D237" s="89" t="str">
        <f t="shared" si="1"/>
        <v>최희월7136</v>
      </c>
      <c r="E237" s="89" t="s">
        <v>5199</v>
      </c>
      <c r="F237" s="90">
        <v>45998.90818287037</v>
      </c>
      <c r="G237" s="88" t="s">
        <v>4805</v>
      </c>
      <c r="H237" s="88" t="s">
        <v>5200</v>
      </c>
      <c r="I237" s="90">
        <v>45999.08923611111</v>
      </c>
    </row>
    <row r="238" ht="14.25" customHeight="1">
      <c r="A238" s="87">
        <v>237.0</v>
      </c>
      <c r="B238" s="88" t="s">
        <v>2826</v>
      </c>
      <c r="C238" s="89">
        <v>1.033657615E9</v>
      </c>
      <c r="D238" s="89" t="str">
        <f t="shared" si="1"/>
        <v>김윤정7615</v>
      </c>
      <c r="E238" s="89" t="s">
        <v>5201</v>
      </c>
      <c r="F238" s="90">
        <v>45998.90756944445</v>
      </c>
      <c r="G238" s="88" t="s">
        <v>4805</v>
      </c>
      <c r="H238" s="88" t="s">
        <v>5185</v>
      </c>
      <c r="I238" s="90">
        <v>45998.92989583333</v>
      </c>
    </row>
    <row r="239" ht="14.25" customHeight="1">
      <c r="A239" s="87">
        <v>238.0</v>
      </c>
      <c r="B239" s="88" t="s">
        <v>1065</v>
      </c>
      <c r="C239" s="89">
        <v>1.04280629E9</v>
      </c>
      <c r="D239" s="89" t="str">
        <f t="shared" si="1"/>
        <v>한명희6290</v>
      </c>
      <c r="E239" s="89" t="s">
        <v>5202</v>
      </c>
      <c r="F239" s="90">
        <v>45998.90645833333</v>
      </c>
      <c r="G239" s="88" t="s">
        <v>4805</v>
      </c>
      <c r="H239" s="88" t="s">
        <v>5203</v>
      </c>
      <c r="I239" s="90">
        <v>45998.930752314816</v>
      </c>
    </row>
    <row r="240" ht="14.25" customHeight="1">
      <c r="A240" s="87">
        <v>239.0</v>
      </c>
      <c r="B240" s="88" t="s">
        <v>2355</v>
      </c>
      <c r="C240" s="89">
        <v>1.052863084E9</v>
      </c>
      <c r="D240" s="89" t="str">
        <f t="shared" si="1"/>
        <v>김희정3084</v>
      </c>
      <c r="E240" s="89" t="s">
        <v>5204</v>
      </c>
      <c r="F240" s="90">
        <v>45998.903391203705</v>
      </c>
      <c r="G240" s="88" t="s">
        <v>4805</v>
      </c>
      <c r="H240" s="88" t="s">
        <v>5185</v>
      </c>
      <c r="I240" s="90">
        <v>45998.931180555555</v>
      </c>
    </row>
    <row r="241" ht="14.25" customHeight="1">
      <c r="A241" s="87">
        <v>240.0</v>
      </c>
      <c r="B241" s="88" t="s">
        <v>1270</v>
      </c>
      <c r="C241" s="89">
        <v>1.062881842E9</v>
      </c>
      <c r="D241" s="89" t="str">
        <f t="shared" si="1"/>
        <v>김영1842</v>
      </c>
      <c r="E241" s="89" t="s">
        <v>5205</v>
      </c>
      <c r="F241" s="90">
        <v>45998.9028587963</v>
      </c>
      <c r="G241" s="88" t="s">
        <v>4805</v>
      </c>
      <c r="H241" s="88" t="s">
        <v>5206</v>
      </c>
      <c r="I241" s="90">
        <v>45998.931967592594</v>
      </c>
    </row>
    <row r="242" ht="14.25" customHeight="1">
      <c r="A242" s="87">
        <v>241.0</v>
      </c>
      <c r="B242" s="88" t="s">
        <v>2208</v>
      </c>
      <c r="C242" s="89">
        <v>1.053663589E9</v>
      </c>
      <c r="D242" s="89" t="str">
        <f t="shared" si="1"/>
        <v>이지아3589</v>
      </c>
      <c r="E242" s="89" t="s">
        <v>5207</v>
      </c>
      <c r="F242" s="90">
        <v>45998.90054398148</v>
      </c>
      <c r="G242" s="88" t="s">
        <v>4792</v>
      </c>
      <c r="H242" s="91"/>
      <c r="I242" s="92"/>
    </row>
    <row r="243" ht="14.25" customHeight="1">
      <c r="A243" s="87">
        <v>242.0</v>
      </c>
      <c r="B243" s="88" t="s">
        <v>1200</v>
      </c>
      <c r="C243" s="89">
        <v>1.089146663E9</v>
      </c>
      <c r="D243" s="89" t="str">
        <f t="shared" si="1"/>
        <v>윤성수6663</v>
      </c>
      <c r="E243" s="89" t="s">
        <v>5208</v>
      </c>
      <c r="F243" s="90">
        <v>45998.89980324074</v>
      </c>
      <c r="G243" s="88" t="s">
        <v>4805</v>
      </c>
      <c r="H243" s="88" t="s">
        <v>5209</v>
      </c>
      <c r="I243" s="90">
        <v>45999.134467592594</v>
      </c>
    </row>
    <row r="244" ht="14.25" customHeight="1">
      <c r="A244" s="87">
        <v>243.0</v>
      </c>
      <c r="B244" s="88" t="s">
        <v>2828</v>
      </c>
      <c r="C244" s="89">
        <v>1.033785867E9</v>
      </c>
      <c r="D244" s="89" t="str">
        <f t="shared" si="1"/>
        <v>김은혜5867</v>
      </c>
      <c r="E244" s="89" t="s">
        <v>5210</v>
      </c>
      <c r="F244" s="90">
        <v>45998.89900462963</v>
      </c>
      <c r="G244" s="88" t="s">
        <v>4805</v>
      </c>
      <c r="H244" s="88" t="s">
        <v>5211</v>
      </c>
      <c r="I244" s="90">
        <v>45998.93409722222</v>
      </c>
    </row>
    <row r="245" ht="14.25" customHeight="1">
      <c r="A245" s="87">
        <v>244.0</v>
      </c>
      <c r="B245" s="88" t="s">
        <v>1691</v>
      </c>
      <c r="C245" s="89">
        <v>1.085573114E9</v>
      </c>
      <c r="D245" s="89" t="str">
        <f t="shared" si="1"/>
        <v>진라희3114</v>
      </c>
      <c r="E245" s="89" t="s">
        <v>5212</v>
      </c>
      <c r="F245" s="90">
        <v>45998.898148148146</v>
      </c>
      <c r="G245" s="88" t="s">
        <v>4805</v>
      </c>
      <c r="H245" s="88" t="s">
        <v>5213</v>
      </c>
      <c r="I245" s="90">
        <v>45998.935960648145</v>
      </c>
    </row>
    <row r="246" ht="14.25" customHeight="1">
      <c r="A246" s="87">
        <v>245.0</v>
      </c>
      <c r="B246" s="94" t="s">
        <v>2883</v>
      </c>
      <c r="C246" s="89">
        <v>1.043099831E9</v>
      </c>
      <c r="D246" s="89" t="str">
        <f t="shared" si="1"/>
        <v>윤영이9831</v>
      </c>
      <c r="E246" s="89" t="s">
        <v>5214</v>
      </c>
      <c r="F246" s="90">
        <v>45998.89748842592</v>
      </c>
      <c r="G246" s="88" t="s">
        <v>4805</v>
      </c>
      <c r="H246" s="88" t="s">
        <v>5215</v>
      </c>
      <c r="I246" s="90">
        <v>45998.90590277778</v>
      </c>
    </row>
    <row r="247" ht="14.25" customHeight="1">
      <c r="A247" s="87">
        <v>246.0</v>
      </c>
      <c r="B247" s="88" t="s">
        <v>2913</v>
      </c>
      <c r="C247" s="89">
        <v>1.045227299E9</v>
      </c>
      <c r="D247" s="89" t="str">
        <f t="shared" si="1"/>
        <v>조유진7299</v>
      </c>
      <c r="E247" s="89" t="s">
        <v>5216</v>
      </c>
      <c r="F247" s="90">
        <v>45998.897048611114</v>
      </c>
      <c r="G247" s="88" t="s">
        <v>4805</v>
      </c>
      <c r="H247" s="88" t="s">
        <v>5217</v>
      </c>
      <c r="I247" s="90">
        <v>45998.93481481481</v>
      </c>
    </row>
    <row r="248" ht="14.25" customHeight="1">
      <c r="A248" s="87">
        <v>247.0</v>
      </c>
      <c r="B248" s="88" t="s">
        <v>1161</v>
      </c>
      <c r="C248" s="89">
        <v>1.064070161E9</v>
      </c>
      <c r="D248" s="89" t="str">
        <f t="shared" si="1"/>
        <v>이다현0161</v>
      </c>
      <c r="E248" s="89" t="s">
        <v>5218</v>
      </c>
      <c r="F248" s="90">
        <v>45998.896898148145</v>
      </c>
      <c r="G248" s="88" t="s">
        <v>4805</v>
      </c>
      <c r="H248" s="88" t="s">
        <v>5219</v>
      </c>
      <c r="I248" s="90">
        <v>45998.936377314814</v>
      </c>
    </row>
    <row r="249" ht="14.25" customHeight="1">
      <c r="A249" s="87">
        <v>248.0</v>
      </c>
      <c r="B249" s="88" t="s">
        <v>3245</v>
      </c>
      <c r="C249" s="89">
        <v>1.037920025E9</v>
      </c>
      <c r="D249" s="89" t="str">
        <f t="shared" si="1"/>
        <v>박순화0025</v>
      </c>
      <c r="E249" s="89" t="s">
        <v>5220</v>
      </c>
      <c r="F249" s="90">
        <v>45998.89649305555</v>
      </c>
      <c r="G249" s="88" t="s">
        <v>4805</v>
      </c>
      <c r="H249" s="88" t="s">
        <v>4839</v>
      </c>
      <c r="I249" s="90">
        <v>45999.089479166665</v>
      </c>
    </row>
    <row r="250" ht="14.25" customHeight="1">
      <c r="A250" s="87">
        <v>249.0</v>
      </c>
      <c r="B250" s="88" t="s">
        <v>1402</v>
      </c>
      <c r="C250" s="89">
        <v>1.050048879E9</v>
      </c>
      <c r="D250" s="89" t="str">
        <f t="shared" si="1"/>
        <v>임희경8879</v>
      </c>
      <c r="E250" s="89" t="s">
        <v>5221</v>
      </c>
      <c r="F250" s="90">
        <v>45998.89543981481</v>
      </c>
      <c r="G250" s="88" t="s">
        <v>4805</v>
      </c>
      <c r="H250" s="88" t="s">
        <v>4964</v>
      </c>
      <c r="I250" s="90">
        <v>45999.55090277778</v>
      </c>
    </row>
    <row r="251" ht="14.25" customHeight="1">
      <c r="A251" s="87">
        <v>250.0</v>
      </c>
      <c r="B251" s="88" t="s">
        <v>4680</v>
      </c>
      <c r="C251" s="89">
        <v>1.062662173E9</v>
      </c>
      <c r="D251" s="89" t="str">
        <f t="shared" si="1"/>
        <v>권영희2173</v>
      </c>
      <c r="E251" s="89" t="s">
        <v>5222</v>
      </c>
      <c r="F251" s="90">
        <v>45998.89539351852</v>
      </c>
      <c r="G251" s="88" t="s">
        <v>4805</v>
      </c>
      <c r="H251" s="88" t="s">
        <v>5223</v>
      </c>
      <c r="I251" s="90">
        <v>45998.94001157407</v>
      </c>
    </row>
    <row r="252" ht="14.25" customHeight="1">
      <c r="A252" s="87">
        <v>251.0</v>
      </c>
      <c r="B252" s="88" t="s">
        <v>1276</v>
      </c>
      <c r="C252" s="89">
        <v>1.03770132E9</v>
      </c>
      <c r="D252" s="89" t="str">
        <f t="shared" si="1"/>
        <v>이귀례1320</v>
      </c>
      <c r="E252" s="89" t="s">
        <v>5224</v>
      </c>
      <c r="F252" s="90">
        <v>45998.89482638889</v>
      </c>
      <c r="G252" s="88" t="s">
        <v>4805</v>
      </c>
      <c r="H252" s="88" t="s">
        <v>5219</v>
      </c>
      <c r="I252" s="90">
        <v>45998.94386574074</v>
      </c>
    </row>
    <row r="253" ht="14.25" customHeight="1">
      <c r="A253" s="87">
        <v>252.0</v>
      </c>
      <c r="B253" s="88" t="s">
        <v>3839</v>
      </c>
      <c r="C253" s="89">
        <v>1.029786549E9</v>
      </c>
      <c r="D253" s="89" t="str">
        <f t="shared" si="1"/>
        <v>양영주6549</v>
      </c>
      <c r="E253" s="89" t="s">
        <v>5225</v>
      </c>
      <c r="F253" s="90">
        <v>45998.89475694444</v>
      </c>
      <c r="G253" s="88" t="s">
        <v>4805</v>
      </c>
      <c r="H253" s="88" t="s">
        <v>5226</v>
      </c>
      <c r="I253" s="90">
        <v>45999.025046296294</v>
      </c>
    </row>
    <row r="254" ht="14.25" customHeight="1">
      <c r="A254" s="87">
        <v>253.0</v>
      </c>
      <c r="B254" s="88" t="s">
        <v>3325</v>
      </c>
      <c r="C254" s="89">
        <v>1.053682664E9</v>
      </c>
      <c r="D254" s="89" t="str">
        <f t="shared" si="1"/>
        <v>석명자2664</v>
      </c>
      <c r="E254" s="89" t="s">
        <v>5227</v>
      </c>
      <c r="F254" s="90">
        <v>45998.894479166665</v>
      </c>
      <c r="G254" s="88" t="s">
        <v>4805</v>
      </c>
      <c r="H254" s="88" t="s">
        <v>4839</v>
      </c>
      <c r="I254" s="90">
        <v>45998.943460648145</v>
      </c>
    </row>
    <row r="255" ht="14.25" customHeight="1">
      <c r="A255" s="87">
        <v>254.0</v>
      </c>
      <c r="B255" s="88" t="s">
        <v>1576</v>
      </c>
      <c r="C255" s="89">
        <v>1.097449539E9</v>
      </c>
      <c r="D255" s="89" t="str">
        <f t="shared" si="1"/>
        <v>이진숙9539</v>
      </c>
      <c r="E255" s="89" t="s">
        <v>5228</v>
      </c>
      <c r="F255" s="90">
        <v>45998.89387731482</v>
      </c>
      <c r="G255" s="88" t="s">
        <v>4805</v>
      </c>
      <c r="H255" s="88" t="s">
        <v>5229</v>
      </c>
      <c r="I255" s="90">
        <v>45998.94509259259</v>
      </c>
    </row>
    <row r="256" ht="14.25" customHeight="1">
      <c r="A256" s="87">
        <v>255.0</v>
      </c>
      <c r="B256" s="88" t="s">
        <v>2865</v>
      </c>
      <c r="C256" s="89">
        <v>1.037311214E9</v>
      </c>
      <c r="D256" s="89" t="str">
        <f t="shared" si="1"/>
        <v>신영혜1214</v>
      </c>
      <c r="E256" s="89" t="s">
        <v>5230</v>
      </c>
      <c r="F256" s="90">
        <v>45998.89221064815</v>
      </c>
      <c r="G256" s="88" t="s">
        <v>4805</v>
      </c>
      <c r="H256" s="88" t="s">
        <v>4964</v>
      </c>
      <c r="I256" s="90">
        <v>45999.55075231481</v>
      </c>
    </row>
    <row r="257" ht="14.25" customHeight="1">
      <c r="A257" s="87">
        <v>256.0</v>
      </c>
      <c r="B257" s="88" t="s">
        <v>3905</v>
      </c>
      <c r="C257" s="89">
        <v>1.041147399E9</v>
      </c>
      <c r="D257" s="89" t="str">
        <f t="shared" si="1"/>
        <v>경현옥7399</v>
      </c>
      <c r="E257" s="89" t="s">
        <v>5231</v>
      </c>
      <c r="F257" s="90">
        <v>45998.89171296296</v>
      </c>
      <c r="G257" s="88" t="s">
        <v>4805</v>
      </c>
      <c r="H257" s="88" t="s">
        <v>4991</v>
      </c>
      <c r="I257" s="90">
        <v>45998.895208333335</v>
      </c>
    </row>
    <row r="258" ht="14.25" customHeight="1">
      <c r="A258" s="87">
        <v>257.0</v>
      </c>
      <c r="B258" s="88" t="s">
        <v>4678</v>
      </c>
      <c r="C258" s="89">
        <v>1.094238883E9</v>
      </c>
      <c r="D258" s="89" t="str">
        <f t="shared" si="1"/>
        <v>정희연8883</v>
      </c>
      <c r="E258" s="89" t="s">
        <v>5232</v>
      </c>
      <c r="F258" s="90">
        <v>45998.89103009259</v>
      </c>
      <c r="G258" s="88" t="s">
        <v>4805</v>
      </c>
      <c r="H258" s="88" t="s">
        <v>5233</v>
      </c>
      <c r="I258" s="90">
        <v>45998.89564814815</v>
      </c>
    </row>
    <row r="259" ht="14.25" customHeight="1">
      <c r="A259" s="87">
        <v>258.0</v>
      </c>
      <c r="B259" s="88" t="s">
        <v>1200</v>
      </c>
      <c r="C259" s="89">
        <v>1.089146663E9</v>
      </c>
      <c r="D259" s="89" t="str">
        <f t="shared" si="1"/>
        <v>윤성수6663</v>
      </c>
      <c r="E259" s="89" t="s">
        <v>5234</v>
      </c>
      <c r="F259" s="90">
        <v>45998.891018518516</v>
      </c>
      <c r="G259" s="88" t="s">
        <v>4805</v>
      </c>
      <c r="H259" s="88" t="s">
        <v>5233</v>
      </c>
      <c r="I259" s="90">
        <v>45998.89550925926</v>
      </c>
    </row>
    <row r="260" ht="14.25" customHeight="1">
      <c r="A260" s="87">
        <v>259.0</v>
      </c>
      <c r="B260" s="88" t="s">
        <v>1105</v>
      </c>
      <c r="C260" s="89">
        <v>1.073109193E9</v>
      </c>
      <c r="D260" s="89" t="str">
        <f t="shared" si="1"/>
        <v>신혜균9193</v>
      </c>
      <c r="E260" s="89" t="s">
        <v>5235</v>
      </c>
      <c r="F260" s="90">
        <v>45998.89094907408</v>
      </c>
      <c r="G260" s="88" t="s">
        <v>4805</v>
      </c>
      <c r="H260" s="88" t="s">
        <v>5233</v>
      </c>
      <c r="I260" s="90">
        <v>45998.894907407404</v>
      </c>
    </row>
    <row r="261" ht="14.25" customHeight="1">
      <c r="A261" s="87">
        <v>260.0</v>
      </c>
      <c r="B261" s="88" t="s">
        <v>2426</v>
      </c>
      <c r="C261" s="89">
        <v>1.094417591E9</v>
      </c>
      <c r="D261" s="89" t="str">
        <f t="shared" si="1"/>
        <v>김진자7591</v>
      </c>
      <c r="E261" s="89" t="s">
        <v>5236</v>
      </c>
      <c r="F261" s="90">
        <v>45998.89028935185</v>
      </c>
      <c r="G261" s="88" t="s">
        <v>4792</v>
      </c>
      <c r="H261" s="91"/>
      <c r="I261" s="92"/>
    </row>
    <row r="262" ht="14.25" customHeight="1">
      <c r="A262" s="87">
        <v>261.0</v>
      </c>
      <c r="B262" s="88" t="s">
        <v>2834</v>
      </c>
      <c r="C262" s="89">
        <v>1.0459572E9</v>
      </c>
      <c r="D262" s="89" t="str">
        <f t="shared" si="1"/>
        <v>김현기7200</v>
      </c>
      <c r="E262" s="89" t="s">
        <v>5237</v>
      </c>
      <c r="F262" s="90">
        <v>45998.889965277776</v>
      </c>
      <c r="G262" s="88" t="s">
        <v>4805</v>
      </c>
      <c r="H262" s="88" t="s">
        <v>5238</v>
      </c>
      <c r="I262" s="90">
        <v>45998.89295138889</v>
      </c>
    </row>
    <row r="263" ht="14.25" customHeight="1">
      <c r="A263" s="87">
        <v>262.0</v>
      </c>
      <c r="B263" s="88" t="s">
        <v>1175</v>
      </c>
      <c r="C263" s="89">
        <v>1.031398556E9</v>
      </c>
      <c r="D263" s="89" t="str">
        <f t="shared" si="1"/>
        <v>임정임8556</v>
      </c>
      <c r="E263" s="89" t="s">
        <v>5239</v>
      </c>
      <c r="F263" s="90">
        <v>45998.88883101852</v>
      </c>
      <c r="G263" s="88" t="s">
        <v>4792</v>
      </c>
      <c r="H263" s="91"/>
      <c r="I263" s="92"/>
    </row>
    <row r="264" ht="14.25" customHeight="1">
      <c r="A264" s="87">
        <v>263.0</v>
      </c>
      <c r="B264" s="88" t="s">
        <v>1463</v>
      </c>
      <c r="C264" s="89">
        <v>1.054404604E9</v>
      </c>
      <c r="D264" s="89" t="str">
        <f t="shared" si="1"/>
        <v>최정분4604</v>
      </c>
      <c r="E264" s="89" t="s">
        <v>5240</v>
      </c>
      <c r="F264" s="90">
        <v>45998.88869212963</v>
      </c>
      <c r="G264" s="88" t="s">
        <v>4805</v>
      </c>
      <c r="H264" s="88" t="s">
        <v>4991</v>
      </c>
      <c r="I264" s="90">
        <v>45998.88903935185</v>
      </c>
    </row>
    <row r="265" ht="14.25" customHeight="1">
      <c r="A265" s="87">
        <v>264.0</v>
      </c>
      <c r="B265" s="88" t="s">
        <v>2037</v>
      </c>
      <c r="C265" s="89">
        <v>1.023185681E9</v>
      </c>
      <c r="D265" s="89" t="str">
        <f t="shared" si="1"/>
        <v>송영희5681</v>
      </c>
      <c r="E265" s="89" t="s">
        <v>5241</v>
      </c>
      <c r="F265" s="90">
        <v>45998.88851851852</v>
      </c>
      <c r="G265" s="88" t="s">
        <v>4792</v>
      </c>
      <c r="H265" s="91"/>
      <c r="I265" s="92"/>
    </row>
    <row r="266" ht="14.25" customHeight="1">
      <c r="A266" s="87">
        <v>265.0</v>
      </c>
      <c r="B266" s="88" t="s">
        <v>3856</v>
      </c>
      <c r="C266" s="89">
        <v>1.086430619E9</v>
      </c>
      <c r="D266" s="89" t="str">
        <f t="shared" si="1"/>
        <v>이희옥0619</v>
      </c>
      <c r="E266" s="89" t="s">
        <v>5242</v>
      </c>
      <c r="F266" s="90">
        <v>45998.88774305556</v>
      </c>
      <c r="G266" s="88" t="s">
        <v>4805</v>
      </c>
      <c r="H266" s="88" t="s">
        <v>5243</v>
      </c>
      <c r="I266" s="90">
        <v>45998.89019675926</v>
      </c>
    </row>
    <row r="267" ht="14.25" customHeight="1">
      <c r="A267" s="87">
        <v>266.0</v>
      </c>
      <c r="B267" s="88" t="s">
        <v>4581</v>
      </c>
      <c r="C267" s="89">
        <v>1.089068371E9</v>
      </c>
      <c r="D267" s="89" t="str">
        <f t="shared" si="1"/>
        <v>이형순8371</v>
      </c>
      <c r="E267" s="89" t="s">
        <v>5244</v>
      </c>
      <c r="F267" s="90">
        <v>45998.887557870374</v>
      </c>
      <c r="G267" s="88" t="s">
        <v>4805</v>
      </c>
      <c r="H267" s="88" t="s">
        <v>5245</v>
      </c>
      <c r="I267" s="90">
        <v>45998.89165509259</v>
      </c>
    </row>
    <row r="268" ht="14.25" customHeight="1">
      <c r="A268" s="87">
        <v>267.0</v>
      </c>
      <c r="B268" s="88" t="s">
        <v>1451</v>
      </c>
      <c r="C268" s="89">
        <v>1.051013959E9</v>
      </c>
      <c r="D268" s="89" t="str">
        <f t="shared" si="1"/>
        <v>임성빈3959</v>
      </c>
      <c r="E268" s="89" t="s">
        <v>5246</v>
      </c>
      <c r="F268" s="90">
        <v>45998.88576388889</v>
      </c>
      <c r="G268" s="88" t="s">
        <v>4805</v>
      </c>
      <c r="H268" s="88" t="s">
        <v>5247</v>
      </c>
      <c r="I268" s="90">
        <v>45999.105162037034</v>
      </c>
    </row>
    <row r="269" ht="14.25" customHeight="1">
      <c r="A269" s="87">
        <v>268.0</v>
      </c>
      <c r="B269" s="88" t="s">
        <v>2459</v>
      </c>
      <c r="C269" s="89">
        <v>1.039017798E9</v>
      </c>
      <c r="D269" s="89" t="str">
        <f t="shared" si="1"/>
        <v>이경희7798</v>
      </c>
      <c r="E269" s="89" t="s">
        <v>5248</v>
      </c>
      <c r="F269" s="90">
        <v>45998.88429398148</v>
      </c>
      <c r="G269" s="88" t="s">
        <v>4805</v>
      </c>
      <c r="H269" s="88" t="s">
        <v>5249</v>
      </c>
      <c r="I269" s="90">
        <v>45998.88885416667</v>
      </c>
    </row>
    <row r="270" ht="14.25" customHeight="1">
      <c r="A270" s="87">
        <v>269.0</v>
      </c>
      <c r="B270" s="88" t="s">
        <v>2503</v>
      </c>
      <c r="C270" s="89">
        <v>1.048145133E9</v>
      </c>
      <c r="D270" s="89" t="str">
        <f t="shared" si="1"/>
        <v>이한숙5133</v>
      </c>
      <c r="E270" s="89" t="s">
        <v>5250</v>
      </c>
      <c r="F270" s="90">
        <v>45998.884247685186</v>
      </c>
      <c r="G270" s="88" t="s">
        <v>4805</v>
      </c>
      <c r="H270" s="88" t="s">
        <v>4991</v>
      </c>
      <c r="I270" s="90">
        <v>45998.89641203704</v>
      </c>
    </row>
    <row r="271" ht="14.25" customHeight="1">
      <c r="A271" s="87">
        <v>270.0</v>
      </c>
      <c r="B271" s="88" t="s">
        <v>4657</v>
      </c>
      <c r="C271" s="89">
        <v>1.063541363E9</v>
      </c>
      <c r="D271" s="89" t="str">
        <f t="shared" si="1"/>
        <v>박영순1363</v>
      </c>
      <c r="E271" s="89" t="s">
        <v>5251</v>
      </c>
      <c r="F271" s="90">
        <v>45998.88375</v>
      </c>
      <c r="G271" s="88" t="s">
        <v>4805</v>
      </c>
      <c r="H271" s="88" t="s">
        <v>5252</v>
      </c>
      <c r="I271" s="90">
        <v>45999.13903935185</v>
      </c>
    </row>
    <row r="272" ht="14.25" customHeight="1">
      <c r="A272" s="87">
        <v>271.0</v>
      </c>
      <c r="B272" s="94" t="s">
        <v>1175</v>
      </c>
      <c r="C272" s="89">
        <v>1.031398556E9</v>
      </c>
      <c r="D272" s="89" t="str">
        <f t="shared" si="1"/>
        <v>임정임8556</v>
      </c>
      <c r="E272" s="89" t="s">
        <v>5253</v>
      </c>
      <c r="F272" s="90">
        <v>45998.882581018515</v>
      </c>
      <c r="G272" s="88" t="s">
        <v>4805</v>
      </c>
      <c r="H272" s="88" t="s">
        <v>5254</v>
      </c>
      <c r="I272" s="90">
        <v>45999.548101851855</v>
      </c>
    </row>
    <row r="273" ht="14.25" customHeight="1">
      <c r="A273" s="87">
        <v>272.0</v>
      </c>
      <c r="B273" s="88" t="s">
        <v>2771</v>
      </c>
      <c r="C273" s="89">
        <v>1.042531156E9</v>
      </c>
      <c r="D273" s="89" t="str">
        <f t="shared" si="1"/>
        <v>김은선1156</v>
      </c>
      <c r="E273" s="89" t="s">
        <v>5255</v>
      </c>
      <c r="F273" s="90">
        <v>45998.88159722222</v>
      </c>
      <c r="G273" s="88" t="s">
        <v>4805</v>
      </c>
      <c r="H273" s="88" t="s">
        <v>5256</v>
      </c>
      <c r="I273" s="90">
        <v>45998.90515046296</v>
      </c>
    </row>
    <row r="274" ht="14.25" customHeight="1">
      <c r="A274" s="87">
        <v>273.0</v>
      </c>
      <c r="B274" s="88" t="s">
        <v>2842</v>
      </c>
      <c r="C274" s="89">
        <v>1.077130375E9</v>
      </c>
      <c r="D274" s="89" t="str">
        <f t="shared" si="1"/>
        <v>남미정0375</v>
      </c>
      <c r="E274" s="89" t="s">
        <v>5257</v>
      </c>
      <c r="F274" s="90">
        <v>45998.881006944444</v>
      </c>
      <c r="G274" s="88" t="s">
        <v>4805</v>
      </c>
      <c r="H274" s="88" t="s">
        <v>4991</v>
      </c>
      <c r="I274" s="90">
        <v>45998.89732638889</v>
      </c>
    </row>
    <row r="275" ht="14.25" customHeight="1">
      <c r="A275" s="87">
        <v>274.0</v>
      </c>
      <c r="B275" s="88" t="s">
        <v>2099</v>
      </c>
      <c r="C275" s="89">
        <v>1.053350209E9</v>
      </c>
      <c r="D275" s="89" t="str">
        <f t="shared" si="1"/>
        <v>백광숙0209</v>
      </c>
      <c r="E275" s="89" t="s">
        <v>5258</v>
      </c>
      <c r="F275" s="90">
        <v>45998.880011574074</v>
      </c>
      <c r="G275" s="88" t="s">
        <v>4805</v>
      </c>
      <c r="H275" s="88" t="s">
        <v>5259</v>
      </c>
      <c r="I275" s="90">
        <v>45998.906377314815</v>
      </c>
    </row>
    <row r="276" ht="14.25" customHeight="1">
      <c r="A276" s="87">
        <v>275.0</v>
      </c>
      <c r="B276" s="88" t="s">
        <v>2459</v>
      </c>
      <c r="C276" s="89">
        <v>1.062843632E9</v>
      </c>
      <c r="D276" s="89" t="str">
        <f t="shared" si="1"/>
        <v>이경희3632</v>
      </c>
      <c r="E276" s="89" t="s">
        <v>5260</v>
      </c>
      <c r="F276" s="90">
        <v>45998.87907407407</v>
      </c>
      <c r="G276" s="88" t="s">
        <v>4805</v>
      </c>
      <c r="H276" s="89" t="s">
        <v>4911</v>
      </c>
      <c r="I276" s="90">
        <v>45999.02761574074</v>
      </c>
    </row>
    <row r="277" ht="14.25" customHeight="1">
      <c r="A277" s="87">
        <v>276.0</v>
      </c>
      <c r="B277" s="88" t="s">
        <v>1067</v>
      </c>
      <c r="C277" s="89">
        <v>1.04512148E9</v>
      </c>
      <c r="D277" s="89" t="str">
        <f t="shared" si="1"/>
        <v>차현주1480</v>
      </c>
      <c r="E277" s="89" t="s">
        <v>5261</v>
      </c>
      <c r="F277" s="90">
        <v>45998.878912037035</v>
      </c>
      <c r="G277" s="88" t="s">
        <v>4805</v>
      </c>
      <c r="H277" s="88" t="s">
        <v>5262</v>
      </c>
      <c r="I277" s="90">
        <v>45998.91037037037</v>
      </c>
    </row>
    <row r="278" ht="14.25" customHeight="1">
      <c r="A278" s="87">
        <v>277.0</v>
      </c>
      <c r="B278" s="88" t="s">
        <v>1990</v>
      </c>
      <c r="C278" s="89">
        <v>1.058808398E9</v>
      </c>
      <c r="D278" s="89" t="str">
        <f t="shared" si="1"/>
        <v>조원석8398</v>
      </c>
      <c r="E278" s="89" t="s">
        <v>5263</v>
      </c>
      <c r="F278" s="90">
        <v>45998.87887731481</v>
      </c>
      <c r="G278" s="88" t="s">
        <v>4805</v>
      </c>
      <c r="H278" s="88" t="s">
        <v>4991</v>
      </c>
      <c r="I278" s="90">
        <v>45998.91092592593</v>
      </c>
    </row>
    <row r="279" ht="14.25" customHeight="1">
      <c r="A279" s="87">
        <v>278.0</v>
      </c>
      <c r="B279" s="88" t="s">
        <v>1089</v>
      </c>
      <c r="C279" s="89">
        <v>1.054839423E9</v>
      </c>
      <c r="D279" s="89" t="str">
        <f t="shared" si="1"/>
        <v>최수정9423</v>
      </c>
      <c r="E279" s="89" t="s">
        <v>5264</v>
      </c>
      <c r="F279" s="90">
        <v>45998.87837962963</v>
      </c>
      <c r="G279" s="88" t="s">
        <v>4805</v>
      </c>
      <c r="H279" s="88" t="s">
        <v>5233</v>
      </c>
      <c r="I279" s="90">
        <v>45998.91113425926</v>
      </c>
    </row>
    <row r="280" ht="14.25" customHeight="1">
      <c r="A280" s="87">
        <v>279.0</v>
      </c>
      <c r="B280" s="88" t="s">
        <v>1241</v>
      </c>
      <c r="C280" s="89">
        <v>1.027584024E9</v>
      </c>
      <c r="D280" s="89" t="str">
        <f t="shared" si="1"/>
        <v>최영미4024</v>
      </c>
      <c r="E280" s="89" t="s">
        <v>5265</v>
      </c>
      <c r="F280" s="90">
        <v>45998.87829861111</v>
      </c>
      <c r="G280" s="88" t="s">
        <v>4805</v>
      </c>
      <c r="H280" s="88" t="s">
        <v>5266</v>
      </c>
      <c r="I280" s="90">
        <v>45998.9116087963</v>
      </c>
    </row>
    <row r="281" ht="14.25" customHeight="1">
      <c r="A281" s="87">
        <v>280.0</v>
      </c>
      <c r="B281" s="88" t="s">
        <v>1138</v>
      </c>
      <c r="C281" s="89">
        <v>1.05219128E9</v>
      </c>
      <c r="D281" s="89" t="str">
        <f t="shared" si="1"/>
        <v>박정단1280</v>
      </c>
      <c r="E281" s="89" t="s">
        <v>5267</v>
      </c>
      <c r="F281" s="90">
        <v>45998.87769675926</v>
      </c>
      <c r="G281" s="88" t="s">
        <v>4805</v>
      </c>
      <c r="H281" s="88" t="s">
        <v>5266</v>
      </c>
      <c r="I281" s="90">
        <v>45998.911990740744</v>
      </c>
    </row>
    <row r="282" ht="14.25" customHeight="1">
      <c r="A282" s="87">
        <v>281.0</v>
      </c>
      <c r="B282" s="88" t="s">
        <v>1278</v>
      </c>
      <c r="C282" s="89">
        <v>1.047142865E9</v>
      </c>
      <c r="D282" s="89" t="str">
        <f t="shared" si="1"/>
        <v>신동예2865</v>
      </c>
      <c r="E282" s="89" t="s">
        <v>5268</v>
      </c>
      <c r="F282" s="90">
        <v>45998.87699074074</v>
      </c>
      <c r="G282" s="88" t="s">
        <v>4805</v>
      </c>
      <c r="H282" s="88" t="s">
        <v>5269</v>
      </c>
      <c r="I282" s="90">
        <v>45998.91229166667</v>
      </c>
    </row>
    <row r="283" ht="14.25" customHeight="1">
      <c r="A283" s="87">
        <v>282.0</v>
      </c>
      <c r="B283" s="88" t="s">
        <v>5270</v>
      </c>
      <c r="C283" s="89">
        <v>1.085407372E9</v>
      </c>
      <c r="D283" s="89" t="str">
        <f t="shared" si="1"/>
        <v>정은실7372</v>
      </c>
      <c r="E283" s="89" t="s">
        <v>5271</v>
      </c>
      <c r="F283" s="90">
        <v>45998.876550925925</v>
      </c>
      <c r="G283" s="88" t="s">
        <v>4792</v>
      </c>
      <c r="H283" s="91"/>
      <c r="I283" s="92"/>
    </row>
    <row r="284" ht="14.25" customHeight="1">
      <c r="A284" s="87">
        <v>283.0</v>
      </c>
      <c r="B284" s="88" t="s">
        <v>2897</v>
      </c>
      <c r="C284" s="89">
        <v>1.022144522E9</v>
      </c>
      <c r="D284" s="89" t="str">
        <f t="shared" si="1"/>
        <v>이현자4522</v>
      </c>
      <c r="E284" s="89" t="s">
        <v>5272</v>
      </c>
      <c r="F284" s="90">
        <v>45998.87578703704</v>
      </c>
      <c r="G284" s="88" t="s">
        <v>4805</v>
      </c>
      <c r="H284" s="88" t="s">
        <v>5273</v>
      </c>
      <c r="I284" s="90">
        <v>45998.913449074076</v>
      </c>
    </row>
    <row r="285" ht="14.25" customHeight="1">
      <c r="A285" s="87">
        <v>284.0</v>
      </c>
      <c r="B285" s="88" t="s">
        <v>2765</v>
      </c>
      <c r="C285" s="89">
        <v>1.022896203E9</v>
      </c>
      <c r="D285" s="89" t="str">
        <f t="shared" si="1"/>
        <v>길선영6203</v>
      </c>
      <c r="E285" s="89" t="s">
        <v>5274</v>
      </c>
      <c r="F285" s="90">
        <v>45998.87520833333</v>
      </c>
      <c r="G285" s="88" t="s">
        <v>4805</v>
      </c>
      <c r="H285" s="88" t="s">
        <v>5273</v>
      </c>
      <c r="I285" s="90">
        <v>45998.913611111115</v>
      </c>
    </row>
    <row r="286" ht="14.25" customHeight="1">
      <c r="A286" s="87">
        <v>285.0</v>
      </c>
      <c r="B286" s="88" t="s">
        <v>1601</v>
      </c>
      <c r="C286" s="89">
        <v>1.099201841E9</v>
      </c>
      <c r="D286" s="89" t="str">
        <f t="shared" si="1"/>
        <v>김수옥1841</v>
      </c>
      <c r="E286" s="89" t="s">
        <v>5275</v>
      </c>
      <c r="F286" s="90">
        <v>45998.87482638889</v>
      </c>
      <c r="G286" s="88" t="s">
        <v>4805</v>
      </c>
      <c r="H286" s="88" t="s">
        <v>5276</v>
      </c>
      <c r="I286" s="90">
        <v>45999.99013888889</v>
      </c>
    </row>
    <row r="287" ht="14.25" customHeight="1">
      <c r="A287" s="87">
        <v>286.0</v>
      </c>
      <c r="B287" s="88" t="s">
        <v>1288</v>
      </c>
      <c r="C287" s="89">
        <v>1.098802304E9</v>
      </c>
      <c r="D287" s="89" t="str">
        <f t="shared" si="1"/>
        <v>김경애2304</v>
      </c>
      <c r="E287" s="89" t="s">
        <v>5277</v>
      </c>
      <c r="F287" s="90">
        <v>45998.87466435185</v>
      </c>
      <c r="G287" s="88" t="s">
        <v>4805</v>
      </c>
      <c r="H287" s="88" t="s">
        <v>5278</v>
      </c>
      <c r="I287" s="90">
        <v>45998.91447916667</v>
      </c>
    </row>
    <row r="288" ht="14.25" customHeight="1">
      <c r="A288" s="87">
        <v>287.0</v>
      </c>
      <c r="B288" s="88" t="s">
        <v>2897</v>
      </c>
      <c r="C288" s="89">
        <v>1.022144522E9</v>
      </c>
      <c r="D288" s="89" t="str">
        <f t="shared" si="1"/>
        <v>이현자4522</v>
      </c>
      <c r="E288" s="89" t="s">
        <v>5279</v>
      </c>
      <c r="F288" s="90">
        <v>45998.87414351852</v>
      </c>
      <c r="G288" s="88" t="s">
        <v>4805</v>
      </c>
      <c r="H288" s="88" t="s">
        <v>5280</v>
      </c>
      <c r="I288" s="90">
        <v>45998.94693287037</v>
      </c>
    </row>
    <row r="289" ht="14.25" customHeight="1">
      <c r="A289" s="87">
        <v>288.0</v>
      </c>
      <c r="B289" s="88" t="s">
        <v>2964</v>
      </c>
      <c r="C289" s="89">
        <v>1.022906138E9</v>
      </c>
      <c r="D289" s="89" t="str">
        <f t="shared" si="1"/>
        <v>강평애6138</v>
      </c>
      <c r="E289" s="89" t="s">
        <v>5281</v>
      </c>
      <c r="F289" s="90">
        <v>45998.874027777776</v>
      </c>
      <c r="G289" s="88" t="s">
        <v>4805</v>
      </c>
      <c r="H289" s="88" t="s">
        <v>4991</v>
      </c>
      <c r="I289" s="90">
        <v>45998.914768518516</v>
      </c>
    </row>
    <row r="290" ht="14.25" customHeight="1">
      <c r="A290" s="87">
        <v>289.0</v>
      </c>
      <c r="B290" s="88" t="s">
        <v>1200</v>
      </c>
      <c r="C290" s="89">
        <v>1.089146663E9</v>
      </c>
      <c r="D290" s="89" t="str">
        <f t="shared" si="1"/>
        <v>윤성수6663</v>
      </c>
      <c r="E290" s="89" t="s">
        <v>5282</v>
      </c>
      <c r="F290" s="90">
        <v>45998.87388888889</v>
      </c>
      <c r="G290" s="88" t="s">
        <v>4805</v>
      </c>
      <c r="H290" s="88" t="s">
        <v>5283</v>
      </c>
      <c r="I290" s="90">
        <v>45998.91501157408</v>
      </c>
    </row>
    <row r="291" ht="14.25" customHeight="1">
      <c r="A291" s="87">
        <v>290.0</v>
      </c>
      <c r="B291" s="88" t="s">
        <v>2433</v>
      </c>
      <c r="C291" s="89">
        <v>1.093287955E9</v>
      </c>
      <c r="D291" s="89" t="str">
        <f t="shared" si="1"/>
        <v>이광진7955</v>
      </c>
      <c r="E291" s="89" t="s">
        <v>5284</v>
      </c>
      <c r="F291" s="90">
        <v>45998.87357638889</v>
      </c>
      <c r="G291" s="88" t="s">
        <v>4805</v>
      </c>
      <c r="H291" s="88" t="s">
        <v>4991</v>
      </c>
      <c r="I291" s="90">
        <v>45998.9471875</v>
      </c>
    </row>
    <row r="292" ht="14.25" customHeight="1">
      <c r="A292" s="87">
        <v>291.0</v>
      </c>
      <c r="B292" s="88" t="s">
        <v>3229</v>
      </c>
      <c r="C292" s="89">
        <v>1.090389537E9</v>
      </c>
      <c r="D292" s="89" t="str">
        <f t="shared" si="1"/>
        <v>박미숙9537</v>
      </c>
      <c r="E292" s="89" t="s">
        <v>5285</v>
      </c>
      <c r="F292" s="90">
        <v>45998.873449074075</v>
      </c>
      <c r="G292" s="88" t="s">
        <v>4805</v>
      </c>
      <c r="H292" s="88" t="s">
        <v>4839</v>
      </c>
      <c r="I292" s="90">
        <v>45998.91523148148</v>
      </c>
    </row>
    <row r="293" ht="14.25" customHeight="1">
      <c r="A293" s="87">
        <v>292.0</v>
      </c>
      <c r="B293" s="88" t="s">
        <v>2540</v>
      </c>
      <c r="C293" s="89">
        <v>1.065566331E9</v>
      </c>
      <c r="D293" s="89" t="str">
        <f t="shared" si="1"/>
        <v>박영철6331</v>
      </c>
      <c r="E293" s="89" t="s">
        <v>5286</v>
      </c>
      <c r="F293" s="90">
        <v>45998.87342592593</v>
      </c>
      <c r="G293" s="88" t="s">
        <v>4805</v>
      </c>
      <c r="H293" s="88" t="s">
        <v>4991</v>
      </c>
      <c r="I293" s="90">
        <v>45998.91543981482</v>
      </c>
    </row>
    <row r="294" ht="14.25" customHeight="1">
      <c r="A294" s="87">
        <v>293.0</v>
      </c>
      <c r="B294" s="88" t="s">
        <v>1168</v>
      </c>
      <c r="C294" s="89">
        <v>1.040234973E9</v>
      </c>
      <c r="D294" s="89" t="str">
        <f t="shared" si="1"/>
        <v>서우주4973</v>
      </c>
      <c r="E294" s="89" t="s">
        <v>5287</v>
      </c>
      <c r="F294" s="90">
        <v>45998.873391203706</v>
      </c>
      <c r="G294" s="88" t="s">
        <v>4792</v>
      </c>
      <c r="H294" s="91"/>
      <c r="I294" s="92"/>
    </row>
    <row r="295" ht="14.25" customHeight="1">
      <c r="A295" s="87">
        <v>294.0</v>
      </c>
      <c r="B295" s="88" t="s">
        <v>2847</v>
      </c>
      <c r="C295" s="89">
        <v>1.075923233E9</v>
      </c>
      <c r="D295" s="89" t="str">
        <f t="shared" si="1"/>
        <v>박선영3233</v>
      </c>
      <c r="E295" s="89" t="s">
        <v>5288</v>
      </c>
      <c r="F295" s="90">
        <v>45998.87332175926</v>
      </c>
      <c r="G295" s="88" t="s">
        <v>4805</v>
      </c>
      <c r="H295" s="88" t="s">
        <v>5283</v>
      </c>
      <c r="I295" s="90">
        <v>45998.915671296294</v>
      </c>
    </row>
    <row r="296" ht="14.25" customHeight="1">
      <c r="A296" s="87">
        <v>295.0</v>
      </c>
      <c r="B296" s="88" t="s">
        <v>3445</v>
      </c>
      <c r="C296" s="89">
        <v>1.05400954E9</v>
      </c>
      <c r="D296" s="89" t="str">
        <f t="shared" si="1"/>
        <v>윤종분9540</v>
      </c>
      <c r="E296" s="89" t="s">
        <v>5289</v>
      </c>
      <c r="F296" s="90">
        <v>45998.8728587963</v>
      </c>
      <c r="G296" s="88" t="s">
        <v>4805</v>
      </c>
      <c r="H296" s="88" t="s">
        <v>4991</v>
      </c>
      <c r="I296" s="90">
        <v>45998.91587962963</v>
      </c>
    </row>
    <row r="297" ht="14.25" customHeight="1">
      <c r="A297" s="87">
        <v>296.0</v>
      </c>
      <c r="B297" s="88" t="s">
        <v>1693</v>
      </c>
      <c r="C297" s="89">
        <v>1.046261023E9</v>
      </c>
      <c r="D297" s="89" t="str">
        <f t="shared" si="1"/>
        <v>이현정1023</v>
      </c>
      <c r="E297" s="89" t="s">
        <v>5290</v>
      </c>
      <c r="F297" s="90">
        <v>45998.8725462963</v>
      </c>
      <c r="G297" s="88" t="s">
        <v>4805</v>
      </c>
      <c r="H297" s="88" t="s">
        <v>5291</v>
      </c>
      <c r="I297" s="90">
        <v>45998.91680555556</v>
      </c>
    </row>
    <row r="298" ht="14.25" customHeight="1">
      <c r="A298" s="87">
        <v>297.0</v>
      </c>
      <c r="B298" s="88" t="s">
        <v>1138</v>
      </c>
      <c r="C298" s="89">
        <v>1.05219128E9</v>
      </c>
      <c r="D298" s="89" t="str">
        <f t="shared" si="1"/>
        <v>박정단1280</v>
      </c>
      <c r="E298" s="89" t="s">
        <v>5292</v>
      </c>
      <c r="F298" s="90">
        <v>45998.872465277775</v>
      </c>
      <c r="G298" s="88" t="s">
        <v>4805</v>
      </c>
      <c r="H298" s="88" t="s">
        <v>5293</v>
      </c>
      <c r="I298" s="90">
        <v>45998.9171412037</v>
      </c>
    </row>
    <row r="299" ht="14.25" customHeight="1">
      <c r="A299" s="87">
        <v>298.0</v>
      </c>
      <c r="B299" s="88" t="s">
        <v>2879</v>
      </c>
      <c r="C299" s="89">
        <v>1.064243911E9</v>
      </c>
      <c r="D299" s="89" t="str">
        <f t="shared" si="1"/>
        <v>윤세현3911</v>
      </c>
      <c r="E299" s="89" t="s">
        <v>5294</v>
      </c>
      <c r="F299" s="90">
        <v>45998.871782407405</v>
      </c>
      <c r="G299" s="88" t="s">
        <v>4805</v>
      </c>
      <c r="H299" s="88" t="s">
        <v>5295</v>
      </c>
      <c r="I299" s="90">
        <v>45999.112604166665</v>
      </c>
    </row>
    <row r="300" ht="14.25" customHeight="1">
      <c r="A300" s="87">
        <v>299.0</v>
      </c>
      <c r="B300" s="88" t="s">
        <v>2854</v>
      </c>
      <c r="C300" s="89">
        <v>1.058710603E9</v>
      </c>
      <c r="D300" s="89" t="str">
        <f t="shared" si="1"/>
        <v>서순정0603</v>
      </c>
      <c r="E300" s="89" t="s">
        <v>5296</v>
      </c>
      <c r="F300" s="90">
        <v>45998.871666666666</v>
      </c>
      <c r="G300" s="88" t="s">
        <v>4805</v>
      </c>
      <c r="H300" s="88" t="s">
        <v>5187</v>
      </c>
      <c r="I300" s="90">
        <v>45998.92314814815</v>
      </c>
    </row>
    <row r="301" ht="14.25" customHeight="1">
      <c r="A301" s="87">
        <v>300.0</v>
      </c>
      <c r="B301" s="88" t="s">
        <v>2869</v>
      </c>
      <c r="C301" s="89">
        <v>1.066864166E9</v>
      </c>
      <c r="D301" s="89" t="str">
        <f t="shared" si="1"/>
        <v>안영규4166</v>
      </c>
      <c r="E301" s="89" t="s">
        <v>5297</v>
      </c>
      <c r="F301" s="90">
        <v>45998.871400462966</v>
      </c>
      <c r="G301" s="88" t="s">
        <v>4805</v>
      </c>
      <c r="H301" s="88" t="s">
        <v>5219</v>
      </c>
      <c r="I301" s="90">
        <v>45998.947604166664</v>
      </c>
    </row>
    <row r="302" ht="14.25" customHeight="1">
      <c r="A302" s="87">
        <v>301.0</v>
      </c>
      <c r="B302" s="88" t="s">
        <v>2824</v>
      </c>
      <c r="C302" s="89">
        <v>1.074650369E9</v>
      </c>
      <c r="D302" s="89" t="str">
        <f t="shared" si="1"/>
        <v>김윤아0369</v>
      </c>
      <c r="E302" s="89" t="s">
        <v>5298</v>
      </c>
      <c r="F302" s="90">
        <v>45998.87100694444</v>
      </c>
      <c r="G302" s="88" t="s">
        <v>4805</v>
      </c>
      <c r="H302" s="88" t="s">
        <v>5219</v>
      </c>
      <c r="I302" s="90">
        <v>45998.94787037037</v>
      </c>
    </row>
    <row r="303" ht="14.25" customHeight="1">
      <c r="A303" s="87">
        <v>302.0</v>
      </c>
      <c r="B303" s="88" t="s">
        <v>1115</v>
      </c>
      <c r="C303" s="89">
        <v>1.030217889E9</v>
      </c>
      <c r="D303" s="89" t="str">
        <f t="shared" si="1"/>
        <v>강정옥7889</v>
      </c>
      <c r="E303" s="89" t="s">
        <v>5299</v>
      </c>
      <c r="F303" s="90">
        <v>45998.870150462964</v>
      </c>
      <c r="G303" s="88" t="s">
        <v>4805</v>
      </c>
      <c r="H303" s="88" t="s">
        <v>5219</v>
      </c>
      <c r="I303" s="90">
        <v>45998.94813657407</v>
      </c>
    </row>
    <row r="304" ht="14.25" customHeight="1">
      <c r="A304" s="87">
        <v>303.0</v>
      </c>
      <c r="B304" s="88" t="s">
        <v>1731</v>
      </c>
      <c r="C304" s="89">
        <v>1.0889124E9</v>
      </c>
      <c r="D304" s="89" t="str">
        <f t="shared" si="1"/>
        <v>이지영2400</v>
      </c>
      <c r="E304" s="89" t="s">
        <v>5300</v>
      </c>
      <c r="F304" s="90">
        <v>45998.87002314815</v>
      </c>
      <c r="G304" s="88" t="s">
        <v>4805</v>
      </c>
      <c r="H304" s="88" t="s">
        <v>5219</v>
      </c>
      <c r="I304" s="90">
        <v>45998.948379629626</v>
      </c>
    </row>
    <row r="305" ht="14.25" customHeight="1">
      <c r="A305" s="87">
        <v>304.0</v>
      </c>
      <c r="B305" s="88" t="s">
        <v>3558</v>
      </c>
      <c r="C305" s="89">
        <v>1.0821605E9</v>
      </c>
      <c r="D305" s="89" t="str">
        <f t="shared" si="1"/>
        <v>임인경0500</v>
      </c>
      <c r="E305" s="89" t="s">
        <v>5301</v>
      </c>
      <c r="F305" s="90">
        <v>45998.869039351855</v>
      </c>
      <c r="G305" s="88" t="s">
        <v>4805</v>
      </c>
      <c r="H305" s="88" t="s">
        <v>5302</v>
      </c>
      <c r="I305" s="90">
        <v>45998.950277777774</v>
      </c>
    </row>
    <row r="306" ht="14.25" customHeight="1">
      <c r="A306" s="87">
        <v>305.0</v>
      </c>
      <c r="B306" s="88" t="s">
        <v>1082</v>
      </c>
      <c r="C306" s="89">
        <v>1.038447139E9</v>
      </c>
      <c r="D306" s="89" t="str">
        <f t="shared" si="1"/>
        <v>김소옥7139</v>
      </c>
      <c r="E306" s="89" t="s">
        <v>5303</v>
      </c>
      <c r="F306" s="90">
        <v>45998.8641087963</v>
      </c>
      <c r="G306" s="88" t="s">
        <v>4805</v>
      </c>
      <c r="H306" s="88" t="s">
        <v>4839</v>
      </c>
      <c r="I306" s="90">
        <v>45998.950578703705</v>
      </c>
    </row>
    <row r="307" ht="14.25" customHeight="1">
      <c r="A307" s="87">
        <v>306.0</v>
      </c>
      <c r="B307" s="88" t="s">
        <v>2474</v>
      </c>
      <c r="C307" s="89">
        <v>1.095979412E9</v>
      </c>
      <c r="D307" s="89" t="str">
        <f t="shared" si="1"/>
        <v>홍효정9412</v>
      </c>
      <c r="E307" s="89" t="s">
        <v>5304</v>
      </c>
      <c r="F307" s="90">
        <v>45998.86341435185</v>
      </c>
      <c r="G307" s="88" t="s">
        <v>4805</v>
      </c>
      <c r="H307" s="88" t="s">
        <v>5305</v>
      </c>
      <c r="I307" s="90">
        <v>45999.40586805555</v>
      </c>
    </row>
    <row r="308" ht="14.25" customHeight="1">
      <c r="A308" s="87">
        <v>307.0</v>
      </c>
      <c r="B308" s="88" t="s">
        <v>5306</v>
      </c>
      <c r="C308" s="89">
        <v>1.034574145E9</v>
      </c>
      <c r="D308" s="89" t="str">
        <f t="shared" si="1"/>
        <v>방미소4145</v>
      </c>
      <c r="E308" s="89" t="s">
        <v>5307</v>
      </c>
      <c r="F308" s="90">
        <v>45998.857939814814</v>
      </c>
      <c r="G308" s="88" t="s">
        <v>4805</v>
      </c>
      <c r="H308" s="88" t="s">
        <v>5308</v>
      </c>
      <c r="I308" s="90">
        <v>45998.95875</v>
      </c>
    </row>
    <row r="309" ht="14.25" customHeight="1">
      <c r="A309" s="87">
        <v>308.0</v>
      </c>
      <c r="B309" s="88" t="s">
        <v>4797</v>
      </c>
      <c r="C309" s="89">
        <v>1.062666306E9</v>
      </c>
      <c r="D309" s="89" t="str">
        <f t="shared" si="1"/>
        <v>손병기6306</v>
      </c>
      <c r="E309" s="89" t="s">
        <v>5309</v>
      </c>
      <c r="F309" s="90">
        <v>45998.84943287037</v>
      </c>
      <c r="G309" s="88" t="s">
        <v>4805</v>
      </c>
      <c r="H309" s="88" t="s">
        <v>5310</v>
      </c>
      <c r="I309" s="90">
        <v>45999.991423611114</v>
      </c>
    </row>
    <row r="310" ht="14.25" customHeight="1">
      <c r="A310" s="87">
        <v>309.0</v>
      </c>
      <c r="B310" s="88" t="s">
        <v>3481</v>
      </c>
      <c r="C310" s="89">
        <v>1.025959828E9</v>
      </c>
      <c r="D310" s="89" t="str">
        <f t="shared" si="1"/>
        <v>이서경9828</v>
      </c>
      <c r="E310" s="89" t="s">
        <v>5311</v>
      </c>
      <c r="F310" s="90">
        <v>45998.846087962964</v>
      </c>
      <c r="G310" s="88" t="s">
        <v>4792</v>
      </c>
      <c r="H310" s="91"/>
      <c r="I310" s="92"/>
    </row>
    <row r="311" ht="14.25" customHeight="1">
      <c r="A311" s="87">
        <v>310.0</v>
      </c>
      <c r="B311" s="88" t="s">
        <v>4948</v>
      </c>
      <c r="C311" s="89">
        <v>1.036611199E9</v>
      </c>
      <c r="D311" s="89" t="str">
        <f t="shared" si="1"/>
        <v>박채빈1199</v>
      </c>
      <c r="E311" s="89" t="s">
        <v>5312</v>
      </c>
      <c r="F311" s="90">
        <v>45998.8449537037</v>
      </c>
      <c r="G311" s="88" t="s">
        <v>4792</v>
      </c>
      <c r="H311" s="91"/>
      <c r="I311" s="92"/>
    </row>
    <row r="312" ht="14.25" customHeight="1">
      <c r="A312" s="87">
        <v>311.0</v>
      </c>
      <c r="B312" s="88" t="s">
        <v>2744</v>
      </c>
      <c r="C312" s="89">
        <v>1.062866721E9</v>
      </c>
      <c r="D312" s="89" t="str">
        <f t="shared" si="1"/>
        <v>이혜경6721</v>
      </c>
      <c r="E312" s="89" t="s">
        <v>5313</v>
      </c>
      <c r="F312" s="90">
        <v>45998.844143518516</v>
      </c>
      <c r="G312" s="88" t="s">
        <v>4805</v>
      </c>
      <c r="H312" s="88" t="s">
        <v>5314</v>
      </c>
      <c r="I312" s="90">
        <v>45999.93246527778</v>
      </c>
    </row>
    <row r="313" ht="14.25" customHeight="1">
      <c r="A313" s="87">
        <v>312.0</v>
      </c>
      <c r="B313" s="88" t="s">
        <v>5315</v>
      </c>
      <c r="C313" s="89">
        <v>1.085559409E9</v>
      </c>
      <c r="D313" s="89" t="str">
        <f t="shared" si="1"/>
        <v>최아영9409</v>
      </c>
      <c r="E313" s="89" t="s">
        <v>5316</v>
      </c>
      <c r="F313" s="90">
        <v>45998.83980324074</v>
      </c>
      <c r="G313" s="88" t="s">
        <v>4805</v>
      </c>
      <c r="H313" s="88" t="s">
        <v>5317</v>
      </c>
      <c r="I313" s="90">
        <v>45998.84596064815</v>
      </c>
    </row>
    <row r="314" ht="14.25" customHeight="1">
      <c r="A314" s="87">
        <v>313.0</v>
      </c>
      <c r="B314" s="88" t="s">
        <v>1406</v>
      </c>
      <c r="C314" s="89">
        <v>1.052053429E9</v>
      </c>
      <c r="D314" s="89" t="str">
        <f t="shared" si="1"/>
        <v>김영희3429</v>
      </c>
      <c r="E314" s="89" t="s">
        <v>5318</v>
      </c>
      <c r="F314" s="90">
        <v>45998.83423611111</v>
      </c>
      <c r="G314" s="88" t="s">
        <v>4805</v>
      </c>
      <c r="H314" s="88" t="s">
        <v>5319</v>
      </c>
      <c r="I314" s="90">
        <v>45998.835543981484</v>
      </c>
    </row>
    <row r="315" ht="14.25" customHeight="1">
      <c r="A315" s="87">
        <v>314.0</v>
      </c>
      <c r="B315" s="88" t="s">
        <v>4581</v>
      </c>
      <c r="C315" s="89">
        <v>1.089068371E9</v>
      </c>
      <c r="D315" s="89" t="str">
        <f t="shared" si="1"/>
        <v>이형순8371</v>
      </c>
      <c r="E315" s="89" t="s">
        <v>5320</v>
      </c>
      <c r="F315" s="90">
        <v>45998.83236111111</v>
      </c>
      <c r="G315" s="88" t="s">
        <v>4805</v>
      </c>
      <c r="H315" s="88" t="s">
        <v>5321</v>
      </c>
      <c r="I315" s="90">
        <v>45998.83325231481</v>
      </c>
    </row>
    <row r="316" ht="14.25" customHeight="1">
      <c r="A316" s="87">
        <v>315.0</v>
      </c>
      <c r="B316" s="88" t="s">
        <v>1406</v>
      </c>
      <c r="C316" s="89">
        <v>1.052053429E9</v>
      </c>
      <c r="D316" s="89" t="str">
        <f t="shared" si="1"/>
        <v>김영희3429</v>
      </c>
      <c r="E316" s="89" t="s">
        <v>5322</v>
      </c>
      <c r="F316" s="90">
        <v>45998.831875</v>
      </c>
      <c r="G316" s="88" t="s">
        <v>4805</v>
      </c>
      <c r="H316" s="88" t="s">
        <v>5323</v>
      </c>
      <c r="I316" s="90">
        <v>45998.83449074074</v>
      </c>
    </row>
    <row r="317" ht="14.25" customHeight="1">
      <c r="A317" s="87">
        <v>316.0</v>
      </c>
      <c r="B317" s="88" t="s">
        <v>1406</v>
      </c>
      <c r="C317" s="89">
        <v>1.052053429E9</v>
      </c>
      <c r="D317" s="89" t="str">
        <f t="shared" si="1"/>
        <v>김영희3429</v>
      </c>
      <c r="E317" s="89" t="s">
        <v>5324</v>
      </c>
      <c r="F317" s="90">
        <v>45998.830625</v>
      </c>
      <c r="G317" s="88" t="s">
        <v>4805</v>
      </c>
      <c r="H317" s="88" t="s">
        <v>5325</v>
      </c>
      <c r="I317" s="90">
        <v>45998.834178240744</v>
      </c>
    </row>
    <row r="318" ht="14.25" customHeight="1">
      <c r="A318" s="87">
        <v>317.0</v>
      </c>
      <c r="B318" s="88" t="s">
        <v>3064</v>
      </c>
      <c r="C318" s="89">
        <v>1.091663415E9</v>
      </c>
      <c r="D318" s="89" t="str">
        <f t="shared" si="1"/>
        <v>김설자3415</v>
      </c>
      <c r="E318" s="89" t="s">
        <v>5326</v>
      </c>
      <c r="F318" s="90">
        <v>45998.82517361111</v>
      </c>
      <c r="G318" s="88" t="s">
        <v>4805</v>
      </c>
      <c r="H318" s="88" t="s">
        <v>5327</v>
      </c>
      <c r="I318" s="90">
        <v>45998.83789351852</v>
      </c>
    </row>
    <row r="319" ht="14.25" customHeight="1">
      <c r="A319" s="87">
        <v>318.0</v>
      </c>
      <c r="B319" s="88" t="s">
        <v>2889</v>
      </c>
      <c r="C319" s="89">
        <v>1.046647849E9</v>
      </c>
      <c r="D319" s="89" t="str">
        <f t="shared" si="1"/>
        <v>이윤희7849</v>
      </c>
      <c r="E319" s="89" t="s">
        <v>5328</v>
      </c>
      <c r="F319" s="90">
        <v>45998.82309027778</v>
      </c>
      <c r="G319" s="88" t="s">
        <v>4805</v>
      </c>
      <c r="H319" s="88" t="s">
        <v>5329</v>
      </c>
      <c r="I319" s="90">
        <v>45998.83587962963</v>
      </c>
    </row>
    <row r="320" ht="14.25" customHeight="1">
      <c r="A320" s="87">
        <v>319.0</v>
      </c>
      <c r="B320" s="88" t="s">
        <v>5330</v>
      </c>
      <c r="C320" s="89">
        <v>1.099150255E9</v>
      </c>
      <c r="D320" s="89" t="str">
        <f t="shared" si="1"/>
        <v>장현주0255</v>
      </c>
      <c r="E320" s="89" t="s">
        <v>5331</v>
      </c>
      <c r="F320" s="90">
        <v>45998.817395833335</v>
      </c>
      <c r="G320" s="88" t="s">
        <v>4805</v>
      </c>
      <c r="H320" s="88" t="s">
        <v>5329</v>
      </c>
      <c r="I320" s="90">
        <v>45998.83614583333</v>
      </c>
    </row>
    <row r="321" ht="14.25" customHeight="1">
      <c r="A321" s="87">
        <v>320.0</v>
      </c>
      <c r="B321" s="88" t="s">
        <v>3190</v>
      </c>
      <c r="C321" s="89">
        <v>1.037340296E9</v>
      </c>
      <c r="D321" s="89" t="str">
        <f t="shared" si="1"/>
        <v>맹태만0296</v>
      </c>
      <c r="E321" s="89" t="s">
        <v>5332</v>
      </c>
      <c r="F321" s="90">
        <v>45998.812569444446</v>
      </c>
      <c r="G321" s="88" t="s">
        <v>4805</v>
      </c>
      <c r="H321" s="88" t="s">
        <v>5333</v>
      </c>
      <c r="I321" s="90">
        <v>45998.81760416667</v>
      </c>
    </row>
    <row r="322" ht="14.25" customHeight="1">
      <c r="A322" s="87">
        <v>321.0</v>
      </c>
      <c r="B322" s="88" t="s">
        <v>3884</v>
      </c>
      <c r="C322" s="89">
        <v>1.094956109E9</v>
      </c>
      <c r="D322" s="89" t="str">
        <f t="shared" si="1"/>
        <v>김정화6109</v>
      </c>
      <c r="E322" s="89" t="s">
        <v>5334</v>
      </c>
      <c r="F322" s="90">
        <v>45998.803981481484</v>
      </c>
      <c r="G322" s="88" t="s">
        <v>4805</v>
      </c>
      <c r="H322" s="88" t="s">
        <v>5333</v>
      </c>
      <c r="I322" s="90">
        <v>45998.81815972222</v>
      </c>
    </row>
    <row r="323" ht="14.25" customHeight="1">
      <c r="A323" s="87">
        <v>322.0</v>
      </c>
      <c r="B323" s="88" t="s">
        <v>2439</v>
      </c>
      <c r="C323" s="89">
        <v>1.099254765E9</v>
      </c>
      <c r="D323" s="89" t="str">
        <f t="shared" si="1"/>
        <v>김지현4765</v>
      </c>
      <c r="E323" s="89" t="s">
        <v>5335</v>
      </c>
      <c r="F323" s="90">
        <v>45998.80241898148</v>
      </c>
      <c r="G323" s="88" t="s">
        <v>4805</v>
      </c>
      <c r="H323" s="88" t="s">
        <v>5336</v>
      </c>
      <c r="I323" s="90">
        <v>45998.82001157408</v>
      </c>
    </row>
    <row r="324" ht="14.25" customHeight="1">
      <c r="A324" s="87">
        <v>323.0</v>
      </c>
      <c r="B324" s="88" t="s">
        <v>3884</v>
      </c>
      <c r="C324" s="89">
        <v>1.094956109E9</v>
      </c>
      <c r="D324" s="89" t="str">
        <f t="shared" si="1"/>
        <v>김정화6109</v>
      </c>
      <c r="E324" s="89" t="s">
        <v>5337</v>
      </c>
      <c r="F324" s="90">
        <v>45998.795960648145</v>
      </c>
      <c r="G324" s="88" t="s">
        <v>4805</v>
      </c>
      <c r="H324" s="88" t="s">
        <v>5338</v>
      </c>
      <c r="I324" s="90">
        <v>45998.82109953704</v>
      </c>
    </row>
    <row r="325" ht="14.25" customHeight="1">
      <c r="A325" s="87">
        <v>324.0</v>
      </c>
      <c r="B325" s="88" t="s">
        <v>5339</v>
      </c>
      <c r="C325" s="89">
        <v>1.083922929E9</v>
      </c>
      <c r="D325" s="89" t="str">
        <f t="shared" si="1"/>
        <v>이수민2929</v>
      </c>
      <c r="E325" s="89" t="s">
        <v>5340</v>
      </c>
      <c r="F325" s="90">
        <v>45998.79204861111</v>
      </c>
      <c r="G325" s="88" t="s">
        <v>4792</v>
      </c>
      <c r="H325" s="91"/>
      <c r="I325" s="92"/>
    </row>
    <row r="326" ht="14.25" customHeight="1">
      <c r="A326" s="87">
        <v>325.0</v>
      </c>
      <c r="B326" s="88" t="s">
        <v>5341</v>
      </c>
      <c r="C326" s="89">
        <v>1.090901122E9</v>
      </c>
      <c r="D326" s="89" t="str">
        <f t="shared" si="1"/>
        <v>차옥경1122</v>
      </c>
      <c r="E326" s="89" t="s">
        <v>5342</v>
      </c>
      <c r="F326" s="90">
        <v>45998.782743055555</v>
      </c>
      <c r="G326" s="88" t="s">
        <v>4805</v>
      </c>
      <c r="H326" s="88" t="s">
        <v>5343</v>
      </c>
      <c r="I326" s="90">
        <v>45998.836550925924</v>
      </c>
    </row>
    <row r="327" ht="14.25" customHeight="1">
      <c r="A327" s="87">
        <v>326.0</v>
      </c>
      <c r="B327" s="88" t="s">
        <v>2161</v>
      </c>
      <c r="C327" s="89">
        <v>1.066877393E9</v>
      </c>
      <c r="D327" s="89" t="str">
        <f t="shared" si="1"/>
        <v>함은순7393</v>
      </c>
      <c r="E327" s="89" t="s">
        <v>5344</v>
      </c>
      <c r="F327" s="90">
        <v>45998.78047453704</v>
      </c>
      <c r="G327" s="88" t="s">
        <v>4805</v>
      </c>
      <c r="H327" s="88" t="s">
        <v>5329</v>
      </c>
      <c r="I327" s="90">
        <v>45998.83666666667</v>
      </c>
    </row>
    <row r="328" ht="14.25" customHeight="1">
      <c r="A328" s="87">
        <v>327.0</v>
      </c>
      <c r="B328" s="88" t="s">
        <v>2161</v>
      </c>
      <c r="C328" s="89">
        <v>1.066877393E9</v>
      </c>
      <c r="D328" s="89" t="str">
        <f t="shared" si="1"/>
        <v>함은순7393</v>
      </c>
      <c r="E328" s="89" t="s">
        <v>5345</v>
      </c>
      <c r="F328" s="90">
        <v>45998.778912037036</v>
      </c>
      <c r="G328" s="88" t="s">
        <v>4805</v>
      </c>
      <c r="H328" s="88" t="s">
        <v>5329</v>
      </c>
      <c r="I328" s="90">
        <v>45998.83672453704</v>
      </c>
    </row>
    <row r="329" ht="14.25" customHeight="1">
      <c r="A329" s="87">
        <v>328.0</v>
      </c>
      <c r="B329" s="88" t="s">
        <v>2915</v>
      </c>
      <c r="C329" s="89">
        <v>1.085542118E9</v>
      </c>
      <c r="D329" s="89" t="str">
        <f t="shared" si="1"/>
        <v>조희숙2118</v>
      </c>
      <c r="E329" s="89" t="s">
        <v>5346</v>
      </c>
      <c r="F329" s="90">
        <v>45998.775046296294</v>
      </c>
      <c r="G329" s="88" t="s">
        <v>4805</v>
      </c>
      <c r="H329" s="88" t="s">
        <v>5347</v>
      </c>
      <c r="I329" s="90">
        <v>45998.84446759259</v>
      </c>
    </row>
    <row r="330" ht="14.25" customHeight="1">
      <c r="A330" s="87">
        <v>329.0</v>
      </c>
      <c r="B330" s="88" t="s">
        <v>4948</v>
      </c>
      <c r="C330" s="89">
        <v>1.036611199E9</v>
      </c>
      <c r="D330" s="89" t="str">
        <f t="shared" si="1"/>
        <v>박채빈1199</v>
      </c>
      <c r="E330" s="89" t="s">
        <v>5348</v>
      </c>
      <c r="F330" s="90">
        <v>45998.77118055556</v>
      </c>
      <c r="G330" s="88" t="s">
        <v>4805</v>
      </c>
      <c r="H330" s="88" t="s">
        <v>5349</v>
      </c>
      <c r="I330" s="90">
        <v>45998.86283564815</v>
      </c>
    </row>
    <row r="331" ht="14.25" customHeight="1">
      <c r="A331" s="87">
        <v>330.0</v>
      </c>
      <c r="B331" s="88" t="s">
        <v>5350</v>
      </c>
      <c r="C331" s="89">
        <v>1.063410952E9</v>
      </c>
      <c r="D331" s="89" t="str">
        <f t="shared" si="1"/>
        <v>임샹빈0952</v>
      </c>
      <c r="E331" s="89" t="s">
        <v>5351</v>
      </c>
      <c r="F331" s="90">
        <v>45998.77070601852</v>
      </c>
      <c r="G331" s="88" t="s">
        <v>4805</v>
      </c>
      <c r="H331" s="88" t="s">
        <v>5352</v>
      </c>
      <c r="I331" s="90">
        <v>45998.84763888889</v>
      </c>
    </row>
    <row r="332" ht="14.25" customHeight="1">
      <c r="A332" s="87">
        <v>331.0</v>
      </c>
      <c r="B332" s="88" t="s">
        <v>1849</v>
      </c>
      <c r="C332" s="89">
        <v>1.026557999E9</v>
      </c>
      <c r="D332" s="89" t="str">
        <f t="shared" si="1"/>
        <v>정효순7999</v>
      </c>
      <c r="E332" s="89" t="s">
        <v>5353</v>
      </c>
      <c r="F332" s="90">
        <v>45998.76597222222</v>
      </c>
      <c r="G332" s="88" t="s">
        <v>4805</v>
      </c>
      <c r="H332" s="88" t="s">
        <v>5354</v>
      </c>
      <c r="I332" s="90">
        <v>45998.84890046297</v>
      </c>
    </row>
    <row r="333" ht="14.25" customHeight="1">
      <c r="A333" s="87">
        <v>332.0</v>
      </c>
      <c r="B333" s="88" t="s">
        <v>1519</v>
      </c>
      <c r="C333" s="89">
        <v>1.071219809E9</v>
      </c>
      <c r="D333" s="89" t="str">
        <f t="shared" si="1"/>
        <v>조선미9809</v>
      </c>
      <c r="E333" s="89" t="s">
        <v>5355</v>
      </c>
      <c r="F333" s="90">
        <v>45998.762407407405</v>
      </c>
      <c r="G333" s="88" t="s">
        <v>4805</v>
      </c>
      <c r="H333" s="88" t="s">
        <v>5356</v>
      </c>
      <c r="I333" s="90">
        <v>45998.86755787037</v>
      </c>
    </row>
    <row r="334" ht="14.25" customHeight="1">
      <c r="A334" s="87">
        <v>333.0</v>
      </c>
      <c r="B334" s="88" t="s">
        <v>1849</v>
      </c>
      <c r="C334" s="89">
        <v>1.026557999E9</v>
      </c>
      <c r="D334" s="89" t="str">
        <f t="shared" si="1"/>
        <v>정효순7999</v>
      </c>
      <c r="E334" s="89" t="s">
        <v>5357</v>
      </c>
      <c r="F334" s="90">
        <v>45998.76138888889</v>
      </c>
      <c r="G334" s="88" t="s">
        <v>4805</v>
      </c>
      <c r="H334" s="88" t="s">
        <v>5358</v>
      </c>
      <c r="I334" s="90">
        <v>45998.86858796296</v>
      </c>
    </row>
    <row r="335" ht="14.25" customHeight="1">
      <c r="A335" s="87">
        <v>334.0</v>
      </c>
      <c r="B335" s="88" t="s">
        <v>4948</v>
      </c>
      <c r="C335" s="89">
        <v>1.036611199E9</v>
      </c>
      <c r="D335" s="89" t="str">
        <f t="shared" si="1"/>
        <v>박채빈1199</v>
      </c>
      <c r="E335" s="89" t="s">
        <v>5359</v>
      </c>
      <c r="F335" s="90">
        <v>45998.7540625</v>
      </c>
      <c r="G335" s="88" t="s">
        <v>4805</v>
      </c>
      <c r="H335" s="88" t="s">
        <v>5360</v>
      </c>
      <c r="I335" s="90">
        <v>45998.76849537037</v>
      </c>
    </row>
    <row r="336" ht="14.25" customHeight="1">
      <c r="A336" s="87">
        <v>335.0</v>
      </c>
      <c r="B336" s="88" t="s">
        <v>997</v>
      </c>
      <c r="C336" s="89">
        <v>1.036611199E9</v>
      </c>
      <c r="D336" s="89" t="str">
        <f t="shared" si="1"/>
        <v>김영련1199</v>
      </c>
      <c r="E336" s="89" t="s">
        <v>5361</v>
      </c>
      <c r="F336" s="90">
        <v>45998.75349537037</v>
      </c>
      <c r="G336" s="88" t="s">
        <v>4805</v>
      </c>
      <c r="H336" s="88" t="s">
        <v>5362</v>
      </c>
      <c r="I336" s="90">
        <v>45998.75886574074</v>
      </c>
    </row>
    <row r="337" ht="14.25" customHeight="1">
      <c r="A337" s="87">
        <v>336.0</v>
      </c>
      <c r="B337" s="88" t="s">
        <v>997</v>
      </c>
      <c r="C337" s="89">
        <v>1.036611199E9</v>
      </c>
      <c r="D337" s="89" t="str">
        <f t="shared" si="1"/>
        <v>김영련1199</v>
      </c>
      <c r="E337" s="89" t="s">
        <v>5363</v>
      </c>
      <c r="F337" s="90">
        <v>45998.751122685186</v>
      </c>
      <c r="G337" s="88" t="s">
        <v>4805</v>
      </c>
      <c r="H337" s="88" t="s">
        <v>5364</v>
      </c>
      <c r="I337" s="90">
        <v>45998.75980324074</v>
      </c>
    </row>
    <row r="338" ht="14.25" customHeight="1">
      <c r="A338" s="87">
        <v>337.0</v>
      </c>
      <c r="B338" s="88" t="s">
        <v>2012</v>
      </c>
      <c r="C338" s="89">
        <v>1.090622129E9</v>
      </c>
      <c r="D338" s="89" t="str">
        <f t="shared" si="1"/>
        <v>신세라2129</v>
      </c>
      <c r="E338" s="89" t="s">
        <v>5365</v>
      </c>
      <c r="F338" s="90">
        <v>45998.746712962966</v>
      </c>
      <c r="G338" s="88" t="s">
        <v>4805</v>
      </c>
      <c r="H338" s="88" t="s">
        <v>5366</v>
      </c>
      <c r="I338" s="90">
        <v>45998.76123842593</v>
      </c>
    </row>
    <row r="339" ht="14.25" customHeight="1">
      <c r="A339" s="87">
        <v>338.0</v>
      </c>
      <c r="B339" s="88" t="s">
        <v>2919</v>
      </c>
      <c r="C339" s="89">
        <v>1.055785214E9</v>
      </c>
      <c r="D339" s="89" t="str">
        <f t="shared" si="1"/>
        <v>최유숙5214</v>
      </c>
      <c r="E339" s="89" t="s">
        <v>5367</v>
      </c>
      <c r="F339" s="90">
        <v>45998.74555555556</v>
      </c>
      <c r="G339" s="88" t="s">
        <v>4805</v>
      </c>
      <c r="H339" s="88" t="s">
        <v>5368</v>
      </c>
      <c r="I339" s="90">
        <v>45998.76965277778</v>
      </c>
    </row>
    <row r="340" ht="14.25" customHeight="1">
      <c r="A340" s="87">
        <v>339.0</v>
      </c>
      <c r="B340" s="88" t="s">
        <v>5369</v>
      </c>
      <c r="C340" s="89">
        <v>1.03396479E9</v>
      </c>
      <c r="D340" s="89" t="str">
        <f t="shared" si="1"/>
        <v>최광자4790</v>
      </c>
      <c r="E340" s="89" t="s">
        <v>5370</v>
      </c>
      <c r="F340" s="90">
        <v>45998.74190972222</v>
      </c>
      <c r="G340" s="88" t="s">
        <v>4805</v>
      </c>
      <c r="H340" s="88" t="s">
        <v>5371</v>
      </c>
      <c r="I340" s="90">
        <v>45998.74355324074</v>
      </c>
    </row>
    <row r="341" ht="14.25" customHeight="1">
      <c r="A341" s="87">
        <v>340.0</v>
      </c>
      <c r="B341" s="88" t="s">
        <v>2891</v>
      </c>
      <c r="C341" s="89">
        <v>1.096087595E9</v>
      </c>
      <c r="D341" s="89" t="str">
        <f t="shared" si="1"/>
        <v>이은령7595</v>
      </c>
      <c r="E341" s="89" t="s">
        <v>5372</v>
      </c>
      <c r="F341" s="90">
        <v>45998.74025462963</v>
      </c>
      <c r="G341" s="88" t="s">
        <v>4805</v>
      </c>
      <c r="H341" s="88" t="s">
        <v>5373</v>
      </c>
      <c r="I341" s="90">
        <v>45998.74428240741</v>
      </c>
    </row>
    <row r="342" ht="14.25" customHeight="1">
      <c r="A342" s="87">
        <v>341.0</v>
      </c>
      <c r="B342" s="88" t="s">
        <v>2891</v>
      </c>
      <c r="C342" s="89">
        <v>1.096087595E9</v>
      </c>
      <c r="D342" s="89" t="str">
        <f t="shared" si="1"/>
        <v>이은령7595</v>
      </c>
      <c r="E342" s="89" t="s">
        <v>5374</v>
      </c>
      <c r="F342" s="90">
        <v>45998.73806712963</v>
      </c>
      <c r="G342" s="88" t="s">
        <v>4805</v>
      </c>
      <c r="H342" s="88" t="s">
        <v>5375</v>
      </c>
      <c r="I342" s="90">
        <v>45998.740115740744</v>
      </c>
    </row>
    <row r="343" ht="14.25" customHeight="1">
      <c r="A343" s="87">
        <v>342.0</v>
      </c>
      <c r="B343" s="88" t="s">
        <v>4948</v>
      </c>
      <c r="C343" s="89">
        <v>1.036611199E9</v>
      </c>
      <c r="D343" s="89" t="str">
        <f t="shared" si="1"/>
        <v>박채빈1199</v>
      </c>
      <c r="E343" s="89" t="s">
        <v>5376</v>
      </c>
      <c r="F343" s="90">
        <v>45998.73474537037</v>
      </c>
      <c r="G343" s="88" t="s">
        <v>4805</v>
      </c>
      <c r="H343" s="88" t="s">
        <v>5377</v>
      </c>
      <c r="I343" s="90">
        <v>45998.73913194444</v>
      </c>
    </row>
    <row r="344" ht="14.25" customHeight="1">
      <c r="A344" s="87">
        <v>343.0</v>
      </c>
      <c r="B344" s="88" t="s">
        <v>1261</v>
      </c>
      <c r="C344" s="89">
        <v>1.022918075E9</v>
      </c>
      <c r="D344" s="89" t="str">
        <f t="shared" si="1"/>
        <v>정은정8075</v>
      </c>
      <c r="E344" s="89" t="s">
        <v>5378</v>
      </c>
      <c r="F344" s="90">
        <v>45998.73275462963</v>
      </c>
      <c r="G344" s="88" t="s">
        <v>4805</v>
      </c>
      <c r="H344" s="88" t="s">
        <v>5379</v>
      </c>
      <c r="I344" s="90">
        <v>45998.75094907408</v>
      </c>
    </row>
    <row r="345" ht="14.25" customHeight="1">
      <c r="A345" s="87">
        <v>344.0</v>
      </c>
      <c r="B345" s="88" t="s">
        <v>2360</v>
      </c>
      <c r="C345" s="89">
        <v>1.091425493E9</v>
      </c>
      <c r="D345" s="89" t="str">
        <f t="shared" si="1"/>
        <v>김성혜5493</v>
      </c>
      <c r="E345" s="89" t="s">
        <v>5380</v>
      </c>
      <c r="F345" s="90">
        <v>45998.73074074074</v>
      </c>
      <c r="G345" s="88" t="s">
        <v>4805</v>
      </c>
      <c r="H345" s="88" t="s">
        <v>5381</v>
      </c>
      <c r="I345" s="90">
        <v>45998.734293981484</v>
      </c>
    </row>
    <row r="346" ht="14.25" customHeight="1">
      <c r="A346" s="87">
        <v>345.0</v>
      </c>
      <c r="B346" s="88" t="s">
        <v>3351</v>
      </c>
      <c r="C346" s="89">
        <v>1.037149091E9</v>
      </c>
      <c r="D346" s="89" t="str">
        <f t="shared" si="1"/>
        <v>신동건9091</v>
      </c>
      <c r="E346" s="89" t="s">
        <v>5382</v>
      </c>
      <c r="F346" s="90">
        <v>45998.730625</v>
      </c>
      <c r="G346" s="88" t="s">
        <v>4805</v>
      </c>
      <c r="H346" s="88" t="s">
        <v>5381</v>
      </c>
      <c r="I346" s="90">
        <v>45998.73446759259</v>
      </c>
    </row>
    <row r="347" ht="14.25" customHeight="1">
      <c r="A347" s="87">
        <v>346.0</v>
      </c>
      <c r="B347" s="88" t="s">
        <v>5369</v>
      </c>
      <c r="C347" s="89">
        <v>1.03396479E9</v>
      </c>
      <c r="D347" s="89" t="str">
        <f t="shared" si="1"/>
        <v>최광자4790</v>
      </c>
      <c r="E347" s="89" t="s">
        <v>5383</v>
      </c>
      <c r="F347" s="90">
        <v>45998.73001157407</v>
      </c>
      <c r="G347" s="88" t="s">
        <v>4805</v>
      </c>
      <c r="H347" s="88" t="s">
        <v>5384</v>
      </c>
      <c r="I347" s="90">
        <v>45998.735347222224</v>
      </c>
    </row>
    <row r="348" ht="14.25" customHeight="1">
      <c r="A348" s="87">
        <v>347.0</v>
      </c>
      <c r="B348" s="88" t="s">
        <v>2919</v>
      </c>
      <c r="C348" s="89">
        <v>1.055785214E9</v>
      </c>
      <c r="D348" s="89" t="str">
        <f t="shared" si="1"/>
        <v>최유숙5214</v>
      </c>
      <c r="E348" s="89" t="s">
        <v>5385</v>
      </c>
      <c r="F348" s="90">
        <v>45998.72741898148</v>
      </c>
      <c r="G348" s="88" t="s">
        <v>4805</v>
      </c>
      <c r="H348" s="88" t="s">
        <v>5386</v>
      </c>
      <c r="I348" s="90">
        <v>45998.73704861111</v>
      </c>
    </row>
    <row r="349" ht="14.25" customHeight="1">
      <c r="A349" s="87">
        <v>348.0</v>
      </c>
      <c r="B349" s="88" t="s">
        <v>5369</v>
      </c>
      <c r="C349" s="89">
        <v>1.03396479E9</v>
      </c>
      <c r="D349" s="89" t="str">
        <f t="shared" si="1"/>
        <v>최광자4790</v>
      </c>
      <c r="E349" s="89" t="s">
        <v>5387</v>
      </c>
      <c r="F349" s="90">
        <v>45998.72582175926</v>
      </c>
      <c r="G349" s="88" t="s">
        <v>4805</v>
      </c>
      <c r="H349" s="88" t="s">
        <v>5371</v>
      </c>
      <c r="I349" s="90">
        <v>45998.74084490741</v>
      </c>
    </row>
    <row r="350" ht="14.25" customHeight="1">
      <c r="A350" s="87">
        <v>349.0</v>
      </c>
      <c r="B350" s="88" t="s">
        <v>2784</v>
      </c>
      <c r="C350" s="89">
        <v>1.080199889E9</v>
      </c>
      <c r="D350" s="89" t="str">
        <f t="shared" si="1"/>
        <v>이미희9889</v>
      </c>
      <c r="E350" s="89" t="s">
        <v>5388</v>
      </c>
      <c r="F350" s="90">
        <v>45998.72369212963</v>
      </c>
      <c r="G350" s="88" t="s">
        <v>4805</v>
      </c>
      <c r="H350" s="88" t="s">
        <v>5389</v>
      </c>
      <c r="I350" s="90">
        <v>45998.73863425926</v>
      </c>
    </row>
    <row r="351" ht="14.25" customHeight="1">
      <c r="A351" s="87">
        <v>350.0</v>
      </c>
      <c r="B351" s="88" t="s">
        <v>1679</v>
      </c>
      <c r="C351" s="89">
        <v>1.0239582E9</v>
      </c>
      <c r="D351" s="89" t="str">
        <f t="shared" si="1"/>
        <v>김영순8200</v>
      </c>
      <c r="E351" s="89" t="s">
        <v>5390</v>
      </c>
      <c r="F351" s="90">
        <v>45998.72267361111</v>
      </c>
      <c r="G351" s="88" t="s">
        <v>4805</v>
      </c>
      <c r="H351" s="88" t="s">
        <v>5391</v>
      </c>
      <c r="I351" s="90">
        <v>45998.72655092592</v>
      </c>
    </row>
    <row r="352" ht="14.25" customHeight="1">
      <c r="A352" s="87">
        <v>351.0</v>
      </c>
      <c r="B352" s="88" t="s">
        <v>997</v>
      </c>
      <c r="C352" s="89">
        <v>1.036611199E9</v>
      </c>
      <c r="D352" s="89" t="str">
        <f t="shared" si="1"/>
        <v>김영련1199</v>
      </c>
      <c r="E352" s="89" t="s">
        <v>5392</v>
      </c>
      <c r="F352" s="90">
        <v>45998.71612268518</v>
      </c>
      <c r="G352" s="88" t="s">
        <v>4805</v>
      </c>
      <c r="H352" s="88" t="s">
        <v>5393</v>
      </c>
      <c r="I352" s="90">
        <v>45998.731458333335</v>
      </c>
    </row>
    <row r="353" ht="14.25" customHeight="1">
      <c r="A353" s="87">
        <v>352.0</v>
      </c>
      <c r="B353" s="88" t="s">
        <v>2919</v>
      </c>
      <c r="C353" s="89">
        <v>1.055785214E9</v>
      </c>
      <c r="D353" s="89" t="str">
        <f t="shared" si="1"/>
        <v>최유숙5214</v>
      </c>
      <c r="E353" s="89" t="s">
        <v>5394</v>
      </c>
      <c r="F353" s="90">
        <v>45998.715266203704</v>
      </c>
      <c r="G353" s="88" t="s">
        <v>4805</v>
      </c>
      <c r="H353" s="88" t="s">
        <v>5395</v>
      </c>
      <c r="I353" s="90">
        <v>45998.72891203704</v>
      </c>
    </row>
    <row r="354" ht="14.25" customHeight="1">
      <c r="A354" s="87">
        <v>353.0</v>
      </c>
      <c r="B354" s="88" t="s">
        <v>2511</v>
      </c>
      <c r="C354" s="89">
        <v>1.052325712E9</v>
      </c>
      <c r="D354" s="89" t="str">
        <f t="shared" si="1"/>
        <v>김나영5712</v>
      </c>
      <c r="E354" s="89" t="s">
        <v>5396</v>
      </c>
      <c r="F354" s="90">
        <v>45998.71417824074</v>
      </c>
      <c r="G354" s="88" t="s">
        <v>4805</v>
      </c>
      <c r="H354" s="88" t="s">
        <v>5397</v>
      </c>
      <c r="I354" s="90">
        <v>45998.72025462963</v>
      </c>
    </row>
    <row r="355" ht="14.25" customHeight="1">
      <c r="A355" s="87">
        <v>354.0</v>
      </c>
      <c r="B355" s="88" t="s">
        <v>2520</v>
      </c>
      <c r="C355" s="89">
        <v>1.0301237E9</v>
      </c>
      <c r="D355" s="89" t="str">
        <f t="shared" si="1"/>
        <v>김영숙3700</v>
      </c>
      <c r="E355" s="89" t="s">
        <v>5398</v>
      </c>
      <c r="F355" s="90">
        <v>45998.707974537036</v>
      </c>
      <c r="G355" s="88" t="s">
        <v>4805</v>
      </c>
      <c r="H355" s="88" t="s">
        <v>5391</v>
      </c>
      <c r="I355" s="90">
        <v>45998.72592592592</v>
      </c>
    </row>
    <row r="356" ht="14.25" customHeight="1">
      <c r="A356" s="87">
        <v>355.0</v>
      </c>
      <c r="B356" s="88" t="s">
        <v>2439</v>
      </c>
      <c r="C356" s="89">
        <v>1.062214246E9</v>
      </c>
      <c r="D356" s="89" t="str">
        <f t="shared" si="1"/>
        <v>김지현4246</v>
      </c>
      <c r="E356" s="89" t="s">
        <v>5399</v>
      </c>
      <c r="F356" s="90">
        <v>45998.70575231482</v>
      </c>
      <c r="G356" s="88" t="s">
        <v>4805</v>
      </c>
      <c r="H356" s="88" t="s">
        <v>5400</v>
      </c>
      <c r="I356" s="90">
        <v>45998.74663194444</v>
      </c>
    </row>
    <row r="357" ht="14.25" customHeight="1">
      <c r="A357" s="87">
        <v>356.0</v>
      </c>
      <c r="B357" s="88" t="s">
        <v>1603</v>
      </c>
      <c r="C357" s="89">
        <v>1.062011414E9</v>
      </c>
      <c r="D357" s="89" t="str">
        <f t="shared" si="1"/>
        <v>정두식1414</v>
      </c>
      <c r="E357" s="89" t="s">
        <v>5401</v>
      </c>
      <c r="F357" s="90">
        <v>45998.69385416667</v>
      </c>
      <c r="G357" s="88" t="s">
        <v>4805</v>
      </c>
      <c r="H357" s="88" t="s">
        <v>5402</v>
      </c>
      <c r="I357" s="90">
        <v>45998.74859953704</v>
      </c>
    </row>
    <row r="358" ht="14.25" customHeight="1">
      <c r="A358" s="87">
        <v>357.0</v>
      </c>
      <c r="B358" s="88" t="s">
        <v>1913</v>
      </c>
      <c r="C358" s="89">
        <v>1.09885893E9</v>
      </c>
      <c r="D358" s="89" t="str">
        <f t="shared" si="1"/>
        <v>김민지8930</v>
      </c>
      <c r="E358" s="89" t="s">
        <v>5403</v>
      </c>
      <c r="F358" s="90">
        <v>45998.686261574076</v>
      </c>
      <c r="G358" s="88" t="s">
        <v>4805</v>
      </c>
      <c r="H358" s="88" t="s">
        <v>5404</v>
      </c>
      <c r="I358" s="90">
        <v>45998.746145833335</v>
      </c>
    </row>
    <row r="359" ht="14.25" customHeight="1">
      <c r="A359" s="87">
        <v>358.0</v>
      </c>
      <c r="B359" s="88" t="s">
        <v>2771</v>
      </c>
      <c r="C359" s="89">
        <v>1.042531156E9</v>
      </c>
      <c r="D359" s="89" t="str">
        <f t="shared" si="1"/>
        <v>김은선1156</v>
      </c>
      <c r="E359" s="89" t="s">
        <v>5405</v>
      </c>
      <c r="F359" s="90">
        <v>45998.683657407404</v>
      </c>
      <c r="G359" s="88" t="s">
        <v>4805</v>
      </c>
      <c r="H359" s="88" t="s">
        <v>5406</v>
      </c>
      <c r="I359" s="90">
        <v>45998.74972222222</v>
      </c>
    </row>
    <row r="360" ht="14.25" customHeight="1">
      <c r="A360" s="87">
        <v>359.0</v>
      </c>
      <c r="B360" s="88" t="s">
        <v>3070</v>
      </c>
      <c r="C360" s="89">
        <v>1.096225949E9</v>
      </c>
      <c r="D360" s="89" t="str">
        <f t="shared" si="1"/>
        <v>김성진5949</v>
      </c>
      <c r="E360" s="89" t="s">
        <v>5407</v>
      </c>
      <c r="F360" s="90">
        <v>45998.678506944445</v>
      </c>
      <c r="G360" s="88" t="s">
        <v>4805</v>
      </c>
      <c r="H360" s="88" t="s">
        <v>5408</v>
      </c>
      <c r="I360" s="90">
        <v>45998.74949074074</v>
      </c>
    </row>
    <row r="361" ht="14.25" customHeight="1">
      <c r="A361" s="87">
        <v>360.0</v>
      </c>
      <c r="B361" s="88" t="s">
        <v>1089</v>
      </c>
      <c r="C361" s="89">
        <v>1.054839423E9</v>
      </c>
      <c r="D361" s="89" t="str">
        <f t="shared" si="1"/>
        <v>최수정9423</v>
      </c>
      <c r="E361" s="89" t="s">
        <v>5409</v>
      </c>
      <c r="F361" s="90">
        <v>45998.678194444445</v>
      </c>
      <c r="G361" s="88" t="s">
        <v>4805</v>
      </c>
      <c r="H361" s="88" t="s">
        <v>5410</v>
      </c>
      <c r="I361" s="90">
        <v>45998.69393518518</v>
      </c>
    </row>
    <row r="362" ht="14.25" customHeight="1">
      <c r="A362" s="87">
        <v>361.0</v>
      </c>
      <c r="B362" s="94" t="s">
        <v>2941</v>
      </c>
      <c r="C362" s="89">
        <v>1.039475635E9</v>
      </c>
      <c r="D362" s="89" t="str">
        <f t="shared" si="1"/>
        <v>황경미5635</v>
      </c>
      <c r="E362" s="89" t="s">
        <v>5411</v>
      </c>
      <c r="F362" s="90">
        <v>45998.67642361111</v>
      </c>
      <c r="G362" s="88" t="s">
        <v>4805</v>
      </c>
      <c r="H362" s="88" t="s">
        <v>5412</v>
      </c>
      <c r="I362" s="90">
        <v>45998.750127314815</v>
      </c>
    </row>
    <row r="363" ht="14.25" customHeight="1">
      <c r="A363" s="87">
        <v>362.0</v>
      </c>
      <c r="B363" s="88" t="s">
        <v>2941</v>
      </c>
      <c r="C363" s="89">
        <v>1.039475635E9</v>
      </c>
      <c r="D363" s="89" t="str">
        <f t="shared" si="1"/>
        <v>황경미5635</v>
      </c>
      <c r="E363" s="89" t="s">
        <v>5413</v>
      </c>
      <c r="F363" s="90">
        <v>45998.675578703704</v>
      </c>
      <c r="G363" s="88" t="s">
        <v>4805</v>
      </c>
      <c r="H363" s="88" t="s">
        <v>5414</v>
      </c>
      <c r="I363" s="90">
        <v>45998.707349537035</v>
      </c>
    </row>
    <row r="364" ht="14.25" customHeight="1">
      <c r="A364" s="87">
        <v>363.0</v>
      </c>
      <c r="B364" s="88" t="s">
        <v>3070</v>
      </c>
      <c r="C364" s="89">
        <v>1.096225946E9</v>
      </c>
      <c r="D364" s="89" t="str">
        <f t="shared" si="1"/>
        <v>김성진5946</v>
      </c>
      <c r="E364" s="89" t="s">
        <v>5415</v>
      </c>
      <c r="F364" s="90">
        <v>45998.67302083333</v>
      </c>
      <c r="G364" s="88" t="s">
        <v>4805</v>
      </c>
      <c r="H364" s="88" t="s">
        <v>5416</v>
      </c>
      <c r="I364" s="90">
        <v>45998.678032407406</v>
      </c>
    </row>
    <row r="365" ht="14.25" customHeight="1">
      <c r="A365" s="87">
        <v>364.0</v>
      </c>
      <c r="B365" s="88" t="s">
        <v>5417</v>
      </c>
      <c r="C365" s="89">
        <v>1.042448494E9</v>
      </c>
      <c r="D365" s="89" t="str">
        <f t="shared" si="1"/>
        <v>정연순8494</v>
      </c>
      <c r="E365" s="89" t="s">
        <v>5418</v>
      </c>
      <c r="F365" s="90">
        <v>45998.672164351854</v>
      </c>
      <c r="G365" s="88" t="s">
        <v>4805</v>
      </c>
      <c r="H365" s="88" t="s">
        <v>5419</v>
      </c>
      <c r="I365" s="90">
        <v>45998.678125</v>
      </c>
    </row>
    <row r="366" ht="14.25" customHeight="1">
      <c r="A366" s="87">
        <v>365.0</v>
      </c>
      <c r="B366" s="88" t="s">
        <v>1089</v>
      </c>
      <c r="C366" s="89">
        <v>1.054839423E9</v>
      </c>
      <c r="D366" s="89" t="str">
        <f t="shared" si="1"/>
        <v>최수정9423</v>
      </c>
      <c r="E366" s="89" t="s">
        <v>5420</v>
      </c>
      <c r="F366" s="90">
        <v>45998.66847222222</v>
      </c>
      <c r="G366" s="88" t="s">
        <v>4805</v>
      </c>
      <c r="H366" s="88" t="s">
        <v>5421</v>
      </c>
      <c r="I366" s="90">
        <v>45998.67835648148</v>
      </c>
    </row>
    <row r="367" ht="14.25" customHeight="1">
      <c r="A367" s="87">
        <v>366.0</v>
      </c>
      <c r="B367" s="88" t="s">
        <v>3859</v>
      </c>
      <c r="C367" s="89">
        <v>1.090112527E9</v>
      </c>
      <c r="D367" s="89" t="str">
        <f t="shared" si="1"/>
        <v>이재민2527</v>
      </c>
      <c r="E367" s="89" t="s">
        <v>5422</v>
      </c>
      <c r="F367" s="90">
        <v>45998.6671412037</v>
      </c>
      <c r="G367" s="88" t="s">
        <v>4805</v>
      </c>
      <c r="H367" s="88" t="s">
        <v>5423</v>
      </c>
      <c r="I367" s="90">
        <v>45998.678506944445</v>
      </c>
    </row>
    <row r="368" ht="14.25" customHeight="1">
      <c r="A368" s="87">
        <v>367.0</v>
      </c>
      <c r="B368" s="88" t="s">
        <v>3472</v>
      </c>
      <c r="C368" s="89">
        <v>1.052577817E9</v>
      </c>
      <c r="D368" s="89" t="str">
        <f t="shared" si="1"/>
        <v>이명진7817</v>
      </c>
      <c r="E368" s="89" t="s">
        <v>5424</v>
      </c>
      <c r="F368" s="90">
        <v>45998.65837962963</v>
      </c>
      <c r="G368" s="88" t="s">
        <v>4805</v>
      </c>
      <c r="H368" s="88" t="s">
        <v>5425</v>
      </c>
      <c r="I368" s="90">
        <v>45998.672060185185</v>
      </c>
    </row>
    <row r="369" ht="14.25" customHeight="1">
      <c r="A369" s="87">
        <v>368.0</v>
      </c>
      <c r="B369" s="88" t="s">
        <v>2763</v>
      </c>
      <c r="C369" s="89">
        <v>1.055313799E9</v>
      </c>
      <c r="D369" s="89" t="str">
        <f t="shared" si="1"/>
        <v>지은아3799</v>
      </c>
      <c r="E369" s="89" t="s">
        <v>5426</v>
      </c>
      <c r="F369" s="90">
        <v>45998.65798611111</v>
      </c>
      <c r="G369" s="88" t="s">
        <v>4805</v>
      </c>
      <c r="H369" s="88" t="s">
        <v>5427</v>
      </c>
      <c r="I369" s="90">
        <v>45998.67896990741</v>
      </c>
    </row>
    <row r="370" ht="14.25" customHeight="1">
      <c r="A370" s="87">
        <v>369.0</v>
      </c>
      <c r="B370" s="88" t="s">
        <v>2474</v>
      </c>
      <c r="C370" s="89">
        <v>1.095979412E9</v>
      </c>
      <c r="D370" s="89" t="str">
        <f t="shared" si="1"/>
        <v>홍효정9412</v>
      </c>
      <c r="E370" s="89" t="s">
        <v>5428</v>
      </c>
      <c r="F370" s="90">
        <v>45998.64952546296</v>
      </c>
      <c r="G370" s="88" t="s">
        <v>4805</v>
      </c>
      <c r="H370" s="88" t="s">
        <v>5429</v>
      </c>
      <c r="I370" s="90">
        <v>45998.76689814815</v>
      </c>
    </row>
    <row r="371" ht="14.25" customHeight="1">
      <c r="A371" s="87">
        <v>370.0</v>
      </c>
      <c r="B371" s="88" t="s">
        <v>3445</v>
      </c>
      <c r="C371" s="89">
        <v>1.05400954E9</v>
      </c>
      <c r="D371" s="89" t="str">
        <f t="shared" si="1"/>
        <v>윤종분9540</v>
      </c>
      <c r="E371" s="89" t="s">
        <v>5430</v>
      </c>
      <c r="F371" s="90">
        <v>45998.648935185185</v>
      </c>
      <c r="G371" s="88" t="s">
        <v>4805</v>
      </c>
      <c r="H371" s="88" t="s">
        <v>5431</v>
      </c>
      <c r="I371" s="90">
        <v>45998.67917824074</v>
      </c>
    </row>
    <row r="372" ht="14.25" customHeight="1">
      <c r="A372" s="87">
        <v>371.0</v>
      </c>
      <c r="B372" s="88" t="s">
        <v>2980</v>
      </c>
      <c r="C372" s="89">
        <v>1.046967534E9</v>
      </c>
      <c r="D372" s="89" t="str">
        <f t="shared" si="1"/>
        <v>고은주7534</v>
      </c>
      <c r="E372" s="89" t="s">
        <v>5432</v>
      </c>
      <c r="F372" s="90">
        <v>45998.64881944445</v>
      </c>
      <c r="G372" s="88" t="s">
        <v>4805</v>
      </c>
      <c r="H372" s="88" t="s">
        <v>5433</v>
      </c>
      <c r="I372" s="90">
        <v>45998.67940972222</v>
      </c>
    </row>
    <row r="373" ht="14.25" customHeight="1">
      <c r="A373" s="87">
        <v>372.0</v>
      </c>
      <c r="B373" s="88" t="s">
        <v>2919</v>
      </c>
      <c r="C373" s="89">
        <v>1.055785214E9</v>
      </c>
      <c r="D373" s="89" t="str">
        <f t="shared" si="1"/>
        <v>최유숙5214</v>
      </c>
      <c r="E373" s="89" t="s">
        <v>5434</v>
      </c>
      <c r="F373" s="90">
        <v>45998.648668981485</v>
      </c>
      <c r="G373" s="88" t="s">
        <v>4805</v>
      </c>
      <c r="H373" s="88" t="s">
        <v>5435</v>
      </c>
      <c r="I373" s="90">
        <v>45998.679560185185</v>
      </c>
    </row>
    <row r="374" ht="14.25" customHeight="1">
      <c r="A374" s="87">
        <v>373.0</v>
      </c>
      <c r="B374" s="88" t="s">
        <v>1402</v>
      </c>
      <c r="C374" s="89">
        <v>1.036256534E9</v>
      </c>
      <c r="D374" s="89" t="str">
        <f t="shared" si="1"/>
        <v>임희경6534</v>
      </c>
      <c r="E374" s="89" t="s">
        <v>5436</v>
      </c>
      <c r="F374" s="90">
        <v>45998.6440625</v>
      </c>
      <c r="G374" s="88" t="s">
        <v>4805</v>
      </c>
      <c r="H374" s="88" t="s">
        <v>5437</v>
      </c>
      <c r="I374" s="90">
        <v>45998.86949074074</v>
      </c>
    </row>
    <row r="375" ht="14.25" customHeight="1">
      <c r="A375" s="87">
        <v>374.0</v>
      </c>
      <c r="B375" s="88" t="s">
        <v>2943</v>
      </c>
      <c r="C375" s="89">
        <v>1.056146218E9</v>
      </c>
      <c r="D375" s="89" t="str">
        <f t="shared" si="1"/>
        <v>황규동6218</v>
      </c>
      <c r="E375" s="89" t="s">
        <v>5438</v>
      </c>
      <c r="F375" s="90">
        <v>45998.64273148148</v>
      </c>
      <c r="G375" s="88" t="s">
        <v>4805</v>
      </c>
      <c r="H375" s="88" t="s">
        <v>5439</v>
      </c>
      <c r="I375" s="90">
        <v>45998.68005787037</v>
      </c>
    </row>
    <row r="376" ht="14.25" customHeight="1">
      <c r="A376" s="87">
        <v>375.0</v>
      </c>
      <c r="B376" s="88" t="s">
        <v>1402</v>
      </c>
      <c r="C376" s="89">
        <v>1.050048879E9</v>
      </c>
      <c r="D376" s="89" t="str">
        <f t="shared" si="1"/>
        <v>임희경8879</v>
      </c>
      <c r="E376" s="89" t="s">
        <v>5440</v>
      </c>
      <c r="F376" s="90">
        <v>45998.64032407408</v>
      </c>
      <c r="G376" s="88" t="s">
        <v>4805</v>
      </c>
      <c r="H376" s="88" t="s">
        <v>5441</v>
      </c>
      <c r="I376" s="90">
        <v>45998.64726851852</v>
      </c>
    </row>
    <row r="377" ht="14.25" customHeight="1">
      <c r="A377" s="87">
        <v>376.0</v>
      </c>
      <c r="B377" s="88" t="s">
        <v>1722</v>
      </c>
      <c r="C377" s="89">
        <v>1.082621814E9</v>
      </c>
      <c r="D377" s="89" t="str">
        <f t="shared" si="1"/>
        <v>김정미1814</v>
      </c>
      <c r="E377" s="89" t="s">
        <v>5442</v>
      </c>
      <c r="F377" s="90">
        <v>45998.62949074074</v>
      </c>
      <c r="G377" s="88" t="s">
        <v>4805</v>
      </c>
      <c r="H377" s="89" t="s">
        <v>5443</v>
      </c>
      <c r="I377" s="90">
        <v>45998.648622685185</v>
      </c>
    </row>
    <row r="378" ht="14.25" customHeight="1">
      <c r="A378" s="87">
        <v>377.0</v>
      </c>
      <c r="B378" s="88" t="s">
        <v>3415</v>
      </c>
      <c r="C378" s="89">
        <v>1.057313487E9</v>
      </c>
      <c r="D378" s="89" t="str">
        <f t="shared" si="1"/>
        <v>오순희3487</v>
      </c>
      <c r="E378" s="89" t="s">
        <v>5444</v>
      </c>
      <c r="F378" s="90">
        <v>45998.626539351855</v>
      </c>
      <c r="G378" s="88" t="s">
        <v>4805</v>
      </c>
      <c r="H378" s="88" t="s">
        <v>5445</v>
      </c>
      <c r="I378" s="90">
        <v>45998.65733796296</v>
      </c>
    </row>
    <row r="379" ht="14.25" customHeight="1">
      <c r="A379" s="87">
        <v>378.0</v>
      </c>
      <c r="B379" s="88" t="s">
        <v>2933</v>
      </c>
      <c r="C379" s="89">
        <v>1.092866206E9</v>
      </c>
      <c r="D379" s="89" t="str">
        <f t="shared" si="1"/>
        <v>한혜정6206</v>
      </c>
      <c r="E379" s="89" t="s">
        <v>5446</v>
      </c>
      <c r="F379" s="90">
        <v>45998.62449074074</v>
      </c>
      <c r="G379" s="88" t="s">
        <v>4805</v>
      </c>
      <c r="H379" s="88" t="s">
        <v>5447</v>
      </c>
      <c r="I379" s="90">
        <v>45998.638645833336</v>
      </c>
    </row>
    <row r="380" ht="14.25" customHeight="1">
      <c r="A380" s="87">
        <v>379.0</v>
      </c>
      <c r="B380" s="88" t="s">
        <v>5448</v>
      </c>
      <c r="C380" s="89">
        <v>1.079791684E9</v>
      </c>
      <c r="D380" s="89" t="str">
        <f t="shared" si="1"/>
        <v>최경숙1684</v>
      </c>
      <c r="E380" s="89" t="s">
        <v>5449</v>
      </c>
      <c r="F380" s="90">
        <v>45998.62436342592</v>
      </c>
      <c r="G380" s="88" t="s">
        <v>4805</v>
      </c>
      <c r="H380" s="88" t="s">
        <v>5450</v>
      </c>
      <c r="I380" s="90">
        <v>45998.66239583334</v>
      </c>
    </row>
    <row r="381" ht="14.25" customHeight="1">
      <c r="A381" s="87">
        <v>380.0</v>
      </c>
      <c r="B381" s="88" t="s">
        <v>5451</v>
      </c>
      <c r="C381" s="89">
        <v>1.094939203E9</v>
      </c>
      <c r="D381" s="89" t="str">
        <f t="shared" si="1"/>
        <v>홍진우9203</v>
      </c>
      <c r="E381" s="89" t="s">
        <v>5452</v>
      </c>
      <c r="F381" s="90">
        <v>45998.62222222222</v>
      </c>
      <c r="G381" s="88" t="s">
        <v>4805</v>
      </c>
      <c r="H381" s="88" t="s">
        <v>5453</v>
      </c>
      <c r="I381" s="90">
        <v>45998.6237962963</v>
      </c>
    </row>
    <row r="382" ht="14.25" customHeight="1">
      <c r="A382" s="87">
        <v>381.0</v>
      </c>
      <c r="B382" s="88" t="s">
        <v>2658</v>
      </c>
      <c r="C382" s="89">
        <v>1.085023448E9</v>
      </c>
      <c r="D382" s="89" t="str">
        <f t="shared" si="1"/>
        <v>강성미3448</v>
      </c>
      <c r="E382" s="89" t="s">
        <v>5454</v>
      </c>
      <c r="F382" s="90">
        <v>45998.61314814815</v>
      </c>
      <c r="G382" s="88" t="s">
        <v>4805</v>
      </c>
      <c r="H382" s="88" t="s">
        <v>5455</v>
      </c>
      <c r="I382" s="90">
        <v>45998.621400462966</v>
      </c>
    </row>
    <row r="383" ht="14.25" customHeight="1">
      <c r="A383" s="87">
        <v>382.0</v>
      </c>
      <c r="B383" s="88" t="s">
        <v>4548</v>
      </c>
      <c r="C383" s="89">
        <v>1.086827188E9</v>
      </c>
      <c r="D383" s="89" t="str">
        <f t="shared" si="1"/>
        <v>신귀순7188</v>
      </c>
      <c r="E383" s="89" t="s">
        <v>5456</v>
      </c>
      <c r="F383" s="90">
        <v>45998.612905092596</v>
      </c>
      <c r="G383" s="88" t="s">
        <v>4805</v>
      </c>
      <c r="H383" s="88" t="s">
        <v>5457</v>
      </c>
      <c r="I383" s="90">
        <v>45998.64210648148</v>
      </c>
    </row>
    <row r="384" ht="14.25" customHeight="1">
      <c r="A384" s="87">
        <v>383.0</v>
      </c>
      <c r="B384" s="88" t="s">
        <v>4548</v>
      </c>
      <c r="C384" s="89">
        <v>1.086827188E9</v>
      </c>
      <c r="D384" s="89" t="str">
        <f t="shared" si="1"/>
        <v>신귀순7188</v>
      </c>
      <c r="E384" s="89" t="s">
        <v>5458</v>
      </c>
      <c r="F384" s="90">
        <v>45998.61137731482</v>
      </c>
      <c r="G384" s="88" t="s">
        <v>4805</v>
      </c>
      <c r="H384" s="88" t="s">
        <v>5459</v>
      </c>
      <c r="I384" s="90">
        <v>45998.65993055556</v>
      </c>
    </row>
    <row r="385" ht="14.25" customHeight="1">
      <c r="A385" s="87">
        <v>384.0</v>
      </c>
      <c r="B385" s="88" t="s">
        <v>2355</v>
      </c>
      <c r="C385" s="89">
        <v>1.041793585E9</v>
      </c>
      <c r="D385" s="89" t="str">
        <f t="shared" si="1"/>
        <v>김희정3585</v>
      </c>
      <c r="E385" s="89" t="s">
        <v>5460</v>
      </c>
      <c r="F385" s="90">
        <v>45998.597233796296</v>
      </c>
      <c r="G385" s="88" t="s">
        <v>4805</v>
      </c>
      <c r="H385" s="88" t="s">
        <v>5461</v>
      </c>
      <c r="I385" s="90">
        <v>45998.66334490741</v>
      </c>
    </row>
    <row r="386" ht="14.25" customHeight="1">
      <c r="A386" s="87">
        <v>385.0</v>
      </c>
      <c r="B386" s="88" t="s">
        <v>2790</v>
      </c>
      <c r="C386" s="89">
        <v>1.094432942E9</v>
      </c>
      <c r="D386" s="89" t="str">
        <f t="shared" si="1"/>
        <v>정해숙2942</v>
      </c>
      <c r="E386" s="89" t="s">
        <v>5462</v>
      </c>
      <c r="F386" s="90">
        <v>45998.58509259259</v>
      </c>
      <c r="G386" s="88" t="s">
        <v>4805</v>
      </c>
      <c r="H386" s="88" t="s">
        <v>5463</v>
      </c>
      <c r="I386" s="90">
        <v>45998.59517361111</v>
      </c>
    </row>
    <row r="387" ht="14.25" customHeight="1">
      <c r="A387" s="87">
        <v>386.0</v>
      </c>
      <c r="B387" s="88" t="s">
        <v>3788</v>
      </c>
      <c r="C387" s="89">
        <v>1.021821227E9</v>
      </c>
      <c r="D387" s="89" t="str">
        <f t="shared" si="1"/>
        <v>홍지희1227</v>
      </c>
      <c r="E387" s="89" t="s">
        <v>5464</v>
      </c>
      <c r="F387" s="90">
        <v>45998.58474537037</v>
      </c>
      <c r="G387" s="88" t="s">
        <v>4805</v>
      </c>
      <c r="H387" s="88" t="s">
        <v>5465</v>
      </c>
      <c r="I387" s="90">
        <v>45998.59491898148</v>
      </c>
    </row>
    <row r="388" ht="14.25" customHeight="1">
      <c r="A388" s="87">
        <v>387.0</v>
      </c>
      <c r="B388" s="88" t="s">
        <v>3788</v>
      </c>
      <c r="C388" s="89">
        <v>1.021821227E9</v>
      </c>
      <c r="D388" s="89" t="str">
        <f t="shared" si="1"/>
        <v>홍지희1227</v>
      </c>
      <c r="E388" s="89" t="s">
        <v>5466</v>
      </c>
      <c r="F388" s="90">
        <v>45998.58133101852</v>
      </c>
      <c r="G388" s="88" t="s">
        <v>4805</v>
      </c>
      <c r="H388" s="88" t="s">
        <v>5465</v>
      </c>
      <c r="I388" s="90">
        <v>45998.59488425926</v>
      </c>
    </row>
    <row r="389" ht="14.25" customHeight="1">
      <c r="A389" s="87">
        <v>388.0</v>
      </c>
      <c r="B389" s="88" t="s">
        <v>2780</v>
      </c>
      <c r="C389" s="89">
        <v>1.09535201E9</v>
      </c>
      <c r="D389" s="89" t="str">
        <f t="shared" si="1"/>
        <v>윤민아2010</v>
      </c>
      <c r="E389" s="89" t="s">
        <v>5467</v>
      </c>
      <c r="F389" s="90">
        <v>45998.580034722225</v>
      </c>
      <c r="G389" s="88" t="s">
        <v>4805</v>
      </c>
      <c r="H389" s="88" t="s">
        <v>5468</v>
      </c>
      <c r="I389" s="90">
        <v>45998.75087962963</v>
      </c>
    </row>
    <row r="390" ht="14.25" customHeight="1">
      <c r="A390" s="87">
        <v>389.0</v>
      </c>
      <c r="B390" s="88" t="s">
        <v>3087</v>
      </c>
      <c r="C390" s="89">
        <v>1.053212928E9</v>
      </c>
      <c r="D390" s="89" t="str">
        <f t="shared" si="1"/>
        <v>김순애2928</v>
      </c>
      <c r="E390" s="89" t="s">
        <v>5469</v>
      </c>
      <c r="F390" s="90">
        <v>45998.57412037037</v>
      </c>
      <c r="G390" s="88" t="s">
        <v>4805</v>
      </c>
      <c r="H390" s="88" t="s">
        <v>5470</v>
      </c>
      <c r="I390" s="90">
        <v>45998.595358796294</v>
      </c>
    </row>
    <row r="391" ht="14.25" customHeight="1">
      <c r="A391" s="87">
        <v>390.0</v>
      </c>
      <c r="B391" s="88" t="s">
        <v>1693</v>
      </c>
      <c r="C391" s="89">
        <v>1.046261023E9</v>
      </c>
      <c r="D391" s="89" t="str">
        <f t="shared" si="1"/>
        <v>이현정1023</v>
      </c>
      <c r="E391" s="89" t="s">
        <v>5471</v>
      </c>
      <c r="F391" s="90">
        <v>45998.57320601852</v>
      </c>
      <c r="G391" s="88" t="s">
        <v>4805</v>
      </c>
      <c r="H391" s="88" t="s">
        <v>5472</v>
      </c>
      <c r="I391" s="90">
        <v>45998.87496527778</v>
      </c>
    </row>
    <row r="392" ht="14.25" customHeight="1">
      <c r="A392" s="87">
        <v>391.0</v>
      </c>
      <c r="B392" s="88" t="s">
        <v>5473</v>
      </c>
      <c r="C392" s="89">
        <v>1.025412672E9</v>
      </c>
      <c r="D392" s="89" t="str">
        <f t="shared" si="1"/>
        <v>유수민2672</v>
      </c>
      <c r="E392" s="89" t="s">
        <v>5474</v>
      </c>
      <c r="F392" s="90">
        <v>45998.56903935185</v>
      </c>
      <c r="G392" s="88" t="s">
        <v>4805</v>
      </c>
      <c r="H392" s="88" t="s">
        <v>5475</v>
      </c>
      <c r="I392" s="90">
        <v>45998.665243055555</v>
      </c>
    </row>
    <row r="393" ht="14.25" customHeight="1">
      <c r="A393" s="87">
        <v>392.0</v>
      </c>
      <c r="B393" s="88" t="s">
        <v>3263</v>
      </c>
      <c r="C393" s="89">
        <v>1.037063343E9</v>
      </c>
      <c r="D393" s="89" t="str">
        <f t="shared" si="1"/>
        <v>박용옥3343</v>
      </c>
      <c r="E393" s="89" t="s">
        <v>5476</v>
      </c>
      <c r="F393" s="90">
        <v>45998.56854166667</v>
      </c>
      <c r="G393" s="88" t="s">
        <v>4805</v>
      </c>
      <c r="H393" s="88" t="s">
        <v>5477</v>
      </c>
      <c r="I393" s="90">
        <v>45998.59553240741</v>
      </c>
    </row>
    <row r="394" ht="14.25" customHeight="1">
      <c r="A394" s="87">
        <v>393.0</v>
      </c>
      <c r="B394" s="88" t="s">
        <v>1733</v>
      </c>
      <c r="C394" s="89">
        <v>1.037511846E9</v>
      </c>
      <c r="D394" s="89" t="str">
        <f t="shared" si="1"/>
        <v>이지현1846</v>
      </c>
      <c r="E394" s="89" t="s">
        <v>5478</v>
      </c>
      <c r="F394" s="90">
        <v>45998.56413194445</v>
      </c>
      <c r="G394" s="88" t="s">
        <v>4805</v>
      </c>
      <c r="H394" s="88" t="s">
        <v>5479</v>
      </c>
      <c r="I394" s="90">
        <v>45998.59564814815</v>
      </c>
    </row>
    <row r="395" ht="14.25" customHeight="1">
      <c r="A395" s="87">
        <v>394.0</v>
      </c>
      <c r="B395" s="88" t="s">
        <v>5480</v>
      </c>
      <c r="C395" s="89">
        <v>1.063735204E9</v>
      </c>
      <c r="D395" s="89" t="str">
        <f t="shared" si="1"/>
        <v>조현우5204</v>
      </c>
      <c r="E395" s="89" t="s">
        <v>5481</v>
      </c>
      <c r="F395" s="90">
        <v>45998.56322916667</v>
      </c>
      <c r="G395" s="88" t="s">
        <v>4805</v>
      </c>
      <c r="H395" s="88" t="s">
        <v>5482</v>
      </c>
      <c r="I395" s="90">
        <v>45998.59619212963</v>
      </c>
    </row>
    <row r="396" ht="14.25" customHeight="1">
      <c r="A396" s="87">
        <v>395.0</v>
      </c>
      <c r="B396" s="88" t="s">
        <v>2376</v>
      </c>
      <c r="C396" s="89">
        <v>1.02905697E9</v>
      </c>
      <c r="D396" s="89" t="str">
        <f t="shared" si="1"/>
        <v>고민경6970</v>
      </c>
      <c r="E396" s="89" t="s">
        <v>5483</v>
      </c>
      <c r="F396" s="90">
        <v>45998.55841435185</v>
      </c>
      <c r="G396" s="88" t="s">
        <v>4805</v>
      </c>
      <c r="H396" s="88" t="s">
        <v>5484</v>
      </c>
      <c r="I396" s="90">
        <v>45998.59633101852</v>
      </c>
    </row>
    <row r="397" ht="14.25" customHeight="1">
      <c r="A397" s="87">
        <v>396.0</v>
      </c>
      <c r="B397" s="88" t="s">
        <v>1082</v>
      </c>
      <c r="C397" s="89">
        <v>1.038447139E9</v>
      </c>
      <c r="D397" s="89" t="str">
        <f t="shared" si="1"/>
        <v>김소옥7139</v>
      </c>
      <c r="E397" s="89" t="s">
        <v>5485</v>
      </c>
      <c r="F397" s="90">
        <v>45998.55840277778</v>
      </c>
      <c r="G397" s="88" t="s">
        <v>4805</v>
      </c>
      <c r="H397" s="88" t="s">
        <v>5486</v>
      </c>
      <c r="I397" s="90">
        <v>45998.59649305556</v>
      </c>
    </row>
    <row r="398" ht="14.25" customHeight="1">
      <c r="A398" s="87">
        <v>397.0</v>
      </c>
      <c r="B398" s="88" t="s">
        <v>4548</v>
      </c>
      <c r="C398" s="89">
        <v>1.086827188E9</v>
      </c>
      <c r="D398" s="89" t="str">
        <f t="shared" si="1"/>
        <v>신귀순7188</v>
      </c>
      <c r="E398" s="89" t="s">
        <v>5487</v>
      </c>
      <c r="F398" s="90">
        <v>45998.55670138889</v>
      </c>
      <c r="G398" s="88" t="s">
        <v>4805</v>
      </c>
      <c r="H398" s="88" t="s">
        <v>5488</v>
      </c>
      <c r="I398" s="90">
        <v>45998.59675925926</v>
      </c>
    </row>
    <row r="399" ht="14.25" customHeight="1">
      <c r="A399" s="87">
        <v>398.0</v>
      </c>
      <c r="B399" s="88" t="s">
        <v>1693</v>
      </c>
      <c r="C399" s="89">
        <v>1.046261023E9</v>
      </c>
      <c r="D399" s="89" t="str">
        <f t="shared" si="1"/>
        <v>이현정1023</v>
      </c>
      <c r="E399" s="89" t="s">
        <v>5489</v>
      </c>
      <c r="F399" s="90">
        <v>45998.554918981485</v>
      </c>
      <c r="G399" s="88" t="s">
        <v>4805</v>
      </c>
      <c r="H399" s="88" t="s">
        <v>5490</v>
      </c>
      <c r="I399" s="90">
        <v>45998.872349537036</v>
      </c>
    </row>
    <row r="400" ht="14.25" customHeight="1">
      <c r="A400" s="87">
        <v>399.0</v>
      </c>
      <c r="B400" s="88" t="s">
        <v>2163</v>
      </c>
      <c r="C400" s="89">
        <v>1.088441559E9</v>
      </c>
      <c r="D400" s="89" t="str">
        <f t="shared" si="1"/>
        <v>박현민1559</v>
      </c>
      <c r="E400" s="89" t="s">
        <v>5491</v>
      </c>
      <c r="F400" s="90">
        <v>45998.550625</v>
      </c>
      <c r="G400" s="88" t="s">
        <v>4805</v>
      </c>
      <c r="H400" s="88" t="s">
        <v>5492</v>
      </c>
      <c r="I400" s="90">
        <v>45998.665821759256</v>
      </c>
    </row>
    <row r="401" ht="14.25" customHeight="1">
      <c r="A401" s="87">
        <v>400.0</v>
      </c>
      <c r="B401" s="88" t="s">
        <v>4569</v>
      </c>
      <c r="C401" s="89">
        <v>1.044027173E9</v>
      </c>
      <c r="D401" s="89" t="str">
        <f t="shared" si="1"/>
        <v>홍수민7173</v>
      </c>
      <c r="E401" s="89" t="s">
        <v>5493</v>
      </c>
      <c r="F401" s="90">
        <v>45998.550416666665</v>
      </c>
      <c r="G401" s="88" t="s">
        <v>4805</v>
      </c>
      <c r="H401" s="88" t="s">
        <v>5494</v>
      </c>
      <c r="I401" s="90">
        <v>45998.87435185185</v>
      </c>
    </row>
    <row r="402" ht="14.25" customHeight="1">
      <c r="A402" s="87">
        <v>401.0</v>
      </c>
      <c r="B402" s="88" t="s">
        <v>5495</v>
      </c>
      <c r="C402" s="89">
        <v>1.089913876E9</v>
      </c>
      <c r="D402" s="89" t="str">
        <f t="shared" si="1"/>
        <v>채연희3876</v>
      </c>
      <c r="E402" s="89" t="s">
        <v>5496</v>
      </c>
      <c r="F402" s="90">
        <v>45998.54550925926</v>
      </c>
      <c r="G402" s="88" t="s">
        <v>4805</v>
      </c>
      <c r="H402" s="88" t="s">
        <v>5497</v>
      </c>
      <c r="I402" s="90">
        <v>45998.6769212963</v>
      </c>
    </row>
    <row r="403" ht="14.25" customHeight="1">
      <c r="A403" s="87">
        <v>402.0</v>
      </c>
      <c r="B403" s="88" t="s">
        <v>1627</v>
      </c>
      <c r="C403" s="89">
        <v>1.080220409E9</v>
      </c>
      <c r="D403" s="89" t="str">
        <f t="shared" si="1"/>
        <v>김미0409</v>
      </c>
      <c r="E403" s="89" t="s">
        <v>5498</v>
      </c>
      <c r="F403" s="90">
        <v>45998.544583333336</v>
      </c>
      <c r="G403" s="88" t="s">
        <v>4805</v>
      </c>
      <c r="H403" s="88" t="s">
        <v>5499</v>
      </c>
      <c r="I403" s="90">
        <v>45998.75141203704</v>
      </c>
    </row>
    <row r="404" ht="14.25" customHeight="1">
      <c r="A404" s="87">
        <v>403.0</v>
      </c>
      <c r="B404" s="88" t="s">
        <v>5054</v>
      </c>
      <c r="C404" s="89">
        <v>1.052632139E9</v>
      </c>
      <c r="D404" s="89" t="str">
        <f t="shared" si="1"/>
        <v>이중빈2139</v>
      </c>
      <c r="E404" s="89" t="s">
        <v>5500</v>
      </c>
      <c r="F404" s="90">
        <v>45998.54015046296</v>
      </c>
      <c r="G404" s="88" t="s">
        <v>4805</v>
      </c>
      <c r="H404" s="88" t="s">
        <v>5501</v>
      </c>
      <c r="I404" s="90">
        <v>45998.71172453704</v>
      </c>
    </row>
    <row r="405" ht="14.25" customHeight="1">
      <c r="A405" s="87">
        <v>404.0</v>
      </c>
      <c r="B405" s="88" t="s">
        <v>2958</v>
      </c>
      <c r="C405" s="89">
        <v>1.05644362E9</v>
      </c>
      <c r="D405" s="89" t="str">
        <f t="shared" si="1"/>
        <v>강윤진3620</v>
      </c>
      <c r="E405" s="89" t="s">
        <v>5502</v>
      </c>
      <c r="F405" s="90">
        <v>45998.53262731482</v>
      </c>
      <c r="G405" s="88" t="s">
        <v>4805</v>
      </c>
      <c r="H405" s="88" t="s">
        <v>5503</v>
      </c>
      <c r="I405" s="90">
        <v>45998.71555555556</v>
      </c>
    </row>
    <row r="406" ht="14.25" customHeight="1">
      <c r="A406" s="87">
        <v>405.0</v>
      </c>
      <c r="B406" s="88" t="s">
        <v>5504</v>
      </c>
      <c r="C406" s="89">
        <v>1.093485194E9</v>
      </c>
      <c r="D406" s="89" t="str">
        <f t="shared" si="1"/>
        <v>조정순5194</v>
      </c>
      <c r="E406" s="89" t="s">
        <v>5505</v>
      </c>
      <c r="F406" s="90">
        <v>45998.53128472222</v>
      </c>
      <c r="G406" s="88" t="s">
        <v>4805</v>
      </c>
      <c r="H406" s="88" t="s">
        <v>5506</v>
      </c>
      <c r="I406" s="90">
        <v>45998.75181712963</v>
      </c>
    </row>
    <row r="407" ht="14.25" customHeight="1">
      <c r="A407" s="87">
        <v>406.0</v>
      </c>
      <c r="B407" s="88" t="s">
        <v>2161</v>
      </c>
      <c r="C407" s="89">
        <v>1.092737927E9</v>
      </c>
      <c r="D407" s="89" t="str">
        <f t="shared" si="1"/>
        <v>함은순7927</v>
      </c>
      <c r="E407" s="89" t="s">
        <v>5507</v>
      </c>
      <c r="F407" s="90">
        <v>45998.52922453704</v>
      </c>
      <c r="G407" s="88" t="s">
        <v>4792</v>
      </c>
      <c r="H407" s="91"/>
      <c r="I407" s="92"/>
    </row>
    <row r="408" ht="14.25" customHeight="1">
      <c r="A408" s="87">
        <v>407.0</v>
      </c>
      <c r="B408" s="88" t="s">
        <v>1288</v>
      </c>
      <c r="C408" s="89">
        <v>1.098802304E9</v>
      </c>
      <c r="D408" s="89" t="str">
        <f t="shared" si="1"/>
        <v>김경애2304</v>
      </c>
      <c r="E408" s="89" t="s">
        <v>5508</v>
      </c>
      <c r="F408" s="90">
        <v>45998.528136574074</v>
      </c>
      <c r="G408" s="88" t="s">
        <v>4805</v>
      </c>
      <c r="H408" s="88" t="s">
        <v>5509</v>
      </c>
      <c r="I408" s="90">
        <v>45998.771527777775</v>
      </c>
    </row>
    <row r="409" ht="14.25" customHeight="1">
      <c r="A409" s="87">
        <v>408.0</v>
      </c>
      <c r="B409" s="88" t="s">
        <v>2161</v>
      </c>
      <c r="C409" s="89">
        <v>1.066877393E9</v>
      </c>
      <c r="D409" s="89" t="str">
        <f t="shared" si="1"/>
        <v>함은순7393</v>
      </c>
      <c r="E409" s="89" t="s">
        <v>5510</v>
      </c>
      <c r="F409" s="90">
        <v>45998.528032407405</v>
      </c>
      <c r="G409" s="88" t="s">
        <v>4805</v>
      </c>
      <c r="H409" s="88" t="s">
        <v>5511</v>
      </c>
      <c r="I409" s="90">
        <v>45998.77315972222</v>
      </c>
    </row>
    <row r="410" ht="14.25" customHeight="1">
      <c r="A410" s="87">
        <v>409.0</v>
      </c>
      <c r="B410" s="88" t="s">
        <v>2235</v>
      </c>
      <c r="C410" s="89">
        <v>1.058636196E9</v>
      </c>
      <c r="D410" s="89" t="str">
        <f t="shared" si="1"/>
        <v>임영길6196</v>
      </c>
      <c r="E410" s="89" t="s">
        <v>5512</v>
      </c>
      <c r="F410" s="90">
        <v>45998.52736111111</v>
      </c>
      <c r="G410" s="88" t="s">
        <v>4805</v>
      </c>
      <c r="H410" s="88" t="s">
        <v>5513</v>
      </c>
      <c r="I410" s="90">
        <v>45998.87778935185</v>
      </c>
    </row>
    <row r="411" ht="14.25" customHeight="1">
      <c r="A411" s="87">
        <v>410.0</v>
      </c>
      <c r="B411" s="88" t="s">
        <v>3851</v>
      </c>
      <c r="C411" s="89">
        <v>1.090588084E9</v>
      </c>
      <c r="D411" s="89" t="str">
        <f t="shared" si="1"/>
        <v>황은옥8084</v>
      </c>
      <c r="E411" s="89" t="s">
        <v>5514</v>
      </c>
      <c r="F411" s="90">
        <v>45998.526608796295</v>
      </c>
      <c r="G411" s="88" t="s">
        <v>4805</v>
      </c>
      <c r="H411" s="88" t="s">
        <v>5515</v>
      </c>
      <c r="I411" s="90">
        <v>45999.535532407404</v>
      </c>
    </row>
    <row r="412" ht="14.25" customHeight="1">
      <c r="A412" s="87">
        <v>411.0</v>
      </c>
      <c r="B412" s="88" t="s">
        <v>2235</v>
      </c>
      <c r="C412" s="89">
        <v>1.058636196E9</v>
      </c>
      <c r="D412" s="89" t="str">
        <f t="shared" si="1"/>
        <v>임영길6196</v>
      </c>
      <c r="E412" s="89" t="s">
        <v>5516</v>
      </c>
      <c r="F412" s="90">
        <v>45998.52596064815</v>
      </c>
      <c r="G412" s="88" t="s">
        <v>4805</v>
      </c>
      <c r="H412" s="88" t="s">
        <v>5517</v>
      </c>
      <c r="I412" s="90">
        <v>45998.78134259259</v>
      </c>
    </row>
    <row r="413" ht="14.25" customHeight="1">
      <c r="A413" s="87">
        <v>412.0</v>
      </c>
      <c r="B413" s="88" t="s">
        <v>2503</v>
      </c>
      <c r="C413" s="89">
        <v>1.048145133E9</v>
      </c>
      <c r="D413" s="89" t="str">
        <f t="shared" si="1"/>
        <v>이한숙5133</v>
      </c>
      <c r="E413" s="89" t="s">
        <v>5518</v>
      </c>
      <c r="F413" s="90">
        <v>45998.52556712963</v>
      </c>
      <c r="G413" s="88" t="s">
        <v>4805</v>
      </c>
      <c r="H413" s="88" t="s">
        <v>5519</v>
      </c>
      <c r="I413" s="90">
        <v>45998.59747685185</v>
      </c>
    </row>
    <row r="414" ht="14.25" customHeight="1">
      <c r="A414" s="87">
        <v>413.0</v>
      </c>
      <c r="B414" s="88" t="s">
        <v>5520</v>
      </c>
      <c r="C414" s="89">
        <v>1.092068921E9</v>
      </c>
      <c r="D414" s="89" t="str">
        <f t="shared" si="1"/>
        <v>정수진8921</v>
      </c>
      <c r="E414" s="89" t="s">
        <v>5521</v>
      </c>
      <c r="F414" s="90">
        <v>45998.52365740741</v>
      </c>
      <c r="G414" s="88" t="s">
        <v>4805</v>
      </c>
      <c r="H414" s="88" t="s">
        <v>5522</v>
      </c>
      <c r="I414" s="90">
        <v>45998.96534722222</v>
      </c>
    </row>
    <row r="415" ht="14.25" customHeight="1">
      <c r="A415" s="87">
        <v>414.0</v>
      </c>
      <c r="B415" s="88" t="s">
        <v>5520</v>
      </c>
      <c r="C415" s="89">
        <v>1.092068921E9</v>
      </c>
      <c r="D415" s="89" t="str">
        <f t="shared" si="1"/>
        <v>정수진8921</v>
      </c>
      <c r="E415" s="89" t="s">
        <v>5523</v>
      </c>
      <c r="F415" s="90">
        <v>45998.52280092592</v>
      </c>
      <c r="G415" s="88" t="s">
        <v>4805</v>
      </c>
      <c r="H415" s="88" t="s">
        <v>5524</v>
      </c>
      <c r="I415" s="90">
        <v>45998.97356481481</v>
      </c>
    </row>
    <row r="416" ht="14.25" customHeight="1">
      <c r="A416" s="87">
        <v>415.0</v>
      </c>
      <c r="B416" s="88" t="s">
        <v>4548</v>
      </c>
      <c r="C416" s="89">
        <v>1.086827188E9</v>
      </c>
      <c r="D416" s="89" t="str">
        <f t="shared" si="1"/>
        <v>신귀순7188</v>
      </c>
      <c r="E416" s="89" t="s">
        <v>5525</v>
      </c>
      <c r="F416" s="90">
        <v>45998.52234953704</v>
      </c>
      <c r="G416" s="88" t="s">
        <v>4805</v>
      </c>
      <c r="H416" s="88" t="s">
        <v>5526</v>
      </c>
      <c r="I416" s="90">
        <v>45998.974027777775</v>
      </c>
    </row>
    <row r="417" ht="14.25" customHeight="1">
      <c r="A417" s="87">
        <v>416.0</v>
      </c>
      <c r="B417" s="88" t="s">
        <v>997</v>
      </c>
      <c r="C417" s="89">
        <v>1.036611199E9</v>
      </c>
      <c r="D417" s="89" t="str">
        <f t="shared" si="1"/>
        <v>김영련1199</v>
      </c>
      <c r="E417" s="89" t="s">
        <v>5527</v>
      </c>
      <c r="F417" s="90">
        <v>45998.51974537037</v>
      </c>
      <c r="G417" s="88" t="s">
        <v>4805</v>
      </c>
      <c r="H417" s="88" t="s">
        <v>5528</v>
      </c>
      <c r="I417" s="90">
        <v>45999.52574074074</v>
      </c>
    </row>
    <row r="418" ht="14.25" customHeight="1">
      <c r="A418" s="87">
        <v>417.0</v>
      </c>
      <c r="B418" s="88" t="s">
        <v>2161</v>
      </c>
      <c r="C418" s="89">
        <v>1.066877393E9</v>
      </c>
      <c r="D418" s="89" t="str">
        <f t="shared" si="1"/>
        <v>함은순7393</v>
      </c>
      <c r="E418" s="89" t="s">
        <v>5529</v>
      </c>
      <c r="F418" s="90">
        <v>45998.51697916666</v>
      </c>
      <c r="G418" s="88" t="s">
        <v>4805</v>
      </c>
      <c r="H418" s="88" t="s">
        <v>5530</v>
      </c>
      <c r="I418" s="90">
        <v>45998.974699074075</v>
      </c>
    </row>
    <row r="419" ht="14.25" customHeight="1">
      <c r="A419" s="87">
        <v>418.0</v>
      </c>
      <c r="B419" s="88" t="s">
        <v>5531</v>
      </c>
      <c r="C419" s="89">
        <v>1.047415422E9</v>
      </c>
      <c r="D419" s="89" t="str">
        <f t="shared" si="1"/>
        <v>권현숙5422</v>
      </c>
      <c r="E419" s="89" t="s">
        <v>5532</v>
      </c>
      <c r="F419" s="90">
        <v>45998.51546296296</v>
      </c>
      <c r="G419" s="88" t="s">
        <v>4805</v>
      </c>
      <c r="H419" s="88" t="s">
        <v>5533</v>
      </c>
      <c r="I419" s="90">
        <v>45999.151666666665</v>
      </c>
    </row>
    <row r="420" ht="14.25" customHeight="1">
      <c r="A420" s="87">
        <v>419.0</v>
      </c>
      <c r="B420" s="88" t="s">
        <v>997</v>
      </c>
      <c r="C420" s="89">
        <v>1.036611199E9</v>
      </c>
      <c r="D420" s="89" t="str">
        <f t="shared" si="1"/>
        <v>김영련1199</v>
      </c>
      <c r="E420" s="89" t="s">
        <v>5534</v>
      </c>
      <c r="F420" s="90">
        <v>45998.51259259259</v>
      </c>
      <c r="G420" s="88" t="s">
        <v>4792</v>
      </c>
      <c r="H420" s="91"/>
      <c r="I420" s="92"/>
    </row>
    <row r="421" ht="14.25" customHeight="1">
      <c r="A421" s="87">
        <v>420.0</v>
      </c>
      <c r="B421" s="88" t="s">
        <v>1008</v>
      </c>
      <c r="C421" s="89">
        <v>1.071380037E9</v>
      </c>
      <c r="D421" s="89" t="str">
        <f t="shared" si="1"/>
        <v>이유주0037</v>
      </c>
      <c r="E421" s="89" t="s">
        <v>5535</v>
      </c>
      <c r="F421" s="90">
        <v>45998.509733796294</v>
      </c>
      <c r="G421" s="88" t="s">
        <v>4805</v>
      </c>
      <c r="H421" s="88" t="s">
        <v>5536</v>
      </c>
      <c r="I421" s="90">
        <v>45999.525034722225</v>
      </c>
    </row>
    <row r="422" ht="14.25" customHeight="1">
      <c r="A422" s="87">
        <v>421.0</v>
      </c>
      <c r="B422" s="88" t="s">
        <v>3902</v>
      </c>
      <c r="C422" s="89">
        <v>1.035346512E9</v>
      </c>
      <c r="D422" s="89" t="str">
        <f t="shared" si="1"/>
        <v>노영숙6512</v>
      </c>
      <c r="E422" s="89" t="s">
        <v>5537</v>
      </c>
      <c r="F422" s="90">
        <v>45998.507361111115</v>
      </c>
      <c r="G422" s="88" t="s">
        <v>4805</v>
      </c>
      <c r="H422" s="88" t="s">
        <v>5538</v>
      </c>
      <c r="I422" s="90">
        <v>45998.97321759259</v>
      </c>
    </row>
    <row r="423" ht="14.25" customHeight="1">
      <c r="A423" s="87">
        <v>422.0</v>
      </c>
      <c r="B423" s="88" t="s">
        <v>3620</v>
      </c>
      <c r="C423" s="89">
        <v>1.036783705E9</v>
      </c>
      <c r="D423" s="89" t="str">
        <f t="shared" si="1"/>
        <v>정성화3705</v>
      </c>
      <c r="E423" s="89" t="s">
        <v>5539</v>
      </c>
      <c r="F423" s="90">
        <v>45998.50708333333</v>
      </c>
      <c r="G423" s="88" t="s">
        <v>4805</v>
      </c>
      <c r="H423" s="88" t="s">
        <v>5540</v>
      </c>
      <c r="I423" s="90">
        <v>45998.976493055554</v>
      </c>
    </row>
    <row r="424" ht="14.25" customHeight="1">
      <c r="A424" s="87">
        <v>423.0</v>
      </c>
      <c r="B424" s="88" t="s">
        <v>3590</v>
      </c>
      <c r="C424" s="89">
        <v>1.098808409E9</v>
      </c>
      <c r="D424" s="89" t="str">
        <f t="shared" si="1"/>
        <v>전윤선8409</v>
      </c>
      <c r="E424" s="89" t="s">
        <v>5541</v>
      </c>
      <c r="F424" s="90">
        <v>45998.49668981481</v>
      </c>
      <c r="G424" s="88" t="s">
        <v>4805</v>
      </c>
      <c r="H424" s="88" t="s">
        <v>4839</v>
      </c>
      <c r="I424" s="90">
        <v>45999.06116898148</v>
      </c>
    </row>
    <row r="425" ht="14.25" customHeight="1">
      <c r="A425" s="87">
        <v>424.0</v>
      </c>
      <c r="B425" s="88" t="s">
        <v>2879</v>
      </c>
      <c r="C425" s="89">
        <v>1.064243911E9</v>
      </c>
      <c r="D425" s="89" t="str">
        <f t="shared" si="1"/>
        <v>윤세현3911</v>
      </c>
      <c r="E425" s="89" t="s">
        <v>5542</v>
      </c>
      <c r="F425" s="90">
        <v>45998.49501157407</v>
      </c>
      <c r="G425" s="88" t="s">
        <v>4792</v>
      </c>
      <c r="H425" s="93"/>
      <c r="I425" s="93"/>
    </row>
    <row r="426" ht="14.25" customHeight="1">
      <c r="A426" s="87">
        <v>425.0</v>
      </c>
      <c r="B426" s="88" t="s">
        <v>1601</v>
      </c>
      <c r="C426" s="89">
        <v>1.099201841E9</v>
      </c>
      <c r="D426" s="89" t="str">
        <f t="shared" si="1"/>
        <v>김수옥1841</v>
      </c>
      <c r="E426" s="89" t="s">
        <v>5543</v>
      </c>
      <c r="F426" s="90">
        <v>45998.492118055554</v>
      </c>
      <c r="G426" s="88" t="s">
        <v>4805</v>
      </c>
      <c r="H426" s="88" t="s">
        <v>5544</v>
      </c>
      <c r="I426" s="90">
        <v>45999.098078703704</v>
      </c>
    </row>
    <row r="427" ht="14.25" customHeight="1">
      <c r="A427" s="87">
        <v>426.0</v>
      </c>
      <c r="B427" s="88" t="s">
        <v>5369</v>
      </c>
      <c r="C427" s="89">
        <v>1.03396479E9</v>
      </c>
      <c r="D427" s="89" t="str">
        <f t="shared" si="1"/>
        <v>최광자4790</v>
      </c>
      <c r="E427" s="89" t="s">
        <v>5545</v>
      </c>
      <c r="F427" s="90">
        <v>45998.49145833333</v>
      </c>
      <c r="G427" s="88" t="s">
        <v>4805</v>
      </c>
      <c r="H427" s="88" t="s">
        <v>5546</v>
      </c>
      <c r="I427" s="90">
        <v>45998.598761574074</v>
      </c>
    </row>
    <row r="428" ht="14.25" customHeight="1">
      <c r="A428" s="87">
        <v>427.0</v>
      </c>
      <c r="B428" s="88" t="s">
        <v>1272</v>
      </c>
      <c r="C428" s="89">
        <v>1.022265676E9</v>
      </c>
      <c r="D428" s="89" t="str">
        <f t="shared" si="1"/>
        <v>주광옥5676</v>
      </c>
      <c r="E428" s="89" t="s">
        <v>5547</v>
      </c>
      <c r="F428" s="90">
        <v>45998.488958333335</v>
      </c>
      <c r="G428" s="88" t="s">
        <v>4805</v>
      </c>
      <c r="H428" s="88" t="s">
        <v>5548</v>
      </c>
      <c r="I428" s="90">
        <v>45998.98056712963</v>
      </c>
    </row>
    <row r="429" ht="14.25" customHeight="1">
      <c r="A429" s="87">
        <v>428.0</v>
      </c>
      <c r="B429" s="88" t="s">
        <v>2754</v>
      </c>
      <c r="C429" s="89">
        <v>1.087988084E9</v>
      </c>
      <c r="D429" s="89" t="str">
        <f t="shared" si="1"/>
        <v>주청주8084</v>
      </c>
      <c r="E429" s="89" t="s">
        <v>5549</v>
      </c>
      <c r="F429" s="90">
        <v>45998.4855787037</v>
      </c>
      <c r="G429" s="88" t="s">
        <v>4805</v>
      </c>
      <c r="H429" s="88" t="s">
        <v>5550</v>
      </c>
      <c r="I429" s="90">
        <v>45998.98119212963</v>
      </c>
    </row>
    <row r="430" ht="14.25" customHeight="1">
      <c r="A430" s="87">
        <v>429.0</v>
      </c>
      <c r="B430" s="88" t="s">
        <v>2161</v>
      </c>
      <c r="C430" s="89">
        <v>1.092737927E9</v>
      </c>
      <c r="D430" s="89" t="str">
        <f t="shared" si="1"/>
        <v>함은순7927</v>
      </c>
      <c r="E430" s="89" t="s">
        <v>5551</v>
      </c>
      <c r="F430" s="90">
        <v>45998.48509259259</v>
      </c>
      <c r="G430" s="88" t="s">
        <v>4805</v>
      </c>
      <c r="H430" s="88" t="s">
        <v>5187</v>
      </c>
      <c r="I430" s="90">
        <v>45998.981354166666</v>
      </c>
    </row>
    <row r="431" ht="14.25" customHeight="1">
      <c r="A431" s="87">
        <v>430.0</v>
      </c>
      <c r="B431" s="88" t="s">
        <v>3481</v>
      </c>
      <c r="C431" s="89">
        <v>1.025959828E9</v>
      </c>
      <c r="D431" s="89" t="str">
        <f t="shared" si="1"/>
        <v>이서경9828</v>
      </c>
      <c r="E431" s="89" t="s">
        <v>5552</v>
      </c>
      <c r="F431" s="90">
        <v>45998.485081018516</v>
      </c>
      <c r="G431" s="88" t="s">
        <v>4792</v>
      </c>
      <c r="H431" s="91"/>
      <c r="I431" s="92"/>
    </row>
    <row r="432" ht="14.25" customHeight="1">
      <c r="A432" s="87">
        <v>431.0</v>
      </c>
      <c r="B432" s="88" t="s">
        <v>3280</v>
      </c>
      <c r="C432" s="89">
        <v>1.092244583E9</v>
      </c>
      <c r="D432" s="89" t="str">
        <f t="shared" si="1"/>
        <v>박정순4583</v>
      </c>
      <c r="E432" s="89" t="s">
        <v>5553</v>
      </c>
      <c r="F432" s="90">
        <v>45998.48415509259</v>
      </c>
      <c r="G432" s="88" t="s">
        <v>4805</v>
      </c>
      <c r="H432" s="88" t="s">
        <v>5554</v>
      </c>
      <c r="I432" s="90">
        <v>45998.599074074074</v>
      </c>
    </row>
    <row r="433" ht="14.25" customHeight="1">
      <c r="A433" s="87">
        <v>432.0</v>
      </c>
      <c r="B433" s="88" t="s">
        <v>2754</v>
      </c>
      <c r="C433" s="89">
        <v>1.087988084E9</v>
      </c>
      <c r="D433" s="89" t="str">
        <f t="shared" si="1"/>
        <v>주청주8084</v>
      </c>
      <c r="E433" s="89" t="s">
        <v>5555</v>
      </c>
      <c r="F433" s="90">
        <v>45998.48347222222</v>
      </c>
      <c r="G433" s="88" t="s">
        <v>4792</v>
      </c>
      <c r="H433" s="91"/>
      <c r="I433" s="92"/>
    </row>
    <row r="434" ht="14.25" customHeight="1">
      <c r="A434" s="87">
        <v>433.0</v>
      </c>
      <c r="B434" s="88" t="s">
        <v>2760</v>
      </c>
      <c r="C434" s="89">
        <v>1.024159828E9</v>
      </c>
      <c r="D434" s="89" t="str">
        <f t="shared" si="1"/>
        <v>이인경9828</v>
      </c>
      <c r="E434" s="89" t="s">
        <v>5556</v>
      </c>
      <c r="F434" s="90">
        <v>45998.480625</v>
      </c>
      <c r="G434" s="88" t="s">
        <v>4792</v>
      </c>
      <c r="H434" s="91"/>
      <c r="I434" s="92"/>
    </row>
    <row r="435" ht="14.25" customHeight="1">
      <c r="A435" s="87">
        <v>434.0</v>
      </c>
      <c r="B435" s="88" t="s">
        <v>4536</v>
      </c>
      <c r="C435" s="89">
        <v>1.041832502E9</v>
      </c>
      <c r="D435" s="89" t="str">
        <f t="shared" si="1"/>
        <v>안수진2502</v>
      </c>
      <c r="E435" s="89" t="s">
        <v>5557</v>
      </c>
      <c r="F435" s="90">
        <v>45998.48027777778</v>
      </c>
      <c r="G435" s="88" t="s">
        <v>4792</v>
      </c>
      <c r="H435" s="91"/>
      <c r="I435" s="92"/>
    </row>
    <row r="436" ht="14.25" customHeight="1">
      <c r="A436" s="87">
        <v>435.0</v>
      </c>
      <c r="B436" s="88" t="s">
        <v>4641</v>
      </c>
      <c r="C436" s="89">
        <v>1.041504541E9</v>
      </c>
      <c r="D436" s="89" t="str">
        <f t="shared" si="1"/>
        <v>정선화4541</v>
      </c>
      <c r="E436" s="89" t="s">
        <v>5558</v>
      </c>
      <c r="F436" s="90">
        <v>45998.47827546296</v>
      </c>
      <c r="G436" s="88" t="s">
        <v>4792</v>
      </c>
      <c r="H436" s="91"/>
      <c r="I436" s="92"/>
    </row>
    <row r="437" ht="14.25" customHeight="1">
      <c r="A437" s="87">
        <v>436.0</v>
      </c>
      <c r="B437" s="88" t="s">
        <v>1115</v>
      </c>
      <c r="C437" s="89">
        <v>1.030217889E9</v>
      </c>
      <c r="D437" s="89" t="str">
        <f t="shared" si="1"/>
        <v>강정옥7889</v>
      </c>
      <c r="E437" s="89" t="s">
        <v>5559</v>
      </c>
      <c r="F437" s="90">
        <v>45998.47819444445</v>
      </c>
      <c r="G437" s="88" t="s">
        <v>4805</v>
      </c>
      <c r="H437" s="88" t="s">
        <v>5560</v>
      </c>
      <c r="I437" s="90">
        <v>45999.063113425924</v>
      </c>
    </row>
    <row r="438" ht="14.25" customHeight="1">
      <c r="A438" s="87">
        <v>437.0</v>
      </c>
      <c r="B438" s="88" t="s">
        <v>5495</v>
      </c>
      <c r="C438" s="89">
        <v>1.089913876E9</v>
      </c>
      <c r="D438" s="89" t="str">
        <f t="shared" si="1"/>
        <v>채연희3876</v>
      </c>
      <c r="E438" s="89" t="s">
        <v>5561</v>
      </c>
      <c r="F438" s="90">
        <v>45998.475</v>
      </c>
      <c r="G438" s="88" t="s">
        <v>4805</v>
      </c>
      <c r="H438" s="88" t="s">
        <v>5546</v>
      </c>
      <c r="I438" s="90">
        <v>45998.59945601852</v>
      </c>
    </row>
    <row r="439" ht="14.25" customHeight="1">
      <c r="A439" s="87">
        <v>438.0</v>
      </c>
      <c r="B439" s="88" t="s">
        <v>4536</v>
      </c>
      <c r="C439" s="89">
        <v>1.041832502E9</v>
      </c>
      <c r="D439" s="89" t="str">
        <f t="shared" si="1"/>
        <v>안수진2502</v>
      </c>
      <c r="E439" s="89" t="s">
        <v>5562</v>
      </c>
      <c r="F439" s="90">
        <v>45998.4740625</v>
      </c>
      <c r="G439" s="88" t="s">
        <v>4792</v>
      </c>
      <c r="H439" s="91"/>
      <c r="I439" s="92"/>
    </row>
    <row r="440" ht="14.25" customHeight="1">
      <c r="A440" s="87">
        <v>439.0</v>
      </c>
      <c r="B440" s="88" t="s">
        <v>5563</v>
      </c>
      <c r="C440" s="89">
        <v>1.022535471E9</v>
      </c>
      <c r="D440" s="89" t="str">
        <f t="shared" si="1"/>
        <v>이순이5471</v>
      </c>
      <c r="E440" s="89" t="s">
        <v>5564</v>
      </c>
      <c r="F440" s="90">
        <v>45998.4721875</v>
      </c>
      <c r="G440" s="88" t="s">
        <v>4805</v>
      </c>
      <c r="H440" s="88" t="s">
        <v>5565</v>
      </c>
      <c r="I440" s="90">
        <v>45999.0996875</v>
      </c>
    </row>
    <row r="441" ht="14.25" customHeight="1">
      <c r="A441" s="87">
        <v>440.0</v>
      </c>
      <c r="B441" s="88" t="s">
        <v>2763</v>
      </c>
      <c r="C441" s="89">
        <v>1.055313799E9</v>
      </c>
      <c r="D441" s="89" t="str">
        <f t="shared" si="1"/>
        <v>지은아3799</v>
      </c>
      <c r="E441" s="89" t="s">
        <v>5566</v>
      </c>
      <c r="F441" s="90">
        <v>45998.467465277776</v>
      </c>
      <c r="G441" s="88" t="s">
        <v>4792</v>
      </c>
      <c r="H441" s="91"/>
      <c r="I441" s="92"/>
    </row>
    <row r="442" ht="14.25" customHeight="1">
      <c r="A442" s="87">
        <v>441.0</v>
      </c>
      <c r="B442" s="88" t="s">
        <v>3586</v>
      </c>
      <c r="C442" s="89">
        <v>1.063082869E9</v>
      </c>
      <c r="D442" s="89" t="str">
        <f t="shared" si="1"/>
        <v>전서연2869</v>
      </c>
      <c r="E442" s="89" t="s">
        <v>5567</v>
      </c>
      <c r="F442" s="90">
        <v>45998.467210648145</v>
      </c>
      <c r="G442" s="88" t="s">
        <v>4805</v>
      </c>
      <c r="H442" s="88" t="s">
        <v>5568</v>
      </c>
      <c r="I442" s="90">
        <v>45998.599699074075</v>
      </c>
    </row>
    <row r="443" ht="14.25" customHeight="1">
      <c r="A443" s="87">
        <v>442.0</v>
      </c>
      <c r="B443" s="88" t="s">
        <v>3670</v>
      </c>
      <c r="C443" s="89">
        <v>1.092771088E9</v>
      </c>
      <c r="D443" s="89" t="str">
        <f t="shared" si="1"/>
        <v>조영미1088</v>
      </c>
      <c r="E443" s="89" t="s">
        <v>5569</v>
      </c>
      <c r="F443" s="90">
        <v>45998.466990740744</v>
      </c>
      <c r="G443" s="88" t="s">
        <v>4805</v>
      </c>
      <c r="H443" s="88" t="s">
        <v>4991</v>
      </c>
      <c r="I443" s="90">
        <v>45999.06505787037</v>
      </c>
    </row>
    <row r="444" ht="14.25" customHeight="1">
      <c r="A444" s="87">
        <v>443.0</v>
      </c>
      <c r="B444" s="88" t="s">
        <v>5570</v>
      </c>
      <c r="C444" s="89">
        <v>1.089396492E9</v>
      </c>
      <c r="D444" s="89" t="str">
        <f t="shared" si="1"/>
        <v>김인숙6492</v>
      </c>
      <c r="E444" s="89" t="s">
        <v>5571</v>
      </c>
      <c r="F444" s="90">
        <v>45998.46618055556</v>
      </c>
      <c r="G444" s="88" t="s">
        <v>4805</v>
      </c>
      <c r="H444" s="89" t="s">
        <v>5572</v>
      </c>
      <c r="I444" s="90">
        <v>45999.51530092592</v>
      </c>
    </row>
    <row r="445" ht="14.25" customHeight="1">
      <c r="A445" s="87">
        <v>444.0</v>
      </c>
      <c r="B445" s="88" t="s">
        <v>1177</v>
      </c>
      <c r="C445" s="89">
        <v>1.023772555E9</v>
      </c>
      <c r="D445" s="89" t="str">
        <f t="shared" si="1"/>
        <v>배우식2555</v>
      </c>
      <c r="E445" s="89" t="s">
        <v>5573</v>
      </c>
      <c r="F445" s="90">
        <v>45998.46606481481</v>
      </c>
      <c r="G445" s="88" t="s">
        <v>4805</v>
      </c>
      <c r="H445" s="89" t="s">
        <v>5572</v>
      </c>
      <c r="I445" s="90">
        <v>45999.100277777776</v>
      </c>
    </row>
    <row r="446" ht="14.25" customHeight="1">
      <c r="A446" s="87">
        <v>445.0</v>
      </c>
      <c r="B446" s="88" t="s">
        <v>2832</v>
      </c>
      <c r="C446" s="89">
        <v>1.081383166E9</v>
      </c>
      <c r="D446" s="89" t="str">
        <f t="shared" si="1"/>
        <v>김춘희3166</v>
      </c>
      <c r="E446" s="89" t="s">
        <v>5574</v>
      </c>
      <c r="F446" s="90">
        <v>45998.46365740741</v>
      </c>
      <c r="G446" s="88" t="s">
        <v>4805</v>
      </c>
      <c r="H446" s="89" t="s">
        <v>4911</v>
      </c>
      <c r="I446" s="90">
        <v>45999.10194444445</v>
      </c>
    </row>
    <row r="447" ht="14.25" customHeight="1">
      <c r="A447" s="87">
        <v>446.0</v>
      </c>
      <c r="B447" s="88" t="s">
        <v>3780</v>
      </c>
      <c r="C447" s="89">
        <v>1.035965148E9</v>
      </c>
      <c r="D447" s="89" t="str">
        <f t="shared" si="1"/>
        <v>홍성기5148</v>
      </c>
      <c r="E447" s="89" t="s">
        <v>5575</v>
      </c>
      <c r="F447" s="90">
        <v>45998.46212962963</v>
      </c>
      <c r="G447" s="88" t="s">
        <v>4805</v>
      </c>
      <c r="H447" s="88" t="s">
        <v>5576</v>
      </c>
      <c r="I447" s="90">
        <v>45998.6</v>
      </c>
    </row>
    <row r="448" ht="14.25" customHeight="1">
      <c r="A448" s="87">
        <v>447.0</v>
      </c>
      <c r="B448" s="88" t="s">
        <v>3851</v>
      </c>
      <c r="C448" s="89">
        <v>1.090588084E9</v>
      </c>
      <c r="D448" s="89" t="str">
        <f t="shared" si="1"/>
        <v>황은옥8084</v>
      </c>
      <c r="E448" s="89" t="s">
        <v>5577</v>
      </c>
      <c r="F448" s="90">
        <v>45998.460625</v>
      </c>
      <c r="G448" s="88" t="s">
        <v>4805</v>
      </c>
      <c r="H448" s="88" t="s">
        <v>5578</v>
      </c>
      <c r="I448" s="90">
        <v>45998.465787037036</v>
      </c>
    </row>
    <row r="449" ht="14.25" customHeight="1">
      <c r="A449" s="87">
        <v>448.0</v>
      </c>
      <c r="B449" s="88" t="s">
        <v>2366</v>
      </c>
      <c r="C449" s="89">
        <v>1.032555597E9</v>
      </c>
      <c r="D449" s="89" t="str">
        <f t="shared" si="1"/>
        <v>김희경5597</v>
      </c>
      <c r="E449" s="89" t="s">
        <v>5579</v>
      </c>
      <c r="F449" s="90">
        <v>45998.45847222222</v>
      </c>
      <c r="G449" s="88" t="s">
        <v>4805</v>
      </c>
      <c r="H449" s="88" t="s">
        <v>5580</v>
      </c>
      <c r="I449" s="90">
        <v>45999.06628472222</v>
      </c>
    </row>
    <row r="450" ht="14.25" customHeight="1">
      <c r="A450" s="87">
        <v>449.0</v>
      </c>
      <c r="B450" s="88" t="s">
        <v>1451</v>
      </c>
      <c r="C450" s="89">
        <v>1.051013959E9</v>
      </c>
      <c r="D450" s="89" t="str">
        <f t="shared" si="1"/>
        <v>임성빈3959</v>
      </c>
      <c r="E450" s="89" t="s">
        <v>5581</v>
      </c>
      <c r="F450" s="90">
        <v>45998.45837962963</v>
      </c>
      <c r="G450" s="88" t="s">
        <v>4805</v>
      </c>
      <c r="H450" s="88" t="s">
        <v>5582</v>
      </c>
      <c r="I450" s="90">
        <v>45999.51503472222</v>
      </c>
    </row>
    <row r="451" ht="14.25" customHeight="1">
      <c r="A451" s="87">
        <v>450.0</v>
      </c>
      <c r="B451" s="88" t="s">
        <v>2780</v>
      </c>
      <c r="C451" s="89">
        <v>1.09535201E9</v>
      </c>
      <c r="D451" s="89" t="str">
        <f t="shared" si="1"/>
        <v>윤민아2010</v>
      </c>
      <c r="E451" s="89" t="s">
        <v>5583</v>
      </c>
      <c r="F451" s="90">
        <v>45998.45758101852</v>
      </c>
      <c r="G451" s="88" t="s">
        <v>4805</v>
      </c>
      <c r="H451" s="89" t="s">
        <v>5584</v>
      </c>
      <c r="I451" s="90">
        <v>45999.06866898148</v>
      </c>
    </row>
    <row r="452" ht="14.25" customHeight="1">
      <c r="A452" s="87">
        <v>451.0</v>
      </c>
      <c r="B452" s="88" t="s">
        <v>4612</v>
      </c>
      <c r="C452" s="89">
        <v>1.09593421E9</v>
      </c>
      <c r="D452" s="89" t="str">
        <f t="shared" si="1"/>
        <v>김호정4210</v>
      </c>
      <c r="E452" s="89" t="s">
        <v>5585</v>
      </c>
      <c r="F452" s="90">
        <v>45998.4575462963</v>
      </c>
      <c r="G452" s="88" t="s">
        <v>4805</v>
      </c>
      <c r="H452" s="89" t="s">
        <v>5572</v>
      </c>
      <c r="I452" s="90">
        <v>45999.068877314814</v>
      </c>
    </row>
    <row r="453" ht="14.25" customHeight="1">
      <c r="A453" s="87">
        <v>452.0</v>
      </c>
      <c r="B453" s="88" t="s">
        <v>4612</v>
      </c>
      <c r="C453" s="89">
        <v>1.09593421E9</v>
      </c>
      <c r="D453" s="89" t="str">
        <f t="shared" si="1"/>
        <v>김호정4210</v>
      </c>
      <c r="E453" s="89" t="s">
        <v>5585</v>
      </c>
      <c r="F453" s="90">
        <v>45998.45658564815</v>
      </c>
      <c r="G453" s="88" t="s">
        <v>4805</v>
      </c>
      <c r="H453" s="89" t="s">
        <v>5572</v>
      </c>
      <c r="I453" s="90">
        <v>45999.10215277778</v>
      </c>
    </row>
    <row r="454" ht="14.25" customHeight="1">
      <c r="A454" s="87">
        <v>453.0</v>
      </c>
      <c r="B454" s="88" t="s">
        <v>3851</v>
      </c>
      <c r="C454" s="89">
        <v>1.090588084E9</v>
      </c>
      <c r="D454" s="89" t="str">
        <f t="shared" si="1"/>
        <v>황은옥8084</v>
      </c>
      <c r="E454" s="89" t="s">
        <v>5586</v>
      </c>
      <c r="F454" s="90">
        <v>45998.45631944444</v>
      </c>
      <c r="G454" s="88" t="s">
        <v>4805</v>
      </c>
      <c r="H454" s="88" t="s">
        <v>5587</v>
      </c>
      <c r="I454" s="90">
        <v>45999.07163194445</v>
      </c>
    </row>
    <row r="455" ht="14.25" customHeight="1">
      <c r="A455" s="87">
        <v>454.0</v>
      </c>
      <c r="B455" s="88" t="s">
        <v>1377</v>
      </c>
      <c r="C455" s="89">
        <v>1.088756324E9</v>
      </c>
      <c r="D455" s="89" t="str">
        <f t="shared" si="1"/>
        <v>윤혜준6324</v>
      </c>
      <c r="E455" s="89" t="s">
        <v>5588</v>
      </c>
      <c r="F455" s="90">
        <v>45998.454872685186</v>
      </c>
      <c r="G455" s="88" t="s">
        <v>4792</v>
      </c>
      <c r="H455" s="91"/>
      <c r="I455" s="92"/>
    </row>
    <row r="456" ht="14.25" customHeight="1">
      <c r="A456" s="87">
        <v>455.0</v>
      </c>
      <c r="B456" s="88" t="s">
        <v>2501</v>
      </c>
      <c r="C456" s="89">
        <v>1.090266782E9</v>
      </c>
      <c r="D456" s="89" t="str">
        <f t="shared" si="1"/>
        <v>김윤숙6782</v>
      </c>
      <c r="E456" s="89" t="s">
        <v>5589</v>
      </c>
      <c r="F456" s="90">
        <v>45998.454560185186</v>
      </c>
      <c r="G456" s="88" t="s">
        <v>4805</v>
      </c>
      <c r="H456" s="88" t="s">
        <v>5590</v>
      </c>
      <c r="I456" s="90">
        <v>45999.103472222225</v>
      </c>
    </row>
    <row r="457" ht="14.25" customHeight="1">
      <c r="A457" s="87">
        <v>456.0</v>
      </c>
      <c r="B457" s="88" t="s">
        <v>1425</v>
      </c>
      <c r="C457" s="89">
        <v>1.09962281E9</v>
      </c>
      <c r="D457" s="89" t="str">
        <f t="shared" si="1"/>
        <v>최문순2810</v>
      </c>
      <c r="E457" s="89" t="s">
        <v>5591</v>
      </c>
      <c r="F457" s="90">
        <v>45998.45439814815</v>
      </c>
      <c r="G457" s="88" t="s">
        <v>4805</v>
      </c>
      <c r="H457" s="88" t="s">
        <v>4991</v>
      </c>
      <c r="I457" s="90">
        <v>45999.071863425925</v>
      </c>
    </row>
    <row r="458" ht="14.25" customHeight="1">
      <c r="A458" s="87">
        <v>457.0</v>
      </c>
      <c r="B458" s="88" t="s">
        <v>3072</v>
      </c>
      <c r="C458" s="89">
        <v>1.03256573E9</v>
      </c>
      <c r="D458" s="89" t="str">
        <f t="shared" si="1"/>
        <v>김성태5730</v>
      </c>
      <c r="E458" s="89" t="s">
        <v>5592</v>
      </c>
      <c r="F458" s="90">
        <v>45998.45369212963</v>
      </c>
      <c r="G458" s="88" t="s">
        <v>4805</v>
      </c>
      <c r="H458" s="88" t="s">
        <v>4991</v>
      </c>
      <c r="I458" s="90">
        <v>45999.514131944445</v>
      </c>
    </row>
    <row r="459" ht="14.25" customHeight="1">
      <c r="A459" s="87">
        <v>458.0</v>
      </c>
      <c r="B459" s="88" t="s">
        <v>2132</v>
      </c>
      <c r="C459" s="89">
        <v>1.07123782E9</v>
      </c>
      <c r="D459" s="89" t="str">
        <f t="shared" si="1"/>
        <v>이정은7820</v>
      </c>
      <c r="E459" s="89" t="s">
        <v>5593</v>
      </c>
      <c r="F459" s="90">
        <v>45998.453356481485</v>
      </c>
      <c r="G459" s="88" t="s">
        <v>4805</v>
      </c>
      <c r="H459" s="88" t="s">
        <v>5594</v>
      </c>
      <c r="I459" s="90">
        <v>45999.513865740744</v>
      </c>
    </row>
    <row r="460" ht="14.25" customHeight="1">
      <c r="A460" s="87">
        <v>459.0</v>
      </c>
      <c r="B460" s="88" t="s">
        <v>2788</v>
      </c>
      <c r="C460" s="89">
        <v>1.023615066E9</v>
      </c>
      <c r="D460" s="89" t="str">
        <f t="shared" si="1"/>
        <v>조재희5066</v>
      </c>
      <c r="E460" s="89" t="s">
        <v>5595</v>
      </c>
      <c r="F460" s="90">
        <v>45998.453252314815</v>
      </c>
      <c r="G460" s="88" t="s">
        <v>4805</v>
      </c>
      <c r="H460" s="89" t="s">
        <v>4911</v>
      </c>
      <c r="I460" s="90">
        <v>45999.0721875</v>
      </c>
    </row>
    <row r="461" ht="14.25" customHeight="1">
      <c r="A461" s="87">
        <v>460.0</v>
      </c>
      <c r="B461" s="88" t="s">
        <v>2161</v>
      </c>
      <c r="C461" s="89">
        <v>1.092737927E9</v>
      </c>
      <c r="D461" s="89" t="str">
        <f t="shared" si="1"/>
        <v>함은순7927</v>
      </c>
      <c r="E461" s="89" t="s">
        <v>5596</v>
      </c>
      <c r="F461" s="90">
        <v>45998.45255787037</v>
      </c>
      <c r="G461" s="88" t="s">
        <v>4805</v>
      </c>
      <c r="H461" s="88" t="s">
        <v>5597</v>
      </c>
      <c r="I461" s="90">
        <v>45999.104525462964</v>
      </c>
    </row>
    <row r="462" ht="14.25" customHeight="1">
      <c r="A462" s="87">
        <v>461.0</v>
      </c>
      <c r="B462" s="88" t="s">
        <v>5598</v>
      </c>
      <c r="C462" s="89">
        <v>1.073845756E9</v>
      </c>
      <c r="D462" s="89" t="str">
        <f t="shared" si="1"/>
        <v>권경숙5756</v>
      </c>
      <c r="E462" s="89" t="s">
        <v>5599</v>
      </c>
      <c r="F462" s="90">
        <v>45998.45229166667</v>
      </c>
      <c r="G462" s="88" t="s">
        <v>4805</v>
      </c>
      <c r="H462" s="88" t="s">
        <v>5600</v>
      </c>
      <c r="I462" s="90">
        <v>45999.07247685185</v>
      </c>
    </row>
    <row r="463" ht="14.25" customHeight="1">
      <c r="A463" s="87">
        <v>462.0</v>
      </c>
      <c r="B463" s="88" t="s">
        <v>3875</v>
      </c>
      <c r="C463" s="89">
        <v>1.037646373E9</v>
      </c>
      <c r="D463" s="89" t="str">
        <f t="shared" si="1"/>
        <v>박지영6373</v>
      </c>
      <c r="E463" s="89" t="s">
        <v>5601</v>
      </c>
      <c r="F463" s="90">
        <v>45998.45178240741</v>
      </c>
      <c r="G463" s="88" t="s">
        <v>4805</v>
      </c>
      <c r="H463" s="88" t="s">
        <v>5602</v>
      </c>
      <c r="I463" s="90">
        <v>45999.081192129626</v>
      </c>
    </row>
    <row r="464" ht="14.25" customHeight="1">
      <c r="A464" s="87">
        <v>463.0</v>
      </c>
      <c r="B464" s="88" t="s">
        <v>3702</v>
      </c>
      <c r="C464" s="89">
        <v>1.045633739E9</v>
      </c>
      <c r="D464" s="89" t="str">
        <f t="shared" si="1"/>
        <v>최말경3739</v>
      </c>
      <c r="E464" s="89" t="s">
        <v>5603</v>
      </c>
      <c r="F464" s="90">
        <v>45998.45165509259</v>
      </c>
      <c r="G464" s="88" t="s">
        <v>4805</v>
      </c>
      <c r="H464" s="88" t="s">
        <v>4991</v>
      </c>
      <c r="I464" s="90">
        <v>45999.08153935185</v>
      </c>
    </row>
    <row r="465" ht="14.25" customHeight="1">
      <c r="A465" s="87">
        <v>464.0</v>
      </c>
      <c r="B465" s="88" t="s">
        <v>1215</v>
      </c>
      <c r="C465" s="89">
        <v>1.028872262E9</v>
      </c>
      <c r="D465" s="89" t="str">
        <f t="shared" si="1"/>
        <v>채미향2262</v>
      </c>
      <c r="E465" s="89" t="s">
        <v>5604</v>
      </c>
      <c r="F465" s="90">
        <v>45998.44704861111</v>
      </c>
      <c r="G465" s="88" t="s">
        <v>4805</v>
      </c>
      <c r="H465" s="88" t="s">
        <v>5605</v>
      </c>
      <c r="I465" s="90">
        <v>45999.08322916667</v>
      </c>
    </row>
    <row r="466" ht="14.25" customHeight="1">
      <c r="A466" s="87">
        <v>465.0</v>
      </c>
      <c r="B466" s="88" t="s">
        <v>3099</v>
      </c>
      <c r="C466" s="89">
        <v>1.083534038E9</v>
      </c>
      <c r="D466" s="89" t="str">
        <f t="shared" si="1"/>
        <v>김양순4038</v>
      </c>
      <c r="E466" s="89" t="s">
        <v>5606</v>
      </c>
      <c r="F466" s="90">
        <v>45998.44527777778</v>
      </c>
      <c r="G466" s="88" t="s">
        <v>4805</v>
      </c>
      <c r="H466" s="89" t="s">
        <v>5607</v>
      </c>
      <c r="I466" s="90">
        <v>45999.08288194444</v>
      </c>
    </row>
    <row r="467" ht="14.25" customHeight="1">
      <c r="A467" s="87">
        <v>466.0</v>
      </c>
      <c r="B467" s="88" t="s">
        <v>1297</v>
      </c>
      <c r="C467" s="89">
        <v>1.091445193E9</v>
      </c>
      <c r="D467" s="89" t="str">
        <f t="shared" si="1"/>
        <v>이혜원5193</v>
      </c>
      <c r="E467" s="89" t="s">
        <v>5608</v>
      </c>
      <c r="F467" s="90">
        <v>45998.445243055554</v>
      </c>
      <c r="G467" s="88" t="s">
        <v>4805</v>
      </c>
      <c r="H467" s="89" t="s">
        <v>5572</v>
      </c>
      <c r="I467" s="90">
        <v>45999.08362268518</v>
      </c>
    </row>
    <row r="468" ht="14.25" customHeight="1">
      <c r="A468" s="87">
        <v>467.0</v>
      </c>
      <c r="B468" s="88" t="s">
        <v>1718</v>
      </c>
      <c r="C468" s="89">
        <v>1.077743456E9</v>
      </c>
      <c r="D468" s="89" t="str">
        <f t="shared" si="1"/>
        <v>윤민종3456</v>
      </c>
      <c r="E468" s="89" t="s">
        <v>5609</v>
      </c>
      <c r="F468" s="90">
        <v>45998.44385416667</v>
      </c>
      <c r="G468" s="88" t="s">
        <v>4805</v>
      </c>
      <c r="H468" s="88" t="s">
        <v>4991</v>
      </c>
      <c r="I468" s="90">
        <v>45999.10481481482</v>
      </c>
    </row>
    <row r="469" ht="14.25" customHeight="1">
      <c r="A469" s="87">
        <v>468.0</v>
      </c>
      <c r="B469" s="88" t="s">
        <v>4569</v>
      </c>
      <c r="C469" s="89">
        <v>1.044027173E9</v>
      </c>
      <c r="D469" s="89" t="str">
        <f t="shared" si="1"/>
        <v>홍수민7173</v>
      </c>
      <c r="E469" s="89" t="s">
        <v>5610</v>
      </c>
      <c r="F469" s="90">
        <v>45998.44212962963</v>
      </c>
      <c r="G469" s="88" t="s">
        <v>4805</v>
      </c>
      <c r="H469" s="88" t="s">
        <v>4991</v>
      </c>
      <c r="I469" s="90">
        <v>45999.0837962963</v>
      </c>
    </row>
    <row r="470" ht="14.25" customHeight="1">
      <c r="A470" s="87">
        <v>469.0</v>
      </c>
      <c r="B470" s="88" t="s">
        <v>2754</v>
      </c>
      <c r="C470" s="89">
        <v>1.097988084E9</v>
      </c>
      <c r="D470" s="89" t="str">
        <f t="shared" si="1"/>
        <v>주청주8084</v>
      </c>
      <c r="E470" s="89" t="s">
        <v>5611</v>
      </c>
      <c r="F470" s="90">
        <v>45998.441342592596</v>
      </c>
      <c r="G470" s="88" t="s">
        <v>4805</v>
      </c>
      <c r="H470" s="89" t="s">
        <v>4911</v>
      </c>
      <c r="I470" s="90">
        <v>45999.105219907404</v>
      </c>
    </row>
    <row r="471" ht="14.25" customHeight="1">
      <c r="A471" s="87">
        <v>470.0</v>
      </c>
      <c r="B471" s="88" t="s">
        <v>5369</v>
      </c>
      <c r="C471" s="89">
        <v>1.03396479E9</v>
      </c>
      <c r="D471" s="89" t="str">
        <f t="shared" si="1"/>
        <v>최광자4790</v>
      </c>
      <c r="E471" s="89" t="s">
        <v>5612</v>
      </c>
      <c r="F471" s="90">
        <v>45998.44037037037</v>
      </c>
      <c r="G471" s="88" t="s">
        <v>4792</v>
      </c>
      <c r="H471" s="91"/>
      <c r="I471" s="92"/>
    </row>
    <row r="472" ht="14.25" customHeight="1">
      <c r="A472" s="87">
        <v>471.0</v>
      </c>
      <c r="B472" s="88" t="s">
        <v>1597</v>
      </c>
      <c r="C472" s="89">
        <v>1.042008944E9</v>
      </c>
      <c r="D472" s="89" t="str">
        <f t="shared" si="1"/>
        <v>임지우8944</v>
      </c>
      <c r="E472" s="89" t="s">
        <v>5613</v>
      </c>
      <c r="F472" s="90">
        <v>45998.439409722225</v>
      </c>
      <c r="G472" s="88" t="s">
        <v>4805</v>
      </c>
      <c r="H472" s="88" t="s">
        <v>4991</v>
      </c>
      <c r="I472" s="90">
        <v>45999.10549768519</v>
      </c>
    </row>
    <row r="473" ht="14.25" customHeight="1">
      <c r="A473" s="87">
        <v>472.0</v>
      </c>
      <c r="B473" s="88" t="s">
        <v>3558</v>
      </c>
      <c r="C473" s="89">
        <v>1.0821605E9</v>
      </c>
      <c r="D473" s="89" t="str">
        <f t="shared" si="1"/>
        <v>임인경0500</v>
      </c>
      <c r="E473" s="89" t="s">
        <v>5614</v>
      </c>
      <c r="F473" s="90">
        <v>45998.436793981484</v>
      </c>
      <c r="G473" s="88" t="s">
        <v>4805</v>
      </c>
      <c r="H473" s="88" t="s">
        <v>5615</v>
      </c>
      <c r="I473" s="90">
        <v>45999.10619212963</v>
      </c>
    </row>
    <row r="474" ht="14.25" customHeight="1">
      <c r="A474" s="87">
        <v>473.0</v>
      </c>
      <c r="B474" s="88" t="s">
        <v>1691</v>
      </c>
      <c r="C474" s="89">
        <v>1.085573114E9</v>
      </c>
      <c r="D474" s="89" t="str">
        <f t="shared" si="1"/>
        <v>진라희3114</v>
      </c>
      <c r="E474" s="89" t="s">
        <v>5616</v>
      </c>
      <c r="F474" s="90">
        <v>45998.43670138889</v>
      </c>
      <c r="G474" s="88" t="s">
        <v>4805</v>
      </c>
      <c r="H474" s="88" t="s">
        <v>5617</v>
      </c>
      <c r="I474" s="90">
        <v>45999.10753472222</v>
      </c>
    </row>
    <row r="475" ht="14.25" customHeight="1">
      <c r="A475" s="87">
        <v>474.0</v>
      </c>
      <c r="B475" s="88" t="s">
        <v>3080</v>
      </c>
      <c r="C475" s="89">
        <v>1.05347121E9</v>
      </c>
      <c r="D475" s="89" t="str">
        <f t="shared" si="1"/>
        <v>김수진1210</v>
      </c>
      <c r="E475" s="89" t="s">
        <v>5618</v>
      </c>
      <c r="F475" s="90">
        <v>45998.43653935185</v>
      </c>
      <c r="G475" s="88" t="s">
        <v>4805</v>
      </c>
      <c r="H475" s="89" t="s">
        <v>4911</v>
      </c>
      <c r="I475" s="90">
        <v>45999.10894675926</v>
      </c>
    </row>
    <row r="476" ht="14.25" customHeight="1">
      <c r="A476" s="87">
        <v>475.0</v>
      </c>
      <c r="B476" s="88" t="s">
        <v>2445</v>
      </c>
      <c r="C476" s="89">
        <v>1.091947899E9</v>
      </c>
      <c r="D476" s="89" t="str">
        <f t="shared" si="1"/>
        <v>양정아7899</v>
      </c>
      <c r="E476" s="89" t="s">
        <v>5619</v>
      </c>
      <c r="F476" s="90">
        <v>45998.43591435185</v>
      </c>
      <c r="G476" s="88" t="s">
        <v>4805</v>
      </c>
      <c r="H476" s="88" t="s">
        <v>5620</v>
      </c>
      <c r="I476" s="90">
        <v>45999.11019675926</v>
      </c>
    </row>
    <row r="477" ht="14.25" customHeight="1">
      <c r="A477" s="87">
        <v>476.0</v>
      </c>
      <c r="B477" s="88" t="s">
        <v>2208</v>
      </c>
      <c r="C477" s="89">
        <v>1.053663589E9</v>
      </c>
      <c r="D477" s="89" t="str">
        <f t="shared" si="1"/>
        <v>이지아3589</v>
      </c>
      <c r="E477" s="89" t="s">
        <v>5621</v>
      </c>
      <c r="F477" s="90">
        <v>45998.435740740744</v>
      </c>
      <c r="G477" s="88" t="s">
        <v>4805</v>
      </c>
      <c r="H477" s="88" t="s">
        <v>5622</v>
      </c>
      <c r="I477" s="90">
        <v>45999.11069444445</v>
      </c>
    </row>
    <row r="478" ht="14.25" customHeight="1">
      <c r="A478" s="87">
        <v>477.0</v>
      </c>
      <c r="B478" s="88" t="s">
        <v>5480</v>
      </c>
      <c r="C478" s="89">
        <v>1.063735204E9</v>
      </c>
      <c r="D478" s="89" t="str">
        <f t="shared" si="1"/>
        <v>조현우5204</v>
      </c>
      <c r="E478" s="89" t="s">
        <v>5623</v>
      </c>
      <c r="F478" s="90">
        <v>45998.434583333335</v>
      </c>
      <c r="G478" s="88" t="s">
        <v>4792</v>
      </c>
      <c r="H478" s="91"/>
      <c r="I478" s="92"/>
    </row>
    <row r="479" ht="14.25" customHeight="1">
      <c r="A479" s="87">
        <v>478.0</v>
      </c>
      <c r="B479" s="88" t="s">
        <v>3182</v>
      </c>
      <c r="C479" s="89">
        <v>1.095432273E9</v>
      </c>
      <c r="D479" s="89" t="str">
        <f t="shared" si="1"/>
        <v>노지은2273</v>
      </c>
      <c r="E479" s="89" t="s">
        <v>5624</v>
      </c>
      <c r="F479" s="90">
        <v>45998.43445601852</v>
      </c>
      <c r="G479" s="88" t="s">
        <v>4792</v>
      </c>
      <c r="H479" s="91"/>
      <c r="I479" s="92"/>
    </row>
    <row r="480" ht="14.25" customHeight="1">
      <c r="A480" s="87">
        <v>479.0</v>
      </c>
      <c r="B480" s="88" t="s">
        <v>5341</v>
      </c>
      <c r="C480" s="89">
        <v>1.090901122E9</v>
      </c>
      <c r="D480" s="89" t="str">
        <f t="shared" si="1"/>
        <v>차옥경1122</v>
      </c>
      <c r="E480" s="89" t="s">
        <v>5625</v>
      </c>
      <c r="F480" s="90">
        <v>45998.43331018519</v>
      </c>
      <c r="G480" s="88" t="s">
        <v>4792</v>
      </c>
      <c r="H480" s="91"/>
      <c r="I480" s="92"/>
    </row>
    <row r="481" ht="14.25" customHeight="1">
      <c r="A481" s="87">
        <v>480.0</v>
      </c>
      <c r="B481" s="88" t="s">
        <v>5626</v>
      </c>
      <c r="C481" s="89">
        <v>1.098760052E9</v>
      </c>
      <c r="D481" s="89" t="str">
        <f t="shared" si="1"/>
        <v>조슌경0052</v>
      </c>
      <c r="E481" s="89" t="s">
        <v>5627</v>
      </c>
      <c r="F481" s="90">
        <v>45998.43329861111</v>
      </c>
      <c r="G481" s="88" t="s">
        <v>4805</v>
      </c>
      <c r="H481" s="88" t="s">
        <v>4839</v>
      </c>
      <c r="I481" s="90">
        <v>45999.11210648148</v>
      </c>
    </row>
    <row r="482" ht="14.25" customHeight="1">
      <c r="A482" s="87">
        <v>481.0</v>
      </c>
      <c r="B482" s="88" t="s">
        <v>2161</v>
      </c>
      <c r="C482" s="89">
        <v>1.066877393E9</v>
      </c>
      <c r="D482" s="89" t="str">
        <f t="shared" si="1"/>
        <v>함은순7393</v>
      </c>
      <c r="E482" s="89" t="s">
        <v>5628</v>
      </c>
      <c r="F482" s="90">
        <v>45998.43277777778</v>
      </c>
      <c r="G482" s="88" t="s">
        <v>4805</v>
      </c>
      <c r="H482" s="88" t="s">
        <v>5629</v>
      </c>
      <c r="I482" s="90">
        <v>45998.45930555555</v>
      </c>
    </row>
    <row r="483" ht="14.25" customHeight="1">
      <c r="A483" s="87">
        <v>482.0</v>
      </c>
      <c r="B483" s="88" t="s">
        <v>1105</v>
      </c>
      <c r="C483" s="89">
        <v>1.073109193E9</v>
      </c>
      <c r="D483" s="89" t="str">
        <f t="shared" si="1"/>
        <v>신혜균9193</v>
      </c>
      <c r="E483" s="89" t="s">
        <v>5630</v>
      </c>
      <c r="F483" s="90">
        <v>45998.431597222225</v>
      </c>
      <c r="G483" s="88" t="s">
        <v>4805</v>
      </c>
      <c r="H483" s="89" t="s">
        <v>4911</v>
      </c>
      <c r="I483" s="90">
        <v>45999.11251157407</v>
      </c>
    </row>
    <row r="484" ht="14.25" customHeight="1">
      <c r="A484" s="87">
        <v>483.0</v>
      </c>
      <c r="B484" s="88" t="s">
        <v>5341</v>
      </c>
      <c r="C484" s="89">
        <v>1.090901122E9</v>
      </c>
      <c r="D484" s="89" t="str">
        <f t="shared" si="1"/>
        <v>차옥경1122</v>
      </c>
      <c r="E484" s="89" t="s">
        <v>5631</v>
      </c>
      <c r="F484" s="90">
        <v>45998.43140046296</v>
      </c>
      <c r="G484" s="88" t="s">
        <v>4792</v>
      </c>
      <c r="H484" s="91"/>
      <c r="I484" s="92"/>
    </row>
    <row r="485" ht="14.25" customHeight="1">
      <c r="A485" s="87">
        <v>484.0</v>
      </c>
      <c r="B485" s="88" t="s">
        <v>2796</v>
      </c>
      <c r="C485" s="89">
        <v>1.087292453E9</v>
      </c>
      <c r="D485" s="89" t="str">
        <f t="shared" si="1"/>
        <v>권명순2453</v>
      </c>
      <c r="E485" s="89" t="s">
        <v>5632</v>
      </c>
      <c r="F485" s="90">
        <v>45998.43138888889</v>
      </c>
      <c r="G485" s="88" t="s">
        <v>4805</v>
      </c>
      <c r="H485" s="88" t="s">
        <v>5633</v>
      </c>
      <c r="I485" s="90">
        <v>45999.113912037035</v>
      </c>
    </row>
    <row r="486" ht="14.25" customHeight="1">
      <c r="A486" s="87">
        <v>485.0</v>
      </c>
      <c r="B486" s="88" t="s">
        <v>1166</v>
      </c>
      <c r="C486" s="89">
        <v>1.089144973E9</v>
      </c>
      <c r="D486" s="89" t="str">
        <f t="shared" si="1"/>
        <v>서윤정4973</v>
      </c>
      <c r="E486" s="89" t="s">
        <v>5634</v>
      </c>
      <c r="F486" s="90">
        <v>45998.431238425925</v>
      </c>
      <c r="G486" s="88" t="s">
        <v>4805</v>
      </c>
      <c r="H486" s="88" t="s">
        <v>5635</v>
      </c>
      <c r="I486" s="90">
        <v>45999.511342592596</v>
      </c>
    </row>
    <row r="487" ht="14.25" customHeight="1">
      <c r="A487" s="87">
        <v>486.0</v>
      </c>
      <c r="B487" s="88" t="s">
        <v>5598</v>
      </c>
      <c r="C487" s="89">
        <v>1.073845756E9</v>
      </c>
      <c r="D487" s="89" t="str">
        <f t="shared" si="1"/>
        <v>권경숙5756</v>
      </c>
      <c r="E487" s="89" t="s">
        <v>5636</v>
      </c>
      <c r="F487" s="90">
        <v>45998.42998842592</v>
      </c>
      <c r="G487" s="88" t="s">
        <v>4805</v>
      </c>
      <c r="H487" s="88" t="s">
        <v>5637</v>
      </c>
      <c r="I487" s="90">
        <v>45998.43042824074</v>
      </c>
    </row>
    <row r="488" ht="14.25" customHeight="1">
      <c r="A488" s="87">
        <v>487.0</v>
      </c>
      <c r="B488" s="88" t="s">
        <v>3249</v>
      </c>
      <c r="C488" s="89">
        <v>1.087136217E9</v>
      </c>
      <c r="D488" s="89" t="str">
        <f t="shared" si="1"/>
        <v>박승혜6217</v>
      </c>
      <c r="E488" s="89" t="s">
        <v>5638</v>
      </c>
      <c r="F488" s="90">
        <v>45998.4296875</v>
      </c>
      <c r="G488" s="88" t="s">
        <v>4805</v>
      </c>
      <c r="H488" s="88" t="s">
        <v>5639</v>
      </c>
      <c r="I488" s="90">
        <v>45998.42998842592</v>
      </c>
    </row>
    <row r="489" ht="14.25" customHeight="1">
      <c r="A489" s="87">
        <v>488.0</v>
      </c>
      <c r="B489" s="88" t="s">
        <v>1406</v>
      </c>
      <c r="C489" s="89">
        <v>1.054335394E9</v>
      </c>
      <c r="D489" s="89" t="str">
        <f t="shared" si="1"/>
        <v>김영희5394</v>
      </c>
      <c r="E489" s="89" t="s">
        <v>5640</v>
      </c>
      <c r="F489" s="90">
        <v>45998.42900462963</v>
      </c>
      <c r="G489" s="88" t="s">
        <v>4805</v>
      </c>
      <c r="H489" s="88" t="s">
        <v>5637</v>
      </c>
      <c r="I489" s="90">
        <v>45998.43071759259</v>
      </c>
    </row>
    <row r="490" ht="14.25" customHeight="1">
      <c r="A490" s="87">
        <v>489.0</v>
      </c>
      <c r="B490" s="88" t="s">
        <v>4678</v>
      </c>
      <c r="C490" s="89">
        <v>1.094238883E9</v>
      </c>
      <c r="D490" s="89" t="str">
        <f t="shared" si="1"/>
        <v>정희연8883</v>
      </c>
      <c r="E490" s="89" t="s">
        <v>5641</v>
      </c>
      <c r="F490" s="90">
        <v>45998.428819444445</v>
      </c>
      <c r="G490" s="88" t="s">
        <v>4805</v>
      </c>
      <c r="H490" s="88" t="s">
        <v>4899</v>
      </c>
      <c r="I490" s="90">
        <v>45999.15584490741</v>
      </c>
    </row>
    <row r="491" ht="14.25" customHeight="1">
      <c r="A491" s="87">
        <v>490.0</v>
      </c>
      <c r="B491" s="88" t="s">
        <v>2463</v>
      </c>
      <c r="C491" s="89">
        <v>1.077523738E9</v>
      </c>
      <c r="D491" s="89" t="str">
        <f t="shared" si="1"/>
        <v>이지윤3738</v>
      </c>
      <c r="E491" s="89" t="s">
        <v>5642</v>
      </c>
      <c r="F491" s="90">
        <v>45998.4284375</v>
      </c>
      <c r="G491" s="88" t="s">
        <v>4805</v>
      </c>
      <c r="H491" s="88" t="s">
        <v>5643</v>
      </c>
      <c r="I491" s="90">
        <v>45999.114224537036</v>
      </c>
    </row>
    <row r="492" ht="14.25" customHeight="1">
      <c r="A492" s="87">
        <v>491.0</v>
      </c>
      <c r="B492" s="94" t="s">
        <v>2536</v>
      </c>
      <c r="C492" s="89">
        <v>1.082287883E9</v>
      </c>
      <c r="D492" s="89" t="str">
        <f t="shared" si="1"/>
        <v>김경순7883</v>
      </c>
      <c r="E492" s="89" t="s">
        <v>5644</v>
      </c>
      <c r="F492" s="90">
        <v>45998.42806712963</v>
      </c>
      <c r="G492" s="88" t="s">
        <v>4805</v>
      </c>
      <c r="H492" s="88" t="s">
        <v>5645</v>
      </c>
      <c r="I492" s="90">
        <v>45998.43082175926</v>
      </c>
    </row>
    <row r="493" ht="14.25" customHeight="1">
      <c r="A493" s="87">
        <v>492.0</v>
      </c>
      <c r="B493" s="88" t="s">
        <v>1819</v>
      </c>
      <c r="C493" s="89">
        <v>1.06648231E9</v>
      </c>
      <c r="D493" s="89" t="str">
        <f t="shared" si="1"/>
        <v>이명우2310</v>
      </c>
      <c r="E493" s="89" t="s">
        <v>5646</v>
      </c>
      <c r="F493" s="90">
        <v>45998.42804398148</v>
      </c>
      <c r="G493" s="88" t="s">
        <v>4805</v>
      </c>
      <c r="H493" s="88" t="s">
        <v>4964</v>
      </c>
      <c r="I493" s="90">
        <v>45999.50745370371</v>
      </c>
    </row>
    <row r="494" ht="14.25" customHeight="1">
      <c r="A494" s="87">
        <v>493.0</v>
      </c>
      <c r="B494" s="88" t="s">
        <v>2161</v>
      </c>
      <c r="C494" s="89">
        <v>1.092737927E9</v>
      </c>
      <c r="D494" s="89" t="str">
        <f t="shared" si="1"/>
        <v>함은순7927</v>
      </c>
      <c r="E494" s="89" t="s">
        <v>5647</v>
      </c>
      <c r="F494" s="90">
        <v>45998.42767361111</v>
      </c>
      <c r="G494" s="88" t="s">
        <v>4805</v>
      </c>
      <c r="H494" s="88" t="s">
        <v>5648</v>
      </c>
      <c r="I494" s="90">
        <v>45999.15796296296</v>
      </c>
    </row>
    <row r="495" ht="14.25" customHeight="1">
      <c r="A495" s="87">
        <v>494.0</v>
      </c>
      <c r="B495" s="88" t="s">
        <v>1537</v>
      </c>
      <c r="C495" s="89">
        <v>1.052900071E9</v>
      </c>
      <c r="D495" s="89" t="str">
        <f t="shared" si="1"/>
        <v>조미정0071</v>
      </c>
      <c r="E495" s="89" t="s">
        <v>5649</v>
      </c>
      <c r="F495" s="90">
        <v>45998.4271875</v>
      </c>
      <c r="G495" s="88" t="s">
        <v>4792</v>
      </c>
      <c r="H495" s="91"/>
      <c r="I495" s="92"/>
    </row>
    <row r="496" ht="14.25" customHeight="1">
      <c r="A496" s="87">
        <v>495.0</v>
      </c>
      <c r="B496" s="88" t="s">
        <v>1175</v>
      </c>
      <c r="C496" s="89">
        <v>1.031398556E9</v>
      </c>
      <c r="D496" s="89" t="str">
        <f t="shared" si="1"/>
        <v>임정임8556</v>
      </c>
      <c r="E496" s="89" t="s">
        <v>5650</v>
      </c>
      <c r="F496" s="90">
        <v>45998.426354166666</v>
      </c>
      <c r="G496" s="88" t="s">
        <v>4805</v>
      </c>
      <c r="H496" s="89" t="s">
        <v>5651</v>
      </c>
      <c r="I496" s="90">
        <v>45999.11682870371</v>
      </c>
    </row>
    <row r="497" ht="14.25" customHeight="1">
      <c r="A497" s="87">
        <v>496.0</v>
      </c>
      <c r="B497" s="88" t="s">
        <v>3686</v>
      </c>
      <c r="C497" s="89">
        <v>1.022221088E9</v>
      </c>
      <c r="D497" s="89" t="str">
        <f t="shared" si="1"/>
        <v>조혜원1088</v>
      </c>
      <c r="E497" s="89" t="s">
        <v>5652</v>
      </c>
      <c r="F497" s="90">
        <v>45998.42619212963</v>
      </c>
      <c r="G497" s="88" t="s">
        <v>4805</v>
      </c>
      <c r="H497" s="88" t="s">
        <v>5645</v>
      </c>
      <c r="I497" s="90">
        <v>45998.4312037037</v>
      </c>
    </row>
    <row r="498" ht="14.25" customHeight="1">
      <c r="A498" s="87">
        <v>497.0</v>
      </c>
      <c r="B498" s="88" t="s">
        <v>2678</v>
      </c>
      <c r="C498" s="89">
        <v>1.028753205E9</v>
      </c>
      <c r="D498" s="89" t="str">
        <f t="shared" si="1"/>
        <v>김옥숙3205</v>
      </c>
      <c r="E498" s="89" t="s">
        <v>5653</v>
      </c>
      <c r="F498" s="90">
        <v>45998.426145833335</v>
      </c>
      <c r="G498" s="88" t="s">
        <v>4805</v>
      </c>
      <c r="H498" s="88" t="s">
        <v>5654</v>
      </c>
      <c r="I498" s="90">
        <v>45998.45947916667</v>
      </c>
    </row>
    <row r="499" ht="14.25" customHeight="1">
      <c r="A499" s="87">
        <v>498.0</v>
      </c>
      <c r="B499" s="88" t="s">
        <v>3814</v>
      </c>
      <c r="C499" s="89">
        <v>1.092371224E9</v>
      </c>
      <c r="D499" s="89" t="str">
        <f t="shared" si="1"/>
        <v>차수진1224</v>
      </c>
      <c r="E499" s="89" t="s">
        <v>5655</v>
      </c>
      <c r="F499" s="90">
        <v>45998.42594907407</v>
      </c>
      <c r="G499" s="88" t="s">
        <v>4792</v>
      </c>
      <c r="H499" s="91"/>
      <c r="I499" s="92"/>
    </row>
    <row r="500" ht="14.25" customHeight="1">
      <c r="A500" s="87">
        <v>499.0</v>
      </c>
      <c r="B500" s="88" t="s">
        <v>4678</v>
      </c>
      <c r="C500" s="89">
        <v>1.094238883E9</v>
      </c>
      <c r="D500" s="89" t="str">
        <f t="shared" si="1"/>
        <v>정희연8883</v>
      </c>
      <c r="E500" s="89" t="s">
        <v>5656</v>
      </c>
      <c r="F500" s="90">
        <v>45998.425150462965</v>
      </c>
      <c r="G500" s="88" t="s">
        <v>4805</v>
      </c>
      <c r="H500" s="88" t="s">
        <v>5645</v>
      </c>
      <c r="I500" s="90">
        <v>45998.42759259259</v>
      </c>
    </row>
    <row r="501" ht="14.25" customHeight="1">
      <c r="A501" s="87">
        <v>500.0</v>
      </c>
      <c r="B501" s="88" t="s">
        <v>1008</v>
      </c>
      <c r="C501" s="89">
        <v>1.071380837E9</v>
      </c>
      <c r="D501" s="89" t="str">
        <f t="shared" si="1"/>
        <v>이유주0837</v>
      </c>
      <c r="E501" s="89" t="s">
        <v>5657</v>
      </c>
      <c r="F501" s="90">
        <v>45998.424212962964</v>
      </c>
      <c r="G501" s="88" t="s">
        <v>4805</v>
      </c>
      <c r="H501" s="88" t="s">
        <v>5645</v>
      </c>
      <c r="I501" s="90">
        <v>45998.424733796295</v>
      </c>
    </row>
    <row r="502" ht="14.25" customHeight="1">
      <c r="A502" s="87">
        <v>501.0</v>
      </c>
      <c r="B502" s="88" t="s">
        <v>1200</v>
      </c>
      <c r="C502" s="89">
        <v>1.089146663E9</v>
      </c>
      <c r="D502" s="89" t="str">
        <f t="shared" si="1"/>
        <v>윤성수6663</v>
      </c>
      <c r="E502" s="89" t="s">
        <v>5658</v>
      </c>
      <c r="F502" s="90">
        <v>45998.42407407407</v>
      </c>
      <c r="G502" s="88" t="s">
        <v>4805</v>
      </c>
      <c r="H502" s="88" t="s">
        <v>5659</v>
      </c>
      <c r="I502" s="90">
        <v>45999.11819444445</v>
      </c>
    </row>
    <row r="503" ht="14.25" customHeight="1">
      <c r="A503" s="87">
        <v>502.0</v>
      </c>
      <c r="B503" s="88" t="s">
        <v>2824</v>
      </c>
      <c r="C503" s="89">
        <v>1.074650369E9</v>
      </c>
      <c r="D503" s="89" t="str">
        <f t="shared" si="1"/>
        <v>김윤아0369</v>
      </c>
      <c r="E503" s="89" t="s">
        <v>5660</v>
      </c>
      <c r="F503" s="90">
        <v>45998.42333333333</v>
      </c>
      <c r="G503" s="88" t="s">
        <v>4805</v>
      </c>
      <c r="H503" s="88" t="s">
        <v>5661</v>
      </c>
      <c r="I503" s="90">
        <v>45999.16006944444</v>
      </c>
    </row>
    <row r="504" ht="14.25" customHeight="1">
      <c r="A504" s="87">
        <v>503.0</v>
      </c>
      <c r="B504" s="94" t="s">
        <v>5662</v>
      </c>
      <c r="C504" s="89">
        <v>1.062887015E9</v>
      </c>
      <c r="D504" s="89" t="str">
        <f t="shared" si="1"/>
        <v>서정원7015</v>
      </c>
      <c r="E504" s="89" t="s">
        <v>5663</v>
      </c>
      <c r="F504" s="90">
        <v>45998.42322916666</v>
      </c>
      <c r="G504" s="88" t="s">
        <v>4805</v>
      </c>
      <c r="H504" s="88" t="s">
        <v>5664</v>
      </c>
      <c r="I504" s="90">
        <v>45998.42505787037</v>
      </c>
    </row>
    <row r="505" ht="14.25" customHeight="1">
      <c r="A505" s="87">
        <v>504.0</v>
      </c>
      <c r="B505" s="88" t="s">
        <v>2459</v>
      </c>
      <c r="C505" s="89">
        <v>1.039017798E9</v>
      </c>
      <c r="D505" s="89" t="str">
        <f t="shared" si="1"/>
        <v>이경희7798</v>
      </c>
      <c r="E505" s="89" t="s">
        <v>5665</v>
      </c>
      <c r="F505" s="90">
        <v>45998.42217592592</v>
      </c>
      <c r="G505" s="88" t="s">
        <v>4805</v>
      </c>
      <c r="H505" s="88" t="s">
        <v>5645</v>
      </c>
      <c r="I505" s="90">
        <v>45998.42518518519</v>
      </c>
    </row>
    <row r="506" ht="14.25" customHeight="1">
      <c r="A506" s="87">
        <v>505.0</v>
      </c>
      <c r="B506" s="88" t="s">
        <v>3212</v>
      </c>
      <c r="C506" s="89">
        <v>1.055002109E9</v>
      </c>
      <c r="D506" s="89" t="str">
        <f t="shared" si="1"/>
        <v>박경례2109</v>
      </c>
      <c r="E506" s="89" t="s">
        <v>5666</v>
      </c>
      <c r="F506" s="90">
        <v>45998.42203703704</v>
      </c>
      <c r="G506" s="88" t="s">
        <v>4805</v>
      </c>
      <c r="H506" s="88" t="s">
        <v>5667</v>
      </c>
      <c r="I506" s="90">
        <v>45998.42530092593</v>
      </c>
    </row>
    <row r="507" ht="14.25" customHeight="1">
      <c r="A507" s="87">
        <v>506.0</v>
      </c>
      <c r="B507" s="88" t="s">
        <v>1200</v>
      </c>
      <c r="C507" s="89">
        <v>1.089146663E9</v>
      </c>
      <c r="D507" s="89" t="str">
        <f t="shared" si="1"/>
        <v>윤성수6663</v>
      </c>
      <c r="E507" s="89" t="s">
        <v>5668</v>
      </c>
      <c r="F507" s="90">
        <v>45998.42178240741</v>
      </c>
      <c r="G507" s="88" t="s">
        <v>4805</v>
      </c>
      <c r="H507" s="88" t="s">
        <v>5669</v>
      </c>
      <c r="I507" s="90">
        <v>45999.16162037037</v>
      </c>
    </row>
    <row r="508" ht="14.25" customHeight="1">
      <c r="A508" s="87">
        <v>507.0</v>
      </c>
      <c r="B508" s="88" t="s">
        <v>5670</v>
      </c>
      <c r="C508" s="89">
        <v>1.083306928E9</v>
      </c>
      <c r="D508" s="89" t="str">
        <f t="shared" si="1"/>
        <v>홍윤숙6928</v>
      </c>
      <c r="E508" s="89" t="s">
        <v>5671</v>
      </c>
      <c r="F508" s="90">
        <v>45998.42149305555</v>
      </c>
      <c r="G508" s="88" t="s">
        <v>4805</v>
      </c>
      <c r="H508" s="88" t="s">
        <v>5672</v>
      </c>
      <c r="I508" s="90">
        <v>45998.42565972222</v>
      </c>
    </row>
    <row r="509" ht="14.25" customHeight="1">
      <c r="A509" s="87">
        <v>508.0</v>
      </c>
      <c r="B509" s="88" t="s">
        <v>2819</v>
      </c>
      <c r="C509" s="89">
        <v>1.038078015E9</v>
      </c>
      <c r="D509" s="89" t="str">
        <f t="shared" si="1"/>
        <v>김순의8015</v>
      </c>
      <c r="E509" s="89" t="s">
        <v>5673</v>
      </c>
      <c r="F509" s="90">
        <v>45998.421423611115</v>
      </c>
      <c r="G509" s="88" t="s">
        <v>4805</v>
      </c>
      <c r="H509" s="89" t="s">
        <v>5674</v>
      </c>
      <c r="I509" s="90">
        <v>45999.11891203704</v>
      </c>
    </row>
    <row r="510" ht="14.25" customHeight="1">
      <c r="A510" s="87">
        <v>509.0</v>
      </c>
      <c r="B510" s="88" t="s">
        <v>2678</v>
      </c>
      <c r="C510" s="89">
        <v>1.028753205E9</v>
      </c>
      <c r="D510" s="89" t="str">
        <f t="shared" si="1"/>
        <v>김옥숙3205</v>
      </c>
      <c r="E510" s="89" t="s">
        <v>5675</v>
      </c>
      <c r="F510" s="90">
        <v>45998.42130787037</v>
      </c>
      <c r="G510" s="88" t="s">
        <v>4805</v>
      </c>
      <c r="H510" s="88" t="s">
        <v>5676</v>
      </c>
      <c r="I510" s="90">
        <v>45999.16788194444</v>
      </c>
    </row>
    <row r="511" ht="14.25" customHeight="1">
      <c r="A511" s="87">
        <v>510.0</v>
      </c>
      <c r="B511" s="88" t="s">
        <v>5677</v>
      </c>
      <c r="C511" s="89">
        <v>1.065742562E9</v>
      </c>
      <c r="D511" s="89" t="str">
        <f t="shared" si="1"/>
        <v>이숙자2562</v>
      </c>
      <c r="E511" s="89" t="s">
        <v>5678</v>
      </c>
      <c r="F511" s="90">
        <v>45998.420266203706</v>
      </c>
      <c r="G511" s="88" t="s">
        <v>4805</v>
      </c>
      <c r="H511" s="88" t="s">
        <v>5679</v>
      </c>
      <c r="I511" s="90">
        <v>45999.162986111114</v>
      </c>
    </row>
    <row r="512" ht="14.25" customHeight="1">
      <c r="A512" s="87">
        <v>511.0</v>
      </c>
      <c r="B512" s="88" t="s">
        <v>1040</v>
      </c>
      <c r="C512" s="89">
        <v>1.065562831E9</v>
      </c>
      <c r="D512" s="89" t="str">
        <f t="shared" si="1"/>
        <v>김해영2831</v>
      </c>
      <c r="E512" s="89" t="s">
        <v>5680</v>
      </c>
      <c r="F512" s="90">
        <v>45998.420115740744</v>
      </c>
      <c r="G512" s="88" t="s">
        <v>4805</v>
      </c>
      <c r="H512" s="88" t="s">
        <v>4899</v>
      </c>
      <c r="I512" s="90">
        <v>45999.16349537037</v>
      </c>
    </row>
    <row r="513" ht="14.25" customHeight="1">
      <c r="A513" s="87">
        <v>512.0</v>
      </c>
      <c r="B513" s="88" t="s">
        <v>1718</v>
      </c>
      <c r="C513" s="89">
        <v>1.077743456E9</v>
      </c>
      <c r="D513" s="89" t="str">
        <f t="shared" si="1"/>
        <v>윤민종3456</v>
      </c>
      <c r="E513" s="89" t="s">
        <v>5681</v>
      </c>
      <c r="F513" s="90">
        <v>45998.41945601852</v>
      </c>
      <c r="G513" s="88" t="s">
        <v>4805</v>
      </c>
      <c r="H513" s="88" t="s">
        <v>5682</v>
      </c>
      <c r="I513" s="90">
        <v>45998.42050925926</v>
      </c>
    </row>
    <row r="514" ht="14.25" customHeight="1">
      <c r="A514" s="87">
        <v>513.0</v>
      </c>
      <c r="B514" s="88" t="s">
        <v>3356</v>
      </c>
      <c r="C514" s="89">
        <v>1.039327505E9</v>
      </c>
      <c r="D514" s="89" t="str">
        <f t="shared" si="1"/>
        <v>신예성7505</v>
      </c>
      <c r="E514" s="89" t="s">
        <v>5683</v>
      </c>
      <c r="F514" s="90">
        <v>45998.4194212963</v>
      </c>
      <c r="G514" s="88" t="s">
        <v>4805</v>
      </c>
      <c r="H514" s="88" t="s">
        <v>5684</v>
      </c>
      <c r="I514" s="90">
        <v>45998.420636574076</v>
      </c>
    </row>
    <row r="515" ht="14.25" customHeight="1">
      <c r="A515" s="87">
        <v>514.0</v>
      </c>
      <c r="B515" s="88" t="s">
        <v>5685</v>
      </c>
      <c r="C515" s="89">
        <v>1.06249703E9</v>
      </c>
      <c r="D515" s="89" t="str">
        <f t="shared" si="1"/>
        <v>최영신7030</v>
      </c>
      <c r="E515" s="89" t="s">
        <v>5686</v>
      </c>
      <c r="F515" s="90">
        <v>45998.41900462963</v>
      </c>
      <c r="G515" s="88" t="s">
        <v>4805</v>
      </c>
      <c r="H515" s="89" t="s">
        <v>5674</v>
      </c>
      <c r="I515" s="90">
        <v>45999.120520833334</v>
      </c>
    </row>
    <row r="516" ht="14.25" customHeight="1">
      <c r="A516" s="87">
        <v>515.0</v>
      </c>
      <c r="B516" s="88" t="s">
        <v>997</v>
      </c>
      <c r="C516" s="89">
        <v>1.036611199E9</v>
      </c>
      <c r="D516" s="89" t="str">
        <f t="shared" si="1"/>
        <v>김영련1199</v>
      </c>
      <c r="E516" s="89" t="s">
        <v>5687</v>
      </c>
      <c r="F516" s="90">
        <v>45998.41881944444</v>
      </c>
      <c r="G516" s="88" t="s">
        <v>4805</v>
      </c>
      <c r="H516" s="89" t="s">
        <v>5688</v>
      </c>
      <c r="I516" s="90">
        <v>45999.12070601852</v>
      </c>
    </row>
    <row r="517" ht="14.25" customHeight="1">
      <c r="A517" s="87">
        <v>516.0</v>
      </c>
      <c r="B517" s="88" t="s">
        <v>1008</v>
      </c>
      <c r="C517" s="89">
        <v>1.071380837E9</v>
      </c>
      <c r="D517" s="89" t="str">
        <f t="shared" si="1"/>
        <v>이유주0837</v>
      </c>
      <c r="E517" s="89" t="s">
        <v>5689</v>
      </c>
      <c r="F517" s="90">
        <v>45998.418587962966</v>
      </c>
      <c r="G517" s="88" t="s">
        <v>4805</v>
      </c>
      <c r="H517" s="88" t="s">
        <v>5645</v>
      </c>
      <c r="I517" s="90">
        <v>45998.420219907406</v>
      </c>
    </row>
    <row r="518" ht="14.25" customHeight="1">
      <c r="A518" s="87">
        <v>517.0</v>
      </c>
      <c r="B518" s="88" t="s">
        <v>1228</v>
      </c>
      <c r="C518" s="89">
        <v>1.020327345E9</v>
      </c>
      <c r="D518" s="89" t="str">
        <f t="shared" si="1"/>
        <v>길미정7345</v>
      </c>
      <c r="E518" s="89" t="s">
        <v>5690</v>
      </c>
      <c r="F518" s="90">
        <v>45998.41842592593</v>
      </c>
      <c r="G518" s="88" t="s">
        <v>4805</v>
      </c>
      <c r="H518" s="89" t="s">
        <v>5674</v>
      </c>
      <c r="I518" s="90">
        <v>45999.120844907404</v>
      </c>
    </row>
    <row r="519" ht="14.25" customHeight="1">
      <c r="A519" s="87">
        <v>518.0</v>
      </c>
      <c r="B519" s="88" t="s">
        <v>5670</v>
      </c>
      <c r="C519" s="89">
        <v>1.083306928E9</v>
      </c>
      <c r="D519" s="89" t="str">
        <f t="shared" si="1"/>
        <v>홍윤숙6928</v>
      </c>
      <c r="E519" s="89" t="s">
        <v>5691</v>
      </c>
      <c r="F519" s="90">
        <v>45998.41832175926</v>
      </c>
      <c r="G519" s="88" t="s">
        <v>4805</v>
      </c>
      <c r="H519" s="88" t="s">
        <v>5692</v>
      </c>
      <c r="I519" s="90">
        <v>45998.420949074076</v>
      </c>
    </row>
    <row r="520" ht="14.25" customHeight="1">
      <c r="A520" s="87">
        <v>519.0</v>
      </c>
      <c r="B520" s="88" t="s">
        <v>3356</v>
      </c>
      <c r="C520" s="89">
        <v>1.039327505E9</v>
      </c>
      <c r="D520" s="89" t="str">
        <f t="shared" si="1"/>
        <v>신예성7505</v>
      </c>
      <c r="E520" s="89" t="s">
        <v>5693</v>
      </c>
      <c r="F520" s="90">
        <v>45998.41814814815</v>
      </c>
      <c r="G520" s="88" t="s">
        <v>4805</v>
      </c>
      <c r="H520" s="88" t="s">
        <v>5645</v>
      </c>
      <c r="I520" s="90">
        <v>45998.42015046296</v>
      </c>
    </row>
    <row r="521" ht="14.25" customHeight="1">
      <c r="A521" s="87">
        <v>520.0</v>
      </c>
      <c r="B521" s="88" t="s">
        <v>2788</v>
      </c>
      <c r="C521" s="89">
        <v>1.023615066E9</v>
      </c>
      <c r="D521" s="89" t="str">
        <f t="shared" si="1"/>
        <v>조재희5066</v>
      </c>
      <c r="E521" s="89" t="s">
        <v>5694</v>
      </c>
      <c r="F521" s="90">
        <v>45998.41804398148</v>
      </c>
      <c r="G521" s="88" t="s">
        <v>4805</v>
      </c>
      <c r="H521" s="89" t="s">
        <v>5695</v>
      </c>
      <c r="I521" s="90">
        <v>45999.12184027778</v>
      </c>
    </row>
    <row r="522" ht="14.25" customHeight="1">
      <c r="A522" s="87">
        <v>521.0</v>
      </c>
      <c r="B522" s="88" t="s">
        <v>3116</v>
      </c>
      <c r="C522" s="89">
        <v>1.041296303E9</v>
      </c>
      <c r="D522" s="89" t="str">
        <f t="shared" si="1"/>
        <v>김용분6303</v>
      </c>
      <c r="E522" s="89" t="s">
        <v>5696</v>
      </c>
      <c r="F522" s="90">
        <v>45998.41792824074</v>
      </c>
      <c r="G522" s="88" t="s">
        <v>4805</v>
      </c>
      <c r="H522" s="88" t="s">
        <v>5645</v>
      </c>
      <c r="I522" s="90">
        <v>45998.42103009259</v>
      </c>
    </row>
    <row r="523" ht="14.25" customHeight="1">
      <c r="A523" s="87">
        <v>522.0</v>
      </c>
      <c r="B523" s="88" t="s">
        <v>3139</v>
      </c>
      <c r="C523" s="89">
        <v>1.05305464E9</v>
      </c>
      <c r="D523" s="89" t="str">
        <f t="shared" si="1"/>
        <v>김종란4640</v>
      </c>
      <c r="E523" s="89" t="s">
        <v>5697</v>
      </c>
      <c r="F523" s="90">
        <v>45998.417592592596</v>
      </c>
      <c r="G523" s="88" t="s">
        <v>4805</v>
      </c>
      <c r="H523" s="89" t="s">
        <v>5572</v>
      </c>
      <c r="I523" s="90">
        <v>45999.506585648145</v>
      </c>
    </row>
    <row r="524" ht="14.25" customHeight="1">
      <c r="A524" s="87">
        <v>523.0</v>
      </c>
      <c r="B524" s="88" t="s">
        <v>2778</v>
      </c>
      <c r="C524" s="89">
        <v>1.062238801E9</v>
      </c>
      <c r="D524" s="89" t="str">
        <f t="shared" si="1"/>
        <v>유서현8801</v>
      </c>
      <c r="E524" s="89" t="s">
        <v>5698</v>
      </c>
      <c r="F524" s="90">
        <v>45998.417349537034</v>
      </c>
      <c r="G524" s="88" t="s">
        <v>4805</v>
      </c>
      <c r="H524" s="89" t="s">
        <v>5674</v>
      </c>
      <c r="I524" s="90">
        <v>45999.12195601852</v>
      </c>
    </row>
    <row r="525" ht="14.25" customHeight="1">
      <c r="A525" s="87">
        <v>524.0</v>
      </c>
      <c r="B525" s="88" t="s">
        <v>1537</v>
      </c>
      <c r="C525" s="89">
        <v>1.052900071E9</v>
      </c>
      <c r="D525" s="89" t="str">
        <f t="shared" si="1"/>
        <v>조미정0071</v>
      </c>
      <c r="E525" s="89" t="s">
        <v>5699</v>
      </c>
      <c r="F525" s="90">
        <v>45998.417337962965</v>
      </c>
      <c r="G525" s="88" t="s">
        <v>4805</v>
      </c>
      <c r="H525" s="88" t="s">
        <v>5700</v>
      </c>
      <c r="I525" s="90">
        <v>45999.50601851852</v>
      </c>
    </row>
    <row r="526" ht="14.25" customHeight="1">
      <c r="A526" s="87">
        <v>525.0</v>
      </c>
      <c r="B526" s="88" t="s">
        <v>1658</v>
      </c>
      <c r="C526" s="89">
        <v>1.04812867E9</v>
      </c>
      <c r="D526" s="89" t="str">
        <f t="shared" si="1"/>
        <v>김미라8670</v>
      </c>
      <c r="E526" s="89" t="s">
        <v>5701</v>
      </c>
      <c r="F526" s="90">
        <v>45998.41716435185</v>
      </c>
      <c r="G526" s="88" t="s">
        <v>4805</v>
      </c>
      <c r="H526" s="88" t="s">
        <v>5702</v>
      </c>
      <c r="I526" s="90">
        <v>45999.122453703705</v>
      </c>
    </row>
    <row r="527" ht="14.25" customHeight="1">
      <c r="A527" s="87">
        <v>526.0</v>
      </c>
      <c r="B527" s="88" t="s">
        <v>1033</v>
      </c>
      <c r="C527" s="89">
        <v>1.053005039E9</v>
      </c>
      <c r="D527" s="89" t="str">
        <f t="shared" si="1"/>
        <v>정옥화5039</v>
      </c>
      <c r="E527" s="89" t="s">
        <v>5703</v>
      </c>
      <c r="F527" s="90">
        <v>45998.41709490741</v>
      </c>
      <c r="G527" s="88" t="s">
        <v>4805</v>
      </c>
      <c r="H527" s="89" t="s">
        <v>5674</v>
      </c>
      <c r="I527" s="90">
        <v>45999.12258101852</v>
      </c>
    </row>
    <row r="528" ht="14.25" customHeight="1">
      <c r="A528" s="87">
        <v>527.0</v>
      </c>
      <c r="B528" s="88" t="s">
        <v>1658</v>
      </c>
      <c r="C528" s="89">
        <v>1.04812867E9</v>
      </c>
      <c r="D528" s="89" t="str">
        <f t="shared" si="1"/>
        <v>김미라8670</v>
      </c>
      <c r="E528" s="89" t="s">
        <v>5704</v>
      </c>
      <c r="F528" s="90">
        <v>45998.416655092595</v>
      </c>
      <c r="G528" s="88" t="s">
        <v>4805</v>
      </c>
      <c r="H528" s="88" t="s">
        <v>5645</v>
      </c>
      <c r="I528" s="90">
        <v>45998.42209490741</v>
      </c>
    </row>
    <row r="529" ht="14.25" customHeight="1">
      <c r="A529" s="87">
        <v>528.0</v>
      </c>
      <c r="B529" s="88" t="s">
        <v>2378</v>
      </c>
      <c r="C529" s="89">
        <v>4.045442033E9</v>
      </c>
      <c r="D529" s="89" t="str">
        <f t="shared" si="1"/>
        <v>김혜란2033</v>
      </c>
      <c r="E529" s="89" t="s">
        <v>5705</v>
      </c>
      <c r="F529" s="90">
        <v>45998.41652777778</v>
      </c>
      <c r="G529" s="88" t="s">
        <v>4805</v>
      </c>
      <c r="H529" s="88" t="s">
        <v>5706</v>
      </c>
      <c r="I529" s="90">
        <v>45999.46928240741</v>
      </c>
    </row>
    <row r="530" ht="14.25" customHeight="1">
      <c r="A530" s="87">
        <v>529.0</v>
      </c>
      <c r="B530" s="88" t="s">
        <v>1757</v>
      </c>
      <c r="C530" s="89">
        <v>1.091370607E9</v>
      </c>
      <c r="D530" s="89" t="str">
        <f t="shared" si="1"/>
        <v>황광숙0607</v>
      </c>
      <c r="E530" s="89" t="s">
        <v>5707</v>
      </c>
      <c r="F530" s="90">
        <v>45998.41646990741</v>
      </c>
      <c r="G530" s="88" t="s">
        <v>4805</v>
      </c>
      <c r="H530" s="88" t="s">
        <v>5708</v>
      </c>
      <c r="I530" s="90">
        <v>45999.16577546296</v>
      </c>
    </row>
    <row r="531" ht="14.25" customHeight="1">
      <c r="A531" s="87">
        <v>530.0</v>
      </c>
      <c r="B531" s="88" t="s">
        <v>2792</v>
      </c>
      <c r="C531" s="89">
        <v>1.056976766E9</v>
      </c>
      <c r="D531" s="89" t="str">
        <f t="shared" si="1"/>
        <v>박순정6766</v>
      </c>
      <c r="E531" s="89" t="s">
        <v>5709</v>
      </c>
      <c r="F531" s="90">
        <v>45998.41614583333</v>
      </c>
      <c r="G531" s="88" t="s">
        <v>4805</v>
      </c>
      <c r="H531" s="88" t="s">
        <v>4991</v>
      </c>
      <c r="I531" s="90">
        <v>45999.123090277775</v>
      </c>
    </row>
    <row r="532" ht="14.25" customHeight="1">
      <c r="A532" s="87">
        <v>531.0</v>
      </c>
      <c r="B532" s="88" t="s">
        <v>1179</v>
      </c>
      <c r="C532" s="89">
        <v>1.099558004E9</v>
      </c>
      <c r="D532" s="89" t="str">
        <f t="shared" si="1"/>
        <v>이정길8004</v>
      </c>
      <c r="E532" s="89" t="s">
        <v>5710</v>
      </c>
      <c r="F532" s="90">
        <v>45998.41548611111</v>
      </c>
      <c r="G532" s="88" t="s">
        <v>4805</v>
      </c>
      <c r="H532" s="88" t="s">
        <v>5711</v>
      </c>
      <c r="I532" s="90">
        <v>45999.12353009259</v>
      </c>
    </row>
    <row r="533" ht="14.25" customHeight="1">
      <c r="A533" s="87">
        <v>532.0</v>
      </c>
      <c r="B533" s="88" t="s">
        <v>5598</v>
      </c>
      <c r="C533" s="89">
        <v>1.073845756E9</v>
      </c>
      <c r="D533" s="89" t="str">
        <f t="shared" si="1"/>
        <v>권경숙5756</v>
      </c>
      <c r="E533" s="89" t="s">
        <v>5712</v>
      </c>
      <c r="F533" s="90">
        <v>45998.415451388886</v>
      </c>
      <c r="G533" s="88" t="s">
        <v>4805</v>
      </c>
      <c r="H533" s="88" t="s">
        <v>5713</v>
      </c>
      <c r="I533" s="90">
        <v>45999.12383101852</v>
      </c>
    </row>
    <row r="534" ht="14.25" customHeight="1">
      <c r="A534" s="87">
        <v>533.0</v>
      </c>
      <c r="B534" s="88" t="s">
        <v>2792</v>
      </c>
      <c r="C534" s="89">
        <v>1.056976766E9</v>
      </c>
      <c r="D534" s="89" t="str">
        <f t="shared" si="1"/>
        <v>박순정6766</v>
      </c>
      <c r="E534" s="89" t="s">
        <v>5714</v>
      </c>
      <c r="F534" s="90">
        <v>45998.41515046296</v>
      </c>
      <c r="G534" s="88" t="s">
        <v>4805</v>
      </c>
      <c r="H534" s="88" t="s">
        <v>4991</v>
      </c>
      <c r="I534" s="90">
        <v>45999.46399305556</v>
      </c>
    </row>
    <row r="535" ht="14.25" customHeight="1">
      <c r="A535" s="87">
        <v>534.0</v>
      </c>
      <c r="B535" s="88" t="s">
        <v>2907</v>
      </c>
      <c r="C535" s="89">
        <v>1.032351115E9</v>
      </c>
      <c r="D535" s="89" t="str">
        <f t="shared" si="1"/>
        <v>정명진1115</v>
      </c>
      <c r="E535" s="89" t="s">
        <v>5715</v>
      </c>
      <c r="F535" s="90">
        <v>45998.414375</v>
      </c>
      <c r="G535" s="88" t="s">
        <v>4805</v>
      </c>
      <c r="H535" s="88" t="s">
        <v>5716</v>
      </c>
      <c r="I535" s="90">
        <v>45998.88333333333</v>
      </c>
    </row>
    <row r="536" ht="14.25" customHeight="1">
      <c r="A536" s="87">
        <v>535.0</v>
      </c>
      <c r="B536" s="88" t="s">
        <v>1627</v>
      </c>
      <c r="C536" s="89">
        <v>1.080220409E9</v>
      </c>
      <c r="D536" s="89" t="str">
        <f t="shared" si="1"/>
        <v>김미0409</v>
      </c>
      <c r="E536" s="89" t="s">
        <v>5717</v>
      </c>
      <c r="F536" s="90">
        <v>45998.41416666667</v>
      </c>
      <c r="G536" s="88" t="s">
        <v>4805</v>
      </c>
      <c r="H536" s="89" t="s">
        <v>5718</v>
      </c>
      <c r="I536" s="90">
        <v>45998.883680555555</v>
      </c>
    </row>
    <row r="537" ht="14.25" customHeight="1">
      <c r="A537" s="87">
        <v>536.0</v>
      </c>
      <c r="B537" s="88" t="s">
        <v>1443</v>
      </c>
      <c r="C537" s="89">
        <v>1.033565083E9</v>
      </c>
      <c r="D537" s="89" t="str">
        <f t="shared" si="1"/>
        <v>조성권5083</v>
      </c>
      <c r="E537" s="89" t="s">
        <v>5719</v>
      </c>
      <c r="F537" s="90">
        <v>45998.41391203704</v>
      </c>
      <c r="G537" s="88" t="s">
        <v>4805</v>
      </c>
      <c r="H537" s="88" t="s">
        <v>4839</v>
      </c>
      <c r="I537" s="90">
        <v>45999.1240625</v>
      </c>
    </row>
    <row r="538" ht="14.25" customHeight="1">
      <c r="A538" s="87">
        <v>537.0</v>
      </c>
      <c r="B538" s="88" t="s">
        <v>1198</v>
      </c>
      <c r="C538" s="89">
        <v>1.092756185E9</v>
      </c>
      <c r="D538" s="89" t="str">
        <f t="shared" si="1"/>
        <v>남궁미6185</v>
      </c>
      <c r="E538" s="89" t="s">
        <v>5720</v>
      </c>
      <c r="F538" s="90">
        <v>45998.413831018515</v>
      </c>
      <c r="G538" s="88" t="s">
        <v>4805</v>
      </c>
      <c r="H538" s="89" t="s">
        <v>4911</v>
      </c>
      <c r="I538" s="90">
        <v>45999.1244212963</v>
      </c>
    </row>
    <row r="539" ht="14.25" customHeight="1">
      <c r="A539" s="87">
        <v>538.0</v>
      </c>
      <c r="B539" s="88" t="s">
        <v>5721</v>
      </c>
      <c r="C539" s="89">
        <v>1.032351115E9</v>
      </c>
      <c r="D539" s="89" t="str">
        <f t="shared" si="1"/>
        <v>차명희1115</v>
      </c>
      <c r="E539" s="89" t="s">
        <v>5722</v>
      </c>
      <c r="F539" s="90">
        <v>45998.413831018515</v>
      </c>
      <c r="G539" s="88" t="s">
        <v>4805</v>
      </c>
      <c r="H539" s="88" t="s">
        <v>5723</v>
      </c>
      <c r="I539" s="90">
        <v>45998.88263888889</v>
      </c>
    </row>
    <row r="540" ht="14.25" customHeight="1">
      <c r="A540" s="87">
        <v>539.0</v>
      </c>
      <c r="B540" s="88" t="s">
        <v>2905</v>
      </c>
      <c r="C540" s="89">
        <v>1.077919407E9</v>
      </c>
      <c r="D540" s="89" t="str">
        <f t="shared" si="1"/>
        <v>장유나9407</v>
      </c>
      <c r="E540" s="89" t="s">
        <v>5724</v>
      </c>
      <c r="F540" s="90">
        <v>45998.41263888889</v>
      </c>
      <c r="G540" s="88" t="s">
        <v>4805</v>
      </c>
      <c r="H540" s="88" t="s">
        <v>5725</v>
      </c>
      <c r="I540" s="90">
        <v>45998.880381944444</v>
      </c>
    </row>
    <row r="541" ht="14.25" customHeight="1">
      <c r="A541" s="87">
        <v>540.0</v>
      </c>
      <c r="B541" s="88" t="s">
        <v>2511</v>
      </c>
      <c r="C541" s="89">
        <v>1.052325712E9</v>
      </c>
      <c r="D541" s="89" t="str">
        <f t="shared" si="1"/>
        <v>김나영5712</v>
      </c>
      <c r="E541" s="89" t="s">
        <v>5726</v>
      </c>
      <c r="F541" s="90">
        <v>45998.41181712963</v>
      </c>
      <c r="G541" s="88" t="s">
        <v>4805</v>
      </c>
      <c r="H541" s="88" t="s">
        <v>5727</v>
      </c>
      <c r="I541" s="90">
        <v>45999.50041666667</v>
      </c>
    </row>
    <row r="542" ht="14.25" customHeight="1">
      <c r="A542" s="87">
        <v>541.0</v>
      </c>
      <c r="B542" s="88" t="s">
        <v>2893</v>
      </c>
      <c r="C542" s="89">
        <v>1.087165331E9</v>
      </c>
      <c r="D542" s="89" t="str">
        <f t="shared" si="1"/>
        <v>이자은5331</v>
      </c>
      <c r="E542" s="89" t="s">
        <v>5728</v>
      </c>
      <c r="F542" s="90">
        <v>45998.411782407406</v>
      </c>
      <c r="G542" s="88" t="s">
        <v>4805</v>
      </c>
      <c r="H542" s="88" t="s">
        <v>5729</v>
      </c>
      <c r="I542" s="90">
        <v>45998.87961805556</v>
      </c>
    </row>
    <row r="543" ht="14.25" customHeight="1">
      <c r="A543" s="87">
        <v>542.0</v>
      </c>
      <c r="B543" s="88" t="s">
        <v>1276</v>
      </c>
      <c r="C543" s="89">
        <v>1.03770132E9</v>
      </c>
      <c r="D543" s="89" t="str">
        <f t="shared" si="1"/>
        <v>이귀례1320</v>
      </c>
      <c r="E543" s="89" t="s">
        <v>5730</v>
      </c>
      <c r="F543" s="90">
        <v>45998.41158564815</v>
      </c>
      <c r="G543" s="88" t="s">
        <v>4805</v>
      </c>
      <c r="H543" s="88" t="s">
        <v>5731</v>
      </c>
      <c r="I543" s="90">
        <v>45999.49664351852</v>
      </c>
    </row>
    <row r="544" ht="14.25" customHeight="1">
      <c r="A544" s="87">
        <v>543.0</v>
      </c>
      <c r="B544" s="88" t="s">
        <v>2901</v>
      </c>
      <c r="C544" s="89">
        <v>1.07937263E9</v>
      </c>
      <c r="D544" s="89" t="str">
        <f t="shared" si="1"/>
        <v>임주연2630</v>
      </c>
      <c r="E544" s="89" t="s">
        <v>5732</v>
      </c>
      <c r="F544" s="90">
        <v>45998.41155092593</v>
      </c>
      <c r="G544" s="88" t="s">
        <v>4805</v>
      </c>
      <c r="H544" s="89" t="s">
        <v>4911</v>
      </c>
      <c r="I544" s="90">
        <v>45999.12664351852</v>
      </c>
    </row>
    <row r="545" ht="14.25" customHeight="1">
      <c r="A545" s="87">
        <v>544.0</v>
      </c>
      <c r="B545" s="88" t="s">
        <v>2776</v>
      </c>
      <c r="C545" s="89">
        <v>1.037239863E9</v>
      </c>
      <c r="D545" s="89" t="str">
        <f t="shared" si="1"/>
        <v>서정숙9863</v>
      </c>
      <c r="E545" s="89" t="s">
        <v>5733</v>
      </c>
      <c r="F545" s="90">
        <v>45998.41103009259</v>
      </c>
      <c r="G545" s="88" t="s">
        <v>4805</v>
      </c>
      <c r="H545" s="88" t="s">
        <v>5734</v>
      </c>
      <c r="I545" s="90">
        <v>45998.87893518519</v>
      </c>
    </row>
    <row r="546" ht="14.25" customHeight="1">
      <c r="A546" s="87">
        <v>545.0</v>
      </c>
      <c r="B546" s="88" t="s">
        <v>1267</v>
      </c>
      <c r="C546" s="89">
        <v>1.076573075E9</v>
      </c>
      <c r="D546" s="89" t="str">
        <f t="shared" si="1"/>
        <v>강경희3075</v>
      </c>
      <c r="E546" s="89" t="s">
        <v>5735</v>
      </c>
      <c r="F546" s="90">
        <v>45998.41101851852</v>
      </c>
      <c r="G546" s="88" t="s">
        <v>4805</v>
      </c>
      <c r="H546" s="88" t="s">
        <v>4899</v>
      </c>
      <c r="I546" s="90">
        <v>45999.169699074075</v>
      </c>
    </row>
    <row r="547" ht="14.25" customHeight="1">
      <c r="A547" s="87">
        <v>546.0</v>
      </c>
      <c r="B547" s="88" t="s">
        <v>2161</v>
      </c>
      <c r="C547" s="89">
        <v>1.066877393E9</v>
      </c>
      <c r="D547" s="89" t="str">
        <f t="shared" si="1"/>
        <v>함은순7393</v>
      </c>
      <c r="E547" s="89" t="s">
        <v>5736</v>
      </c>
      <c r="F547" s="90">
        <v>45998.41097222222</v>
      </c>
      <c r="G547" s="88" t="s">
        <v>4805</v>
      </c>
      <c r="H547" s="89" t="s">
        <v>4911</v>
      </c>
      <c r="I547" s="90">
        <v>45999.12768518519</v>
      </c>
    </row>
    <row r="548" ht="14.25" customHeight="1">
      <c r="A548" s="87">
        <v>547.0</v>
      </c>
      <c r="B548" s="88" t="s">
        <v>2378</v>
      </c>
      <c r="C548" s="89">
        <v>1.045442033E9</v>
      </c>
      <c r="D548" s="89" t="str">
        <f t="shared" si="1"/>
        <v>김혜란2033</v>
      </c>
      <c r="E548" s="89" t="s">
        <v>5737</v>
      </c>
      <c r="F548" s="90">
        <v>45998.41092592593</v>
      </c>
      <c r="G548" s="88" t="s">
        <v>4805</v>
      </c>
      <c r="H548" s="88" t="s">
        <v>5738</v>
      </c>
      <c r="I548" s="90">
        <v>45999.491585648146</v>
      </c>
    </row>
    <row r="549" ht="14.25" customHeight="1">
      <c r="A549" s="87">
        <v>548.0</v>
      </c>
      <c r="B549" s="88" t="s">
        <v>2813</v>
      </c>
      <c r="C549" s="89">
        <v>1.022117611E9</v>
      </c>
      <c r="D549" s="89" t="str">
        <f t="shared" si="1"/>
        <v>김미숙7611</v>
      </c>
      <c r="E549" s="89" t="s">
        <v>5739</v>
      </c>
      <c r="F549" s="90">
        <v>45998.41082175926</v>
      </c>
      <c r="G549" s="88" t="s">
        <v>4805</v>
      </c>
      <c r="H549" s="88" t="s">
        <v>5740</v>
      </c>
      <c r="I549" s="90">
        <v>45999.130474537036</v>
      </c>
    </row>
    <row r="550" ht="14.25" customHeight="1">
      <c r="A550" s="87">
        <v>549.0</v>
      </c>
      <c r="B550" s="88" t="s">
        <v>2511</v>
      </c>
      <c r="C550" s="89">
        <v>1.052325712E9</v>
      </c>
      <c r="D550" s="89" t="str">
        <f t="shared" si="1"/>
        <v>김나영5712</v>
      </c>
      <c r="E550" s="89" t="s">
        <v>5741</v>
      </c>
      <c r="F550" s="90">
        <v>45998.41025462963</v>
      </c>
      <c r="G550" s="88" t="s">
        <v>4805</v>
      </c>
      <c r="H550" s="89" t="s">
        <v>5742</v>
      </c>
      <c r="I550" s="90">
        <v>45998.8783912037</v>
      </c>
    </row>
    <row r="551" ht="14.25" customHeight="1">
      <c r="A551" s="87">
        <v>550.0</v>
      </c>
      <c r="B551" s="88" t="s">
        <v>3485</v>
      </c>
      <c r="C551" s="89">
        <v>1.022498958E9</v>
      </c>
      <c r="D551" s="89" t="str">
        <f t="shared" si="1"/>
        <v>이선이8958</v>
      </c>
      <c r="E551" s="89" t="s">
        <v>5743</v>
      </c>
      <c r="F551" s="90">
        <v>45998.41024305556</v>
      </c>
      <c r="G551" s="88" t="s">
        <v>4805</v>
      </c>
      <c r="H551" s="88" t="s">
        <v>4991</v>
      </c>
      <c r="I551" s="90">
        <v>45999.130694444444</v>
      </c>
    </row>
    <row r="552" ht="14.25" customHeight="1">
      <c r="A552" s="87">
        <v>551.0</v>
      </c>
      <c r="B552" s="88" t="s">
        <v>5744</v>
      </c>
      <c r="C552" s="89">
        <v>1.051227552E9</v>
      </c>
      <c r="D552" s="89" t="str">
        <f t="shared" si="1"/>
        <v>오서연7552</v>
      </c>
      <c r="E552" s="89" t="s">
        <v>5745</v>
      </c>
      <c r="F552" s="90">
        <v>45998.41018518519</v>
      </c>
      <c r="G552" s="88" t="s">
        <v>4805</v>
      </c>
      <c r="H552" s="88" t="s">
        <v>5746</v>
      </c>
      <c r="I552" s="90">
        <v>45999.17144675926</v>
      </c>
    </row>
    <row r="553" ht="14.25" customHeight="1">
      <c r="A553" s="87">
        <v>552.0</v>
      </c>
      <c r="B553" s="88" t="s">
        <v>1008</v>
      </c>
      <c r="C553" s="89">
        <v>1.071380837E9</v>
      </c>
      <c r="D553" s="89" t="str">
        <f t="shared" si="1"/>
        <v>이유주0837</v>
      </c>
      <c r="E553" s="89" t="s">
        <v>5747</v>
      </c>
      <c r="F553" s="90">
        <v>45998.41017361111</v>
      </c>
      <c r="G553" s="88" t="s">
        <v>4805</v>
      </c>
      <c r="H553" s="88" t="s">
        <v>5748</v>
      </c>
      <c r="I553" s="90">
        <v>45999.172418981485</v>
      </c>
    </row>
    <row r="554" ht="14.25" customHeight="1">
      <c r="A554" s="87">
        <v>553.0</v>
      </c>
      <c r="B554" s="88" t="s">
        <v>1215</v>
      </c>
      <c r="C554" s="89">
        <v>1.028872262E9</v>
      </c>
      <c r="D554" s="89" t="str">
        <f t="shared" si="1"/>
        <v>채미향2262</v>
      </c>
      <c r="E554" s="89" t="s">
        <v>5749</v>
      </c>
      <c r="F554" s="90">
        <v>45998.40997685185</v>
      </c>
      <c r="G554" s="88" t="s">
        <v>4805</v>
      </c>
      <c r="H554" s="88" t="s">
        <v>5750</v>
      </c>
      <c r="I554" s="90">
        <v>45998.87598379629</v>
      </c>
    </row>
    <row r="555" ht="14.25" customHeight="1">
      <c r="A555" s="87">
        <v>554.0</v>
      </c>
      <c r="B555" s="88" t="s">
        <v>3905</v>
      </c>
      <c r="C555" s="89">
        <v>1.041147399E9</v>
      </c>
      <c r="D555" s="89" t="str">
        <f t="shared" si="1"/>
        <v>경현옥7399</v>
      </c>
      <c r="E555" s="89" t="s">
        <v>5751</v>
      </c>
      <c r="F555" s="90">
        <v>45998.40980324074</v>
      </c>
      <c r="G555" s="88" t="s">
        <v>4805</v>
      </c>
      <c r="H555" s="88" t="s">
        <v>5752</v>
      </c>
      <c r="I555" s="90">
        <v>45999.132997685185</v>
      </c>
    </row>
    <row r="556" ht="14.25" customHeight="1">
      <c r="A556" s="87">
        <v>555.0</v>
      </c>
      <c r="B556" s="88" t="s">
        <v>2161</v>
      </c>
      <c r="C556" s="89">
        <v>1.092737927E9</v>
      </c>
      <c r="D556" s="89" t="str">
        <f t="shared" si="1"/>
        <v>함은순7927</v>
      </c>
      <c r="E556" s="89" t="s">
        <v>5753</v>
      </c>
      <c r="F556" s="90">
        <v>45998.40959490741</v>
      </c>
      <c r="G556" s="88" t="s">
        <v>4805</v>
      </c>
      <c r="H556" s="88" t="s">
        <v>5754</v>
      </c>
      <c r="I556" s="90">
        <v>45999.114270833335</v>
      </c>
    </row>
    <row r="557" ht="14.25" customHeight="1">
      <c r="A557" s="87">
        <v>556.0</v>
      </c>
      <c r="B557" s="88" t="s">
        <v>1129</v>
      </c>
      <c r="C557" s="89">
        <v>1.02612161E9</v>
      </c>
      <c r="D557" s="89" t="str">
        <f t="shared" si="1"/>
        <v>임경선1610</v>
      </c>
      <c r="E557" s="89" t="s">
        <v>5755</v>
      </c>
      <c r="F557" s="90">
        <v>45998.409166666665</v>
      </c>
      <c r="G557" s="88" t="s">
        <v>4805</v>
      </c>
      <c r="H557" s="88" t="s">
        <v>5756</v>
      </c>
      <c r="I557" s="90">
        <v>45999.48979166667</v>
      </c>
    </row>
    <row r="558" ht="14.25" customHeight="1">
      <c r="A558" s="87">
        <v>557.0</v>
      </c>
      <c r="B558" s="88" t="s">
        <v>1200</v>
      </c>
      <c r="C558" s="89">
        <v>1.089146663E9</v>
      </c>
      <c r="D558" s="89" t="str">
        <f t="shared" si="1"/>
        <v>윤성수6663</v>
      </c>
      <c r="E558" s="89" t="s">
        <v>5757</v>
      </c>
      <c r="F558" s="90">
        <v>45998.40892361111</v>
      </c>
      <c r="G558" s="88" t="s">
        <v>4805</v>
      </c>
      <c r="H558" s="88" t="s">
        <v>5758</v>
      </c>
      <c r="I558" s="90">
        <v>45998.87464120371</v>
      </c>
    </row>
    <row r="559" ht="14.25" customHeight="1">
      <c r="A559" s="87">
        <v>558.0</v>
      </c>
      <c r="B559" s="88" t="s">
        <v>2289</v>
      </c>
      <c r="C559" s="89">
        <v>1.087443275E9</v>
      </c>
      <c r="D559" s="89" t="str">
        <f t="shared" si="1"/>
        <v>박경순3275</v>
      </c>
      <c r="E559" s="89" t="s">
        <v>5759</v>
      </c>
      <c r="F559" s="90">
        <v>45998.40871527778</v>
      </c>
      <c r="G559" s="88" t="s">
        <v>4805</v>
      </c>
      <c r="H559" s="88" t="s">
        <v>4991</v>
      </c>
      <c r="I559" s="90">
        <v>45998.87362268518</v>
      </c>
    </row>
    <row r="560" ht="14.25" customHeight="1">
      <c r="A560" s="87">
        <v>559.0</v>
      </c>
      <c r="B560" s="88" t="s">
        <v>1004</v>
      </c>
      <c r="C560" s="89">
        <v>1.030005125E9</v>
      </c>
      <c r="D560" s="89" t="str">
        <f t="shared" si="1"/>
        <v>정시유5125</v>
      </c>
      <c r="E560" s="89" t="s">
        <v>5760</v>
      </c>
      <c r="F560" s="90">
        <v>45998.40855324074</v>
      </c>
      <c r="G560" s="88" t="s">
        <v>4805</v>
      </c>
      <c r="H560" s="88" t="s">
        <v>4964</v>
      </c>
      <c r="I560" s="90">
        <v>45999.46309027778</v>
      </c>
    </row>
    <row r="561" ht="14.25" customHeight="1">
      <c r="A561" s="87">
        <v>560.0</v>
      </c>
      <c r="B561" s="88" t="s">
        <v>5369</v>
      </c>
      <c r="C561" s="89">
        <v>1.03396479E9</v>
      </c>
      <c r="D561" s="89" t="str">
        <f t="shared" si="1"/>
        <v>최광자4790</v>
      </c>
      <c r="E561" s="89" t="s">
        <v>5761</v>
      </c>
      <c r="F561" s="90">
        <v>45998.407905092594</v>
      </c>
      <c r="G561" s="88" t="s">
        <v>4805</v>
      </c>
      <c r="H561" s="88" t="s">
        <v>5762</v>
      </c>
      <c r="I561" s="90">
        <v>45999.13344907408</v>
      </c>
    </row>
    <row r="562" ht="14.25" customHeight="1">
      <c r="A562" s="87">
        <v>561.0</v>
      </c>
      <c r="B562" s="88" t="s">
        <v>3317</v>
      </c>
      <c r="C562" s="89">
        <v>1.090039696E9</v>
      </c>
      <c r="D562" s="89" t="str">
        <f t="shared" si="1"/>
        <v>서경숙9696</v>
      </c>
      <c r="E562" s="89" t="s">
        <v>5763</v>
      </c>
      <c r="F562" s="90">
        <v>45998.40782407407</v>
      </c>
      <c r="G562" s="88" t="s">
        <v>4805</v>
      </c>
      <c r="H562" s="88" t="s">
        <v>4991</v>
      </c>
      <c r="I562" s="90">
        <v>45998.873194444444</v>
      </c>
    </row>
    <row r="563" ht="14.25" customHeight="1">
      <c r="A563" s="87">
        <v>562.0</v>
      </c>
      <c r="B563" s="88" t="s">
        <v>2418</v>
      </c>
      <c r="C563" s="89">
        <v>1.030347953E9</v>
      </c>
      <c r="D563" s="89" t="str">
        <f t="shared" si="1"/>
        <v>장현정7953</v>
      </c>
      <c r="E563" s="89" t="s">
        <v>5764</v>
      </c>
      <c r="F563" s="90">
        <v>45998.407800925925</v>
      </c>
      <c r="G563" s="88" t="s">
        <v>4805</v>
      </c>
      <c r="H563" s="88" t="s">
        <v>4991</v>
      </c>
      <c r="I563" s="90">
        <v>45998.873460648145</v>
      </c>
    </row>
    <row r="564" ht="14.25" customHeight="1">
      <c r="A564" s="87">
        <v>563.0</v>
      </c>
      <c r="B564" s="88" t="s">
        <v>3894</v>
      </c>
      <c r="C564" s="89">
        <v>1.044082577E9</v>
      </c>
      <c r="D564" s="89" t="str">
        <f t="shared" si="1"/>
        <v>신지우2577</v>
      </c>
      <c r="E564" s="89" t="s">
        <v>5765</v>
      </c>
      <c r="F564" s="90">
        <v>45998.4077662037</v>
      </c>
      <c r="G564" s="88" t="s">
        <v>4805</v>
      </c>
      <c r="H564" s="88" t="s">
        <v>5766</v>
      </c>
      <c r="I564" s="90">
        <v>45998.87300925926</v>
      </c>
    </row>
    <row r="565" ht="14.25" customHeight="1">
      <c r="A565" s="87">
        <v>564.0</v>
      </c>
      <c r="B565" s="88" t="s">
        <v>5767</v>
      </c>
      <c r="C565" s="89">
        <v>1.06513458E9</v>
      </c>
      <c r="D565" s="89" t="str">
        <f t="shared" si="1"/>
        <v>이연옥4580</v>
      </c>
      <c r="E565" s="89" t="s">
        <v>5768</v>
      </c>
      <c r="F565" s="90">
        <v>45998.40773148148</v>
      </c>
      <c r="G565" s="88" t="s">
        <v>4792</v>
      </c>
      <c r="H565" s="91"/>
      <c r="I565" s="92"/>
    </row>
    <row r="566" ht="14.25" customHeight="1">
      <c r="A566" s="87">
        <v>565.0</v>
      </c>
      <c r="B566" s="88" t="s">
        <v>3268</v>
      </c>
      <c r="C566" s="89">
        <v>1.038784521E9</v>
      </c>
      <c r="D566" s="89" t="str">
        <f t="shared" si="1"/>
        <v>박은숙4521</v>
      </c>
      <c r="E566" s="89" t="s">
        <v>5769</v>
      </c>
      <c r="F566" s="90">
        <v>45998.40761574074</v>
      </c>
      <c r="G566" s="88" t="s">
        <v>4805</v>
      </c>
      <c r="H566" s="88" t="s">
        <v>4991</v>
      </c>
      <c r="I566" s="90">
        <v>45999.134108796294</v>
      </c>
    </row>
    <row r="567" ht="14.25" customHeight="1">
      <c r="A567" s="87">
        <v>566.0</v>
      </c>
      <c r="B567" s="88" t="s">
        <v>1115</v>
      </c>
      <c r="C567" s="89">
        <v>1.030217889E9</v>
      </c>
      <c r="D567" s="89" t="str">
        <f t="shared" si="1"/>
        <v>강정옥7889</v>
      </c>
      <c r="E567" s="89" t="s">
        <v>5770</v>
      </c>
      <c r="F567" s="90">
        <v>45998.40733796296</v>
      </c>
      <c r="G567" s="88" t="s">
        <v>4805</v>
      </c>
      <c r="H567" s="88" t="s">
        <v>5771</v>
      </c>
      <c r="I567" s="90">
        <v>45998.872245370374</v>
      </c>
    </row>
    <row r="568" ht="14.25" customHeight="1">
      <c r="A568" s="87">
        <v>567.0</v>
      </c>
      <c r="B568" s="88" t="s">
        <v>2107</v>
      </c>
      <c r="C568" s="89">
        <v>1.026108235E9</v>
      </c>
      <c r="D568" s="89" t="str">
        <f t="shared" si="1"/>
        <v>류선균8235</v>
      </c>
      <c r="E568" s="89" t="s">
        <v>5772</v>
      </c>
      <c r="F568" s="90">
        <v>45998.407314814816</v>
      </c>
      <c r="G568" s="88" t="s">
        <v>4805</v>
      </c>
      <c r="H568" s="88" t="s">
        <v>5773</v>
      </c>
      <c r="I568" s="90">
        <v>45999.18615740741</v>
      </c>
    </row>
    <row r="569" ht="14.25" customHeight="1">
      <c r="A569" s="87">
        <v>568.0</v>
      </c>
      <c r="B569" s="88" t="s">
        <v>2794</v>
      </c>
      <c r="C569" s="89">
        <v>1.062775423E9</v>
      </c>
      <c r="D569" s="89" t="str">
        <f t="shared" si="1"/>
        <v>강계순5423</v>
      </c>
      <c r="E569" s="89" t="s">
        <v>5774</v>
      </c>
      <c r="F569" s="90">
        <v>45998.40730324074</v>
      </c>
      <c r="G569" s="88" t="s">
        <v>4805</v>
      </c>
      <c r="H569" s="88" t="s">
        <v>5775</v>
      </c>
      <c r="I569" s="90">
        <v>45998.87121527778</v>
      </c>
    </row>
    <row r="570" ht="14.25" customHeight="1">
      <c r="A570" s="87">
        <v>569.0</v>
      </c>
      <c r="B570" s="88" t="s">
        <v>2939</v>
      </c>
      <c r="C570" s="89">
        <v>1.091067413E9</v>
      </c>
      <c r="D570" s="89" t="str">
        <f t="shared" si="1"/>
        <v>홍유식7413</v>
      </c>
      <c r="E570" s="89" t="s">
        <v>5776</v>
      </c>
      <c r="F570" s="90">
        <v>45998.40709490741</v>
      </c>
      <c r="G570" s="88" t="s">
        <v>4805</v>
      </c>
      <c r="H570" s="88" t="s">
        <v>5777</v>
      </c>
      <c r="I570" s="90">
        <v>45998.868252314816</v>
      </c>
    </row>
    <row r="571" ht="14.25" customHeight="1">
      <c r="A571" s="87">
        <v>570.0</v>
      </c>
      <c r="B571" s="88" t="s">
        <v>5778</v>
      </c>
      <c r="C571" s="89">
        <v>1.086869945E9</v>
      </c>
      <c r="D571" s="89" t="str">
        <f t="shared" si="1"/>
        <v>양정희9945</v>
      </c>
      <c r="E571" s="89" t="s">
        <v>5779</v>
      </c>
      <c r="F571" s="90">
        <v>45998.407002314816</v>
      </c>
      <c r="G571" s="88" t="s">
        <v>4792</v>
      </c>
      <c r="H571" s="91"/>
      <c r="I571" s="92"/>
    </row>
    <row r="572" ht="14.25" customHeight="1">
      <c r="A572" s="87">
        <v>571.0</v>
      </c>
      <c r="B572" s="88" t="s">
        <v>3547</v>
      </c>
      <c r="C572" s="89">
        <v>1.063410952E9</v>
      </c>
      <c r="D572" s="89" t="str">
        <f t="shared" si="1"/>
        <v>임상빈0952</v>
      </c>
      <c r="E572" s="89" t="s">
        <v>5780</v>
      </c>
      <c r="F572" s="90">
        <v>45998.40692129629</v>
      </c>
      <c r="G572" s="88" t="s">
        <v>4805</v>
      </c>
      <c r="H572" s="88" t="s">
        <v>4839</v>
      </c>
      <c r="I572" s="90">
        <v>45998.866585648146</v>
      </c>
    </row>
    <row r="573" ht="14.25" customHeight="1">
      <c r="A573" s="87">
        <v>572.0</v>
      </c>
      <c r="B573" s="88" t="s">
        <v>2858</v>
      </c>
      <c r="C573" s="89">
        <v>1.091411647E9</v>
      </c>
      <c r="D573" s="89" t="str">
        <f t="shared" si="1"/>
        <v>손전수1647</v>
      </c>
      <c r="E573" s="89" t="s">
        <v>5781</v>
      </c>
      <c r="F573" s="90">
        <v>45998.406863425924</v>
      </c>
      <c r="G573" s="88" t="s">
        <v>4805</v>
      </c>
      <c r="H573" s="88" t="s">
        <v>5782</v>
      </c>
      <c r="I573" s="90">
        <v>45998.866273148145</v>
      </c>
    </row>
    <row r="574" ht="14.25" customHeight="1">
      <c r="A574" s="87">
        <v>573.0</v>
      </c>
      <c r="B574" s="88" t="s">
        <v>2923</v>
      </c>
      <c r="C574" s="89">
        <v>1.077368663E9</v>
      </c>
      <c r="D574" s="89" t="str">
        <f t="shared" si="1"/>
        <v>추민지8663</v>
      </c>
      <c r="E574" s="89" t="s">
        <v>5783</v>
      </c>
      <c r="F574" s="90">
        <v>45998.406863425924</v>
      </c>
      <c r="G574" s="88" t="s">
        <v>4805</v>
      </c>
      <c r="H574" s="88" t="s">
        <v>5784</v>
      </c>
      <c r="I574" s="90">
        <v>45998.870092592595</v>
      </c>
    </row>
    <row r="575" ht="14.25" customHeight="1">
      <c r="A575" s="87">
        <v>574.0</v>
      </c>
      <c r="B575" s="88" t="s">
        <v>5785</v>
      </c>
      <c r="C575" s="89">
        <v>1.020007579E9</v>
      </c>
      <c r="D575" s="89" t="str">
        <f t="shared" si="1"/>
        <v>박소은7579</v>
      </c>
      <c r="E575" s="89" t="s">
        <v>5786</v>
      </c>
      <c r="F575" s="90">
        <v>45998.406805555554</v>
      </c>
      <c r="G575" s="88" t="s">
        <v>4805</v>
      </c>
      <c r="H575" s="88" t="s">
        <v>5787</v>
      </c>
      <c r="I575" s="90">
        <v>45999.038981481484</v>
      </c>
    </row>
    <row r="576" ht="14.25" customHeight="1">
      <c r="A576" s="87">
        <v>575.0</v>
      </c>
      <c r="B576" s="88" t="s">
        <v>2758</v>
      </c>
      <c r="C576" s="89">
        <v>1.023009543E9</v>
      </c>
      <c r="D576" s="89" t="str">
        <f t="shared" si="1"/>
        <v>김경신9543</v>
      </c>
      <c r="E576" s="89" t="s">
        <v>5788</v>
      </c>
      <c r="F576" s="90">
        <v>45998.40671296296</v>
      </c>
      <c r="G576" s="88" t="s">
        <v>4805</v>
      </c>
      <c r="H576" s="88" t="s">
        <v>5789</v>
      </c>
      <c r="I576" s="90">
        <v>45998.994305555556</v>
      </c>
    </row>
    <row r="577" ht="14.25" customHeight="1">
      <c r="A577" s="87">
        <v>576.0</v>
      </c>
      <c r="B577" s="88" t="s">
        <v>5790</v>
      </c>
      <c r="C577" s="89">
        <v>1.037713293E9</v>
      </c>
      <c r="D577" s="89" t="str">
        <f t="shared" si="1"/>
        <v>최소영3293</v>
      </c>
      <c r="E577" s="89" t="s">
        <v>5791</v>
      </c>
      <c r="F577" s="90">
        <v>45998.406539351854</v>
      </c>
      <c r="G577" s="88" t="s">
        <v>4805</v>
      </c>
      <c r="H577" s="88" t="s">
        <v>5792</v>
      </c>
      <c r="I577" s="90">
        <v>45998.99364583333</v>
      </c>
    </row>
    <row r="578" ht="14.25" customHeight="1">
      <c r="A578" s="87">
        <v>577.0</v>
      </c>
      <c r="B578" s="88" t="s">
        <v>2933</v>
      </c>
      <c r="C578" s="89">
        <v>1.092866206E9</v>
      </c>
      <c r="D578" s="89" t="str">
        <f t="shared" si="1"/>
        <v>한혜정6206</v>
      </c>
      <c r="E578" s="89" t="s">
        <v>5793</v>
      </c>
      <c r="F578" s="90">
        <v>45998.40635416667</v>
      </c>
      <c r="G578" s="88" t="s">
        <v>4805</v>
      </c>
      <c r="H578" s="88" t="s">
        <v>5794</v>
      </c>
      <c r="I578" s="90">
        <v>45998.86274305556</v>
      </c>
    </row>
    <row r="579" ht="14.25" customHeight="1">
      <c r="A579" s="87">
        <v>578.0</v>
      </c>
      <c r="B579" s="88" t="s">
        <v>1593</v>
      </c>
      <c r="C579" s="89">
        <v>1.027909242E9</v>
      </c>
      <c r="D579" s="89" t="str">
        <f t="shared" si="1"/>
        <v>김승여9242</v>
      </c>
      <c r="E579" s="89" t="s">
        <v>5795</v>
      </c>
      <c r="F579" s="90">
        <v>45998.40621527778</v>
      </c>
      <c r="G579" s="88" t="s">
        <v>4805</v>
      </c>
      <c r="H579" s="88" t="s">
        <v>5796</v>
      </c>
      <c r="I579" s="90">
        <v>45998.86140046296</v>
      </c>
    </row>
    <row r="580" ht="14.25" customHeight="1">
      <c r="A580" s="87">
        <v>579.0</v>
      </c>
      <c r="B580" s="88" t="s">
        <v>1288</v>
      </c>
      <c r="C580" s="89">
        <v>1.045324674E9</v>
      </c>
      <c r="D580" s="89" t="str">
        <f t="shared" si="1"/>
        <v>김경애4674</v>
      </c>
      <c r="E580" s="89" t="s">
        <v>5797</v>
      </c>
      <c r="F580" s="90">
        <v>45998.406006944446</v>
      </c>
      <c r="G580" s="88" t="s">
        <v>4805</v>
      </c>
      <c r="H580" s="88" t="s">
        <v>4991</v>
      </c>
      <c r="I580" s="90">
        <v>45998.86</v>
      </c>
    </row>
    <row r="581" ht="14.25" customHeight="1">
      <c r="A581" s="87">
        <v>580.0</v>
      </c>
      <c r="B581" s="88" t="s">
        <v>3025</v>
      </c>
      <c r="C581" s="89">
        <v>1.033667785E9</v>
      </c>
      <c r="D581" s="89" t="str">
        <f t="shared" si="1"/>
        <v>김금자7785</v>
      </c>
      <c r="E581" s="89" t="s">
        <v>5798</v>
      </c>
      <c r="F581" s="90">
        <v>45998.4059837963</v>
      </c>
      <c r="G581" s="88" t="s">
        <v>4805</v>
      </c>
      <c r="H581" s="88" t="s">
        <v>4991</v>
      </c>
      <c r="I581" s="90">
        <v>45998.859872685185</v>
      </c>
    </row>
    <row r="582" ht="14.25" customHeight="1">
      <c r="A582" s="87">
        <v>581.0</v>
      </c>
      <c r="B582" s="88" t="s">
        <v>1235</v>
      </c>
      <c r="C582" s="89">
        <v>1.063677766E9</v>
      </c>
      <c r="D582" s="89" t="str">
        <f t="shared" si="1"/>
        <v>김경숙7766</v>
      </c>
      <c r="E582" s="89" t="s">
        <v>5799</v>
      </c>
      <c r="F582" s="90">
        <v>45998.40586805555</v>
      </c>
      <c r="G582" s="88" t="s">
        <v>4805</v>
      </c>
      <c r="H582" s="88" t="s">
        <v>5800</v>
      </c>
      <c r="I582" s="90">
        <v>45998.859606481485</v>
      </c>
    </row>
    <row r="583" ht="14.25" customHeight="1">
      <c r="A583" s="87">
        <v>582.0</v>
      </c>
      <c r="B583" s="88" t="s">
        <v>2758</v>
      </c>
      <c r="C583" s="89">
        <v>1.023009543E9</v>
      </c>
      <c r="D583" s="89" t="str">
        <f t="shared" si="1"/>
        <v>김경신9543</v>
      </c>
      <c r="E583" s="89" t="s">
        <v>5801</v>
      </c>
      <c r="F583" s="90">
        <v>45998.405798611115</v>
      </c>
      <c r="G583" s="88" t="s">
        <v>4805</v>
      </c>
      <c r="H583" s="88" t="s">
        <v>5802</v>
      </c>
      <c r="I583" s="90">
        <v>45998.993263888886</v>
      </c>
    </row>
    <row r="584" ht="14.25" customHeight="1">
      <c r="A584" s="87">
        <v>583.0</v>
      </c>
      <c r="B584" s="88" t="s">
        <v>5803</v>
      </c>
      <c r="C584" s="89">
        <v>1.087467778E9</v>
      </c>
      <c r="D584" s="89" t="str">
        <f t="shared" si="1"/>
        <v>채지영7778</v>
      </c>
      <c r="E584" s="89" t="s">
        <v>5804</v>
      </c>
      <c r="F584" s="90">
        <v>45998.40578703704</v>
      </c>
      <c r="G584" s="88" t="s">
        <v>4805</v>
      </c>
      <c r="H584" s="88" t="s">
        <v>5805</v>
      </c>
      <c r="I584" s="90">
        <v>45998.992268518516</v>
      </c>
    </row>
    <row r="585" ht="14.25" customHeight="1">
      <c r="A585" s="87">
        <v>584.0</v>
      </c>
      <c r="B585" s="88" t="s">
        <v>3165</v>
      </c>
      <c r="C585" s="89">
        <v>1.089916097E9</v>
      </c>
      <c r="D585" s="89" t="str">
        <f t="shared" si="1"/>
        <v>김혜경6097</v>
      </c>
      <c r="E585" s="89" t="s">
        <v>5806</v>
      </c>
      <c r="F585" s="90">
        <v>45998.40571759259</v>
      </c>
      <c r="G585" s="88" t="s">
        <v>4805</v>
      </c>
      <c r="H585" s="88" t="s">
        <v>4991</v>
      </c>
      <c r="I585" s="90">
        <v>45998.85792824074</v>
      </c>
    </row>
    <row r="586" ht="14.25" customHeight="1">
      <c r="A586" s="87">
        <v>585.0</v>
      </c>
      <c r="B586" s="88" t="s">
        <v>1693</v>
      </c>
      <c r="C586" s="89">
        <v>1.046261023E9</v>
      </c>
      <c r="D586" s="89" t="str">
        <f t="shared" si="1"/>
        <v>이현정1023</v>
      </c>
      <c r="E586" s="89" t="s">
        <v>5807</v>
      </c>
      <c r="F586" s="90">
        <v>45998.4056712963</v>
      </c>
      <c r="G586" s="88" t="s">
        <v>4805</v>
      </c>
      <c r="H586" s="88" t="s">
        <v>5808</v>
      </c>
      <c r="I586" s="90">
        <v>45998.9919212963</v>
      </c>
    </row>
    <row r="587" ht="14.25" customHeight="1">
      <c r="A587" s="87">
        <v>586.0</v>
      </c>
      <c r="B587" s="88" t="s">
        <v>5809</v>
      </c>
      <c r="C587" s="89">
        <v>1.091959142E9</v>
      </c>
      <c r="D587" s="89" t="str">
        <f t="shared" si="1"/>
        <v>이희순9142</v>
      </c>
      <c r="E587" s="89" t="s">
        <v>5810</v>
      </c>
      <c r="F587" s="90">
        <v>45998.405648148146</v>
      </c>
      <c r="G587" s="88" t="s">
        <v>4805</v>
      </c>
      <c r="H587" s="88" t="s">
        <v>5811</v>
      </c>
      <c r="I587" s="90">
        <v>45998.99138888889</v>
      </c>
    </row>
    <row r="588" ht="14.25" customHeight="1">
      <c r="A588" s="87">
        <v>587.0</v>
      </c>
      <c r="B588" s="88" t="s">
        <v>2445</v>
      </c>
      <c r="C588" s="89">
        <v>1.091947899E9</v>
      </c>
      <c r="D588" s="89" t="str">
        <f t="shared" si="1"/>
        <v>양정아7899</v>
      </c>
      <c r="E588" s="89" t="s">
        <v>5812</v>
      </c>
      <c r="F588" s="90">
        <v>45998.40547453704</v>
      </c>
      <c r="G588" s="88" t="s">
        <v>4805</v>
      </c>
      <c r="H588" s="88" t="s">
        <v>5813</v>
      </c>
      <c r="I588" s="90">
        <v>45998.85599537037</v>
      </c>
    </row>
    <row r="589" ht="14.25" customHeight="1">
      <c r="A589" s="87">
        <v>588.0</v>
      </c>
      <c r="B589" s="88" t="s">
        <v>2760</v>
      </c>
      <c r="C589" s="89">
        <v>1.024159828E9</v>
      </c>
      <c r="D589" s="89" t="str">
        <f t="shared" si="1"/>
        <v>이인경9828</v>
      </c>
      <c r="E589" s="89" t="s">
        <v>5814</v>
      </c>
      <c r="F589" s="90">
        <v>45998.40534722222</v>
      </c>
      <c r="G589" s="88" t="s">
        <v>4805</v>
      </c>
      <c r="H589" s="88" t="s">
        <v>5815</v>
      </c>
      <c r="I589" s="90">
        <v>45998.853425925925</v>
      </c>
    </row>
    <row r="590" ht="14.25" customHeight="1">
      <c r="A590" s="87">
        <v>589.0</v>
      </c>
      <c r="B590" s="88" t="s">
        <v>1096</v>
      </c>
      <c r="C590" s="89">
        <v>1.09325536E9</v>
      </c>
      <c r="D590" s="89" t="str">
        <f t="shared" si="1"/>
        <v>남궁호5360</v>
      </c>
      <c r="E590" s="89" t="s">
        <v>5816</v>
      </c>
      <c r="F590" s="90">
        <v>45998.40515046296</v>
      </c>
      <c r="G590" s="88" t="s">
        <v>4805</v>
      </c>
      <c r="H590" s="88" t="s">
        <v>5815</v>
      </c>
      <c r="I590" s="90">
        <v>45998.853310185186</v>
      </c>
    </row>
    <row r="591" ht="14.25" customHeight="1">
      <c r="A591" s="87">
        <v>590.0</v>
      </c>
      <c r="B591" s="88" t="s">
        <v>3168</v>
      </c>
      <c r="C591" s="89">
        <v>1.020523311E9</v>
      </c>
      <c r="D591" s="89" t="str">
        <f t="shared" si="1"/>
        <v>김혜숙3311</v>
      </c>
      <c r="E591" s="89" t="s">
        <v>5817</v>
      </c>
      <c r="F591" s="90">
        <v>45998.404965277776</v>
      </c>
      <c r="G591" s="88" t="s">
        <v>4805</v>
      </c>
      <c r="H591" s="88" t="s">
        <v>5818</v>
      </c>
      <c r="I591" s="90">
        <v>45998.99122685185</v>
      </c>
    </row>
    <row r="592" ht="14.25" customHeight="1">
      <c r="A592" s="87">
        <v>591.0</v>
      </c>
      <c r="B592" s="88" t="s">
        <v>2212</v>
      </c>
      <c r="C592" s="89">
        <v>1.083456432E9</v>
      </c>
      <c r="D592" s="89" t="str">
        <f t="shared" si="1"/>
        <v>박영숙6432</v>
      </c>
      <c r="E592" s="89" t="s">
        <v>5819</v>
      </c>
      <c r="F592" s="90">
        <v>45998.40488425926</v>
      </c>
      <c r="G592" s="88" t="s">
        <v>4805</v>
      </c>
      <c r="H592" s="88" t="s">
        <v>5820</v>
      </c>
      <c r="I592" s="90">
        <v>45998.85298611111</v>
      </c>
    </row>
    <row r="593" ht="14.25" customHeight="1">
      <c r="A593" s="87">
        <v>592.0</v>
      </c>
      <c r="B593" s="88" t="s">
        <v>2794</v>
      </c>
      <c r="C593" s="89">
        <v>1.062775423E9</v>
      </c>
      <c r="D593" s="89" t="str">
        <f t="shared" si="1"/>
        <v>강계순5423</v>
      </c>
      <c r="E593" s="89" t="s">
        <v>5821</v>
      </c>
      <c r="F593" s="90">
        <v>45998.40483796296</v>
      </c>
      <c r="G593" s="88" t="s">
        <v>4805</v>
      </c>
      <c r="H593" s="88" t="s">
        <v>5815</v>
      </c>
      <c r="I593" s="90">
        <v>45998.851851851854</v>
      </c>
    </row>
    <row r="594" ht="14.25" customHeight="1">
      <c r="A594" s="87">
        <v>593.0</v>
      </c>
      <c r="B594" s="88" t="s">
        <v>2856</v>
      </c>
      <c r="C594" s="89">
        <v>1.071665213E9</v>
      </c>
      <c r="D594" s="89" t="str">
        <f t="shared" si="1"/>
        <v>서희완5213</v>
      </c>
      <c r="E594" s="89" t="s">
        <v>5822</v>
      </c>
      <c r="F594" s="90">
        <v>45998.404444444444</v>
      </c>
      <c r="G594" s="88" t="s">
        <v>4805</v>
      </c>
      <c r="H594" s="88" t="s">
        <v>5815</v>
      </c>
      <c r="I594" s="90">
        <v>45998.85172453704</v>
      </c>
    </row>
    <row r="595" ht="14.25" customHeight="1">
      <c r="A595" s="87">
        <v>594.0</v>
      </c>
      <c r="B595" s="88" t="s">
        <v>2913</v>
      </c>
      <c r="C595" s="89">
        <v>1.045227299E9</v>
      </c>
      <c r="D595" s="89" t="str">
        <f t="shared" si="1"/>
        <v>조유진7299</v>
      </c>
      <c r="E595" s="89" t="s">
        <v>5823</v>
      </c>
      <c r="F595" s="90">
        <v>45998.404375</v>
      </c>
      <c r="G595" s="88" t="s">
        <v>4805</v>
      </c>
      <c r="H595" s="88" t="s">
        <v>5815</v>
      </c>
      <c r="I595" s="90">
        <v>45998.851585648146</v>
      </c>
    </row>
    <row r="596" ht="14.25" customHeight="1">
      <c r="A596" s="87">
        <v>595.0</v>
      </c>
      <c r="B596" s="88" t="s">
        <v>1416</v>
      </c>
      <c r="C596" s="89">
        <v>1.032975267E9</v>
      </c>
      <c r="D596" s="89" t="str">
        <f t="shared" si="1"/>
        <v>최경5267</v>
      </c>
      <c r="E596" s="89" t="s">
        <v>5824</v>
      </c>
      <c r="F596" s="90">
        <v>45998.40430555555</v>
      </c>
      <c r="G596" s="88" t="s">
        <v>4805</v>
      </c>
      <c r="H596" s="88" t="s">
        <v>4991</v>
      </c>
      <c r="I596" s="90">
        <v>45998.85134259259</v>
      </c>
    </row>
    <row r="597" ht="14.25" customHeight="1">
      <c r="A597" s="87">
        <v>596.0</v>
      </c>
      <c r="B597" s="88" t="s">
        <v>5825</v>
      </c>
      <c r="C597" s="89">
        <v>1.022059494E9</v>
      </c>
      <c r="D597" s="89" t="str">
        <f t="shared" si="1"/>
        <v>김재웅9494</v>
      </c>
      <c r="E597" s="89" t="s">
        <v>5826</v>
      </c>
      <c r="F597" s="90">
        <v>45998.404178240744</v>
      </c>
      <c r="G597" s="88" t="s">
        <v>4805</v>
      </c>
      <c r="H597" s="88" t="s">
        <v>5827</v>
      </c>
      <c r="I597" s="90">
        <v>45998.99019675926</v>
      </c>
    </row>
    <row r="598" ht="14.25" customHeight="1">
      <c r="A598" s="87">
        <v>597.0</v>
      </c>
      <c r="B598" s="88" t="s">
        <v>2911</v>
      </c>
      <c r="C598" s="89">
        <v>1.063405101E9</v>
      </c>
      <c r="D598" s="89" t="str">
        <f t="shared" si="1"/>
        <v>조경자5101</v>
      </c>
      <c r="E598" s="89" t="s">
        <v>5828</v>
      </c>
      <c r="F598" s="90">
        <v>45998.403715277775</v>
      </c>
      <c r="G598" s="88" t="s">
        <v>4805</v>
      </c>
      <c r="H598" s="88" t="s">
        <v>5829</v>
      </c>
      <c r="I598" s="90">
        <v>45998.990115740744</v>
      </c>
    </row>
    <row r="599" ht="14.25" customHeight="1">
      <c r="A599" s="87">
        <v>598.0</v>
      </c>
      <c r="B599" s="88" t="s">
        <v>1521</v>
      </c>
      <c r="C599" s="89">
        <v>1.045092248E9</v>
      </c>
      <c r="D599" s="89" t="str">
        <f t="shared" si="1"/>
        <v>조정희2248</v>
      </c>
      <c r="E599" s="89" t="s">
        <v>5830</v>
      </c>
      <c r="F599" s="90">
        <v>45998.403703703705</v>
      </c>
      <c r="G599" s="88" t="s">
        <v>4805</v>
      </c>
      <c r="H599" s="88" t="s">
        <v>4991</v>
      </c>
      <c r="I599" s="90">
        <v>45998.851018518515</v>
      </c>
    </row>
    <row r="600" ht="14.25" customHeight="1">
      <c r="A600" s="87">
        <v>599.0</v>
      </c>
      <c r="B600" s="88" t="s">
        <v>2877</v>
      </c>
      <c r="C600" s="89">
        <v>1.06684527E9</v>
      </c>
      <c r="D600" s="89" t="str">
        <f t="shared" si="1"/>
        <v>유정화5270</v>
      </c>
      <c r="E600" s="89" t="s">
        <v>5831</v>
      </c>
      <c r="F600" s="90">
        <v>45998.403645833336</v>
      </c>
      <c r="G600" s="88" t="s">
        <v>4805</v>
      </c>
      <c r="H600" s="88" t="s">
        <v>5815</v>
      </c>
      <c r="I600" s="90">
        <v>45998.85074074074</v>
      </c>
    </row>
    <row r="601" ht="14.25" customHeight="1">
      <c r="A601" s="87">
        <v>600.0</v>
      </c>
      <c r="B601" s="88" t="s">
        <v>2639</v>
      </c>
      <c r="C601" s="89">
        <v>1.052892592E9</v>
      </c>
      <c r="D601" s="89" t="str">
        <f t="shared" si="1"/>
        <v>이재월2592</v>
      </c>
      <c r="E601" s="89" t="s">
        <v>5832</v>
      </c>
      <c r="F601" s="90">
        <v>45998.40362268518</v>
      </c>
      <c r="G601" s="88" t="s">
        <v>4805</v>
      </c>
      <c r="H601" s="88" t="s">
        <v>4991</v>
      </c>
      <c r="I601" s="90">
        <v>45998.85046296296</v>
      </c>
    </row>
    <row r="602" ht="14.25" customHeight="1">
      <c r="A602" s="87">
        <v>601.0</v>
      </c>
      <c r="B602" s="88" t="s">
        <v>2822</v>
      </c>
      <c r="C602" s="89">
        <v>1.02301729E9</v>
      </c>
      <c r="D602" s="89" t="str">
        <f t="shared" si="1"/>
        <v>김유정7290</v>
      </c>
      <c r="E602" s="89" t="s">
        <v>5833</v>
      </c>
      <c r="F602" s="90">
        <v>45998.40350694444</v>
      </c>
      <c r="G602" s="88" t="s">
        <v>4805</v>
      </c>
      <c r="H602" s="88" t="s">
        <v>5834</v>
      </c>
      <c r="I602" s="90">
        <v>45998.85010416667</v>
      </c>
    </row>
    <row r="603" ht="14.25" customHeight="1">
      <c r="A603" s="87">
        <v>602.0</v>
      </c>
      <c r="B603" s="88" t="s">
        <v>2828</v>
      </c>
      <c r="C603" s="89">
        <v>1.033785867E9</v>
      </c>
      <c r="D603" s="89" t="str">
        <f t="shared" si="1"/>
        <v>김은혜5867</v>
      </c>
      <c r="E603" s="89" t="s">
        <v>5835</v>
      </c>
      <c r="F603" s="90">
        <v>45998.40350694444</v>
      </c>
      <c r="G603" s="88" t="s">
        <v>4805</v>
      </c>
      <c r="H603" s="88" t="s">
        <v>5836</v>
      </c>
      <c r="I603" s="90">
        <v>45998.98988425926</v>
      </c>
    </row>
    <row r="604" ht="14.25" customHeight="1">
      <c r="A604" s="87">
        <v>603.0</v>
      </c>
      <c r="B604" s="88" t="s">
        <v>5837</v>
      </c>
      <c r="C604" s="89">
        <v>1.037459494E9</v>
      </c>
      <c r="D604" s="89" t="str">
        <f t="shared" si="1"/>
        <v>백승옥9494</v>
      </c>
      <c r="E604" s="89" t="s">
        <v>5838</v>
      </c>
      <c r="F604" s="90">
        <v>45998.403449074074</v>
      </c>
      <c r="G604" s="88" t="s">
        <v>4805</v>
      </c>
      <c r="H604" s="88" t="s">
        <v>5827</v>
      </c>
      <c r="I604" s="90">
        <v>45998.98888888889</v>
      </c>
    </row>
    <row r="605" ht="14.25" customHeight="1">
      <c r="A605" s="87">
        <v>604.0</v>
      </c>
      <c r="B605" s="88" t="s">
        <v>2796</v>
      </c>
      <c r="C605" s="89">
        <v>1.087292453E9</v>
      </c>
      <c r="D605" s="89" t="str">
        <f t="shared" si="1"/>
        <v>권명순2453</v>
      </c>
      <c r="E605" s="89" t="s">
        <v>5839</v>
      </c>
      <c r="F605" s="90">
        <v>45998.403344907405</v>
      </c>
      <c r="G605" s="88" t="s">
        <v>4805</v>
      </c>
      <c r="H605" s="88" t="s">
        <v>4991</v>
      </c>
      <c r="I605" s="90">
        <v>45998.84576388889</v>
      </c>
    </row>
    <row r="606" ht="14.25" customHeight="1">
      <c r="A606" s="87">
        <v>605.0</v>
      </c>
      <c r="B606" s="88" t="s">
        <v>3268</v>
      </c>
      <c r="C606" s="89">
        <v>1.038784521E9</v>
      </c>
      <c r="D606" s="89" t="str">
        <f t="shared" si="1"/>
        <v>박은숙4521</v>
      </c>
      <c r="E606" s="89" t="s">
        <v>5840</v>
      </c>
      <c r="F606" s="90">
        <v>45998.40310185185</v>
      </c>
      <c r="G606" s="88" t="s">
        <v>4805</v>
      </c>
      <c r="H606" s="88" t="s">
        <v>4991</v>
      </c>
      <c r="I606" s="90">
        <v>45998.84569444445</v>
      </c>
    </row>
    <row r="607" ht="14.25" customHeight="1">
      <c r="A607" s="87">
        <v>606.0</v>
      </c>
      <c r="B607" s="88" t="s">
        <v>1179</v>
      </c>
      <c r="C607" s="89">
        <v>1.099558004E9</v>
      </c>
      <c r="D607" s="89" t="str">
        <f t="shared" si="1"/>
        <v>이정길8004</v>
      </c>
      <c r="E607" s="89" t="s">
        <v>5841</v>
      </c>
      <c r="F607" s="90">
        <v>45998.40309027778</v>
      </c>
      <c r="G607" s="88" t="s">
        <v>4805</v>
      </c>
      <c r="H607" s="88" t="s">
        <v>5842</v>
      </c>
      <c r="I607" s="90">
        <v>45998.989074074074</v>
      </c>
    </row>
    <row r="608" ht="14.25" customHeight="1">
      <c r="A608" s="87">
        <v>607.0</v>
      </c>
      <c r="B608" s="88" t="s">
        <v>3003</v>
      </c>
      <c r="C608" s="89">
        <v>1.040029045E9</v>
      </c>
      <c r="D608" s="89" t="str">
        <f t="shared" si="1"/>
        <v>권현경9045</v>
      </c>
      <c r="E608" s="89" t="s">
        <v>5843</v>
      </c>
      <c r="F608" s="90">
        <v>45998.403032407405</v>
      </c>
      <c r="G608" s="88" t="s">
        <v>4805</v>
      </c>
      <c r="H608" s="88" t="s">
        <v>4991</v>
      </c>
      <c r="I608" s="90">
        <v>45998.842881944445</v>
      </c>
    </row>
    <row r="609" ht="14.25" customHeight="1">
      <c r="A609" s="87">
        <v>608.0</v>
      </c>
      <c r="B609" s="88" t="s">
        <v>1175</v>
      </c>
      <c r="C609" s="89">
        <v>1.031398556E9</v>
      </c>
      <c r="D609" s="89" t="str">
        <f t="shared" si="1"/>
        <v>임정임8556</v>
      </c>
      <c r="E609" s="89" t="s">
        <v>5844</v>
      </c>
      <c r="F609" s="90">
        <v>45998.40299768518</v>
      </c>
      <c r="G609" s="88" t="s">
        <v>4805</v>
      </c>
      <c r="H609" s="88" t="s">
        <v>5815</v>
      </c>
      <c r="I609" s="90">
        <v>45998.842673611114</v>
      </c>
    </row>
    <row r="610" ht="14.25" customHeight="1">
      <c r="A610" s="87">
        <v>609.0</v>
      </c>
      <c r="B610" s="88" t="s">
        <v>1846</v>
      </c>
      <c r="C610" s="89">
        <v>1.057303101E9</v>
      </c>
      <c r="D610" s="89" t="str">
        <f t="shared" si="1"/>
        <v>유병용3101</v>
      </c>
      <c r="E610" s="89" t="s">
        <v>5845</v>
      </c>
      <c r="F610" s="90">
        <v>45998.402766203704</v>
      </c>
      <c r="G610" s="88" t="s">
        <v>4805</v>
      </c>
      <c r="H610" s="88" t="s">
        <v>5319</v>
      </c>
      <c r="I610" s="90">
        <v>45998.98880787037</v>
      </c>
    </row>
    <row r="611" ht="14.25" customHeight="1">
      <c r="A611" s="87">
        <v>610.0</v>
      </c>
      <c r="B611" s="88" t="s">
        <v>2881</v>
      </c>
      <c r="C611" s="89">
        <v>1.066017286E9</v>
      </c>
      <c r="D611" s="89" t="str">
        <f t="shared" si="1"/>
        <v>윤영미7286</v>
      </c>
      <c r="E611" s="89" t="s">
        <v>5846</v>
      </c>
      <c r="F611" s="90">
        <v>45998.40273148148</v>
      </c>
      <c r="G611" s="88" t="s">
        <v>4805</v>
      </c>
      <c r="H611" s="88" t="s">
        <v>5829</v>
      </c>
      <c r="I611" s="90">
        <v>45998.98866898148</v>
      </c>
    </row>
    <row r="612" ht="14.25" customHeight="1">
      <c r="A612" s="87">
        <v>611.0</v>
      </c>
      <c r="B612" s="88" t="s">
        <v>2778</v>
      </c>
      <c r="C612" s="89">
        <v>1.062238801E9</v>
      </c>
      <c r="D612" s="89" t="str">
        <f t="shared" si="1"/>
        <v>유서현8801</v>
      </c>
      <c r="E612" s="89" t="s">
        <v>5847</v>
      </c>
      <c r="F612" s="90">
        <v>45998.402719907404</v>
      </c>
      <c r="G612" s="88" t="s">
        <v>4805</v>
      </c>
      <c r="H612" s="88" t="s">
        <v>5815</v>
      </c>
      <c r="I612" s="90">
        <v>45998.841631944444</v>
      </c>
    </row>
    <row r="613" ht="14.25" customHeight="1">
      <c r="A613" s="87">
        <v>612.0</v>
      </c>
      <c r="B613" s="88" t="s">
        <v>1152</v>
      </c>
      <c r="C613" s="89">
        <v>1.091709318E9</v>
      </c>
      <c r="D613" s="89" t="str">
        <f t="shared" si="1"/>
        <v>김경아9318</v>
      </c>
      <c r="E613" s="89" t="s">
        <v>5848</v>
      </c>
      <c r="F613" s="90">
        <v>45998.40269675926</v>
      </c>
      <c r="G613" s="88" t="s">
        <v>4805</v>
      </c>
      <c r="H613" s="88" t="s">
        <v>5815</v>
      </c>
      <c r="I613" s="90">
        <v>45998.84149305556</v>
      </c>
    </row>
    <row r="614" ht="14.25" customHeight="1">
      <c r="A614" s="87">
        <v>613.0</v>
      </c>
      <c r="B614" s="88" t="s">
        <v>3276</v>
      </c>
      <c r="C614" s="89">
        <v>1.049486603E9</v>
      </c>
      <c r="D614" s="89" t="str">
        <f t="shared" si="1"/>
        <v>박정민6603</v>
      </c>
      <c r="E614" s="89" t="s">
        <v>5849</v>
      </c>
      <c r="F614" s="90">
        <v>45998.402662037035</v>
      </c>
      <c r="G614" s="88" t="s">
        <v>4805</v>
      </c>
      <c r="H614" s="88" t="s">
        <v>4991</v>
      </c>
      <c r="I614" s="90">
        <v>45998.84116898148</v>
      </c>
    </row>
    <row r="615" ht="14.25" customHeight="1">
      <c r="A615" s="87">
        <v>614.0</v>
      </c>
      <c r="B615" s="94" t="s">
        <v>2796</v>
      </c>
      <c r="C615" s="89">
        <v>1.087292453E9</v>
      </c>
      <c r="D615" s="89" t="str">
        <f t="shared" si="1"/>
        <v>권명순2453</v>
      </c>
      <c r="E615" s="89" t="s">
        <v>5850</v>
      </c>
      <c r="F615" s="90">
        <v>45998.40217592593</v>
      </c>
      <c r="G615" s="88" t="s">
        <v>4805</v>
      </c>
      <c r="H615" s="88" t="s">
        <v>4991</v>
      </c>
      <c r="I615" s="90">
        <v>45998.84103009259</v>
      </c>
    </row>
    <row r="616" ht="14.25" customHeight="1">
      <c r="A616" s="87">
        <v>615.0</v>
      </c>
      <c r="B616" s="88" t="s">
        <v>5851</v>
      </c>
      <c r="C616" s="89">
        <v>1.063578383E9</v>
      </c>
      <c r="D616" s="89" t="str">
        <f t="shared" si="1"/>
        <v>김태기8383</v>
      </c>
      <c r="E616" s="89" t="s">
        <v>5852</v>
      </c>
      <c r="F616" s="90">
        <v>45998.402141203704</v>
      </c>
      <c r="G616" s="88" t="s">
        <v>4805</v>
      </c>
      <c r="H616" s="88" t="s">
        <v>5827</v>
      </c>
      <c r="I616" s="90">
        <v>45998.98857638889</v>
      </c>
    </row>
    <row r="617" ht="14.25" customHeight="1">
      <c r="A617" s="87">
        <v>616.0</v>
      </c>
      <c r="B617" s="88" t="s">
        <v>2813</v>
      </c>
      <c r="C617" s="89">
        <v>1.031199582E9</v>
      </c>
      <c r="D617" s="89" t="str">
        <f t="shared" si="1"/>
        <v>김미숙9582</v>
      </c>
      <c r="E617" s="89" t="s">
        <v>5853</v>
      </c>
      <c r="F617" s="90">
        <v>45998.40212962963</v>
      </c>
      <c r="G617" s="88" t="s">
        <v>4805</v>
      </c>
      <c r="H617" s="88" t="s">
        <v>5854</v>
      </c>
      <c r="I617" s="90">
        <v>45998.988483796296</v>
      </c>
    </row>
    <row r="618" ht="14.25" customHeight="1">
      <c r="A618" s="87">
        <v>617.0</v>
      </c>
      <c r="B618" s="88" t="s">
        <v>3345</v>
      </c>
      <c r="C618" s="89">
        <v>1.083140269E9</v>
      </c>
      <c r="D618" s="89" t="str">
        <f t="shared" si="1"/>
        <v>송차선0269</v>
      </c>
      <c r="E618" s="89" t="s">
        <v>5855</v>
      </c>
      <c r="F618" s="90">
        <v>45998.402083333334</v>
      </c>
      <c r="G618" s="88" t="s">
        <v>4805</v>
      </c>
      <c r="H618" s="88" t="s">
        <v>5856</v>
      </c>
      <c r="I618" s="90">
        <v>45998.83960648148</v>
      </c>
    </row>
    <row r="619" ht="14.25" customHeight="1">
      <c r="A619" s="87">
        <v>618.0</v>
      </c>
      <c r="B619" s="88" t="s">
        <v>2459</v>
      </c>
      <c r="C619" s="89">
        <v>1.040335693E9</v>
      </c>
      <c r="D619" s="89" t="str">
        <f t="shared" si="1"/>
        <v>이경희5693</v>
      </c>
      <c r="E619" s="89" t="s">
        <v>5857</v>
      </c>
      <c r="F619" s="90">
        <v>45998.40201388889</v>
      </c>
      <c r="G619" s="88" t="s">
        <v>4805</v>
      </c>
      <c r="H619" s="88" t="s">
        <v>5858</v>
      </c>
      <c r="I619" s="90">
        <v>45998.83934027778</v>
      </c>
    </row>
    <row r="620" ht="14.25" customHeight="1">
      <c r="A620" s="87">
        <v>619.0</v>
      </c>
      <c r="B620" s="88" t="s">
        <v>2784</v>
      </c>
      <c r="C620" s="89">
        <v>1.080199889E9</v>
      </c>
      <c r="D620" s="89" t="str">
        <f t="shared" si="1"/>
        <v>이미희9889</v>
      </c>
      <c r="E620" s="89" t="s">
        <v>5859</v>
      </c>
      <c r="F620" s="90">
        <v>45998.40149305556</v>
      </c>
      <c r="G620" s="88" t="s">
        <v>4805</v>
      </c>
      <c r="H620" s="88" t="s">
        <v>5815</v>
      </c>
      <c r="I620" s="90">
        <v>45998.83903935185</v>
      </c>
    </row>
    <row r="621" ht="14.25" customHeight="1">
      <c r="A621" s="87">
        <v>620.0</v>
      </c>
      <c r="B621" s="88" t="s">
        <v>1077</v>
      </c>
      <c r="C621" s="89">
        <v>1.041847794E9</v>
      </c>
      <c r="D621" s="89" t="str">
        <f t="shared" si="1"/>
        <v>이혜승7794</v>
      </c>
      <c r="E621" s="89" t="s">
        <v>5860</v>
      </c>
      <c r="F621" s="90">
        <v>45998.40146990741</v>
      </c>
      <c r="G621" s="88" t="s">
        <v>4805</v>
      </c>
      <c r="H621" s="88" t="s">
        <v>5815</v>
      </c>
      <c r="I621" s="90">
        <v>45998.838912037034</v>
      </c>
    </row>
    <row r="622" ht="14.25" customHeight="1">
      <c r="A622" s="87">
        <v>621.0</v>
      </c>
      <c r="B622" s="88" t="s">
        <v>2895</v>
      </c>
      <c r="C622" s="89">
        <v>1.072464461E9</v>
      </c>
      <c r="D622" s="89" t="str">
        <f t="shared" si="1"/>
        <v>이정숙4461</v>
      </c>
      <c r="E622" s="89" t="s">
        <v>5861</v>
      </c>
      <c r="F622" s="90">
        <v>45998.401238425926</v>
      </c>
      <c r="G622" s="88" t="s">
        <v>4805</v>
      </c>
      <c r="H622" s="88" t="s">
        <v>5862</v>
      </c>
      <c r="I622" s="90">
        <v>45998.838784722226</v>
      </c>
    </row>
    <row r="623" ht="14.25" customHeight="1">
      <c r="A623" s="87">
        <v>622.0</v>
      </c>
      <c r="B623" s="88" t="s">
        <v>5863</v>
      </c>
      <c r="C623" s="89">
        <v>1.068005551E9</v>
      </c>
      <c r="D623" s="89" t="str">
        <f t="shared" si="1"/>
        <v>조민숙5551</v>
      </c>
      <c r="E623" s="89" t="s">
        <v>5864</v>
      </c>
      <c r="F623" s="90">
        <v>45998.40121527778</v>
      </c>
      <c r="G623" s="88" t="s">
        <v>4805</v>
      </c>
      <c r="H623" s="88" t="s">
        <v>5865</v>
      </c>
      <c r="I623" s="90">
        <v>45998.837743055556</v>
      </c>
    </row>
    <row r="624" ht="14.25" customHeight="1">
      <c r="A624" s="87">
        <v>623.0</v>
      </c>
      <c r="B624" s="88" t="s">
        <v>2752</v>
      </c>
      <c r="C624" s="89">
        <v>1.022050982E9</v>
      </c>
      <c r="D624" s="89" t="str">
        <f t="shared" si="1"/>
        <v>신연희0982</v>
      </c>
      <c r="E624" s="89" t="s">
        <v>5866</v>
      </c>
      <c r="F624" s="90">
        <v>45998.40114583333</v>
      </c>
      <c r="G624" s="88" t="s">
        <v>4805</v>
      </c>
      <c r="H624" s="88" t="s">
        <v>5867</v>
      </c>
      <c r="I624" s="90">
        <v>45998.97597222222</v>
      </c>
    </row>
    <row r="625" ht="14.25" customHeight="1">
      <c r="A625" s="87">
        <v>624.0</v>
      </c>
      <c r="B625" s="88" t="s">
        <v>2148</v>
      </c>
      <c r="C625" s="89">
        <v>1.045939319E9</v>
      </c>
      <c r="D625" s="89" t="str">
        <f t="shared" si="1"/>
        <v>방종숙9319</v>
      </c>
      <c r="E625" s="89" t="s">
        <v>5868</v>
      </c>
      <c r="F625" s="90">
        <v>45998.401087962964</v>
      </c>
      <c r="G625" s="88" t="s">
        <v>4805</v>
      </c>
      <c r="H625" s="88" t="s">
        <v>5869</v>
      </c>
      <c r="I625" s="90">
        <v>45998.83736111111</v>
      </c>
    </row>
    <row r="626" ht="14.25" customHeight="1">
      <c r="A626" s="87">
        <v>625.0</v>
      </c>
      <c r="B626" s="88" t="s">
        <v>1691</v>
      </c>
      <c r="C626" s="89">
        <v>1.075973388E9</v>
      </c>
      <c r="D626" s="89" t="str">
        <f t="shared" si="1"/>
        <v>진라희3388</v>
      </c>
      <c r="E626" s="89" t="s">
        <v>5870</v>
      </c>
      <c r="F626" s="90">
        <v>45998.40105324074</v>
      </c>
      <c r="G626" s="88" t="s">
        <v>4805</v>
      </c>
      <c r="H626" s="88" t="s">
        <v>5827</v>
      </c>
      <c r="I626" s="90">
        <v>45998.975011574075</v>
      </c>
    </row>
    <row r="627" ht="14.25" customHeight="1">
      <c r="A627" s="87">
        <v>626.0</v>
      </c>
      <c r="B627" s="88" t="s">
        <v>1161</v>
      </c>
      <c r="C627" s="89">
        <v>1.064070161E9</v>
      </c>
      <c r="D627" s="89" t="str">
        <f t="shared" si="1"/>
        <v>이다현0161</v>
      </c>
      <c r="E627" s="89" t="s">
        <v>5871</v>
      </c>
      <c r="F627" s="90">
        <v>45998.4009375</v>
      </c>
      <c r="G627" s="88" t="s">
        <v>4805</v>
      </c>
      <c r="H627" s="88" t="s">
        <v>5815</v>
      </c>
      <c r="I627" s="90">
        <v>45998.83660879629</v>
      </c>
    </row>
    <row r="628" ht="14.25" customHeight="1">
      <c r="A628" s="87">
        <v>627.0</v>
      </c>
      <c r="B628" s="88" t="s">
        <v>1110</v>
      </c>
      <c r="C628" s="89">
        <v>1.025021008E9</v>
      </c>
      <c r="D628" s="89" t="str">
        <f t="shared" si="1"/>
        <v>정윤숙1008</v>
      </c>
      <c r="E628" s="89" t="s">
        <v>5872</v>
      </c>
      <c r="F628" s="90">
        <v>45998.40090277778</v>
      </c>
      <c r="G628" s="88" t="s">
        <v>4805</v>
      </c>
      <c r="H628" s="88" t="s">
        <v>5815</v>
      </c>
      <c r="I628" s="90">
        <v>45998.836377314816</v>
      </c>
    </row>
    <row r="629" ht="14.25" customHeight="1">
      <c r="A629" s="87">
        <v>628.0</v>
      </c>
      <c r="B629" s="88" t="s">
        <v>3241</v>
      </c>
      <c r="C629" s="89">
        <v>1.041182519E9</v>
      </c>
      <c r="D629" s="89" t="str">
        <f t="shared" si="1"/>
        <v>박성환2519</v>
      </c>
      <c r="E629" s="89" t="s">
        <v>5873</v>
      </c>
      <c r="F629" s="90">
        <v>45998.40079861111</v>
      </c>
      <c r="G629" s="88" t="s">
        <v>4805</v>
      </c>
      <c r="H629" s="88" t="s">
        <v>4991</v>
      </c>
      <c r="I629" s="90">
        <v>45998.83604166667</v>
      </c>
    </row>
    <row r="630" ht="14.25" customHeight="1">
      <c r="A630" s="87">
        <v>629.0</v>
      </c>
      <c r="B630" s="88" t="s">
        <v>1002</v>
      </c>
      <c r="C630" s="89">
        <v>1.030005775E9</v>
      </c>
      <c r="D630" s="89" t="str">
        <f t="shared" si="1"/>
        <v>최원현5775</v>
      </c>
      <c r="E630" s="89" t="s">
        <v>5874</v>
      </c>
      <c r="F630" s="90">
        <v>45998.40074074074</v>
      </c>
      <c r="G630" s="88" t="s">
        <v>4805</v>
      </c>
      <c r="H630" s="88" t="s">
        <v>5875</v>
      </c>
      <c r="I630" s="90">
        <v>45998.97482638889</v>
      </c>
    </row>
    <row r="631" ht="14.25" customHeight="1">
      <c r="A631" s="87">
        <v>630.0</v>
      </c>
      <c r="B631" s="88" t="s">
        <v>2161</v>
      </c>
      <c r="C631" s="89">
        <v>1.066877393E9</v>
      </c>
      <c r="D631" s="89" t="str">
        <f t="shared" si="1"/>
        <v>함은순7393</v>
      </c>
      <c r="E631" s="89" t="s">
        <v>5876</v>
      </c>
      <c r="F631" s="90">
        <v>45998.40056712963</v>
      </c>
      <c r="G631" s="88" t="s">
        <v>4805</v>
      </c>
      <c r="H631" s="88" t="s">
        <v>5856</v>
      </c>
      <c r="I631" s="90">
        <v>45998.835381944446</v>
      </c>
    </row>
    <row r="632" ht="14.25" customHeight="1">
      <c r="A632" s="87">
        <v>631.0</v>
      </c>
      <c r="B632" s="88" t="s">
        <v>2426</v>
      </c>
      <c r="C632" s="89">
        <v>1.094417591E9</v>
      </c>
      <c r="D632" s="89" t="str">
        <f t="shared" si="1"/>
        <v>김진자7591</v>
      </c>
      <c r="E632" s="89" t="s">
        <v>5877</v>
      </c>
      <c r="F632" s="90">
        <v>45998.40053240741</v>
      </c>
      <c r="G632" s="88" t="s">
        <v>4805</v>
      </c>
      <c r="H632" s="88" t="s">
        <v>5878</v>
      </c>
      <c r="I632" s="90">
        <v>45998.97385416667</v>
      </c>
    </row>
    <row r="633" ht="14.25" customHeight="1">
      <c r="A633" s="87">
        <v>632.0</v>
      </c>
      <c r="B633" s="88" t="s">
        <v>2491</v>
      </c>
      <c r="C633" s="89">
        <v>1.088852649E9</v>
      </c>
      <c r="D633" s="89" t="str">
        <f t="shared" si="1"/>
        <v>서춘원2649</v>
      </c>
      <c r="E633" s="89" t="s">
        <v>5879</v>
      </c>
      <c r="F633" s="90">
        <v>45998.40052083333</v>
      </c>
      <c r="G633" s="88" t="s">
        <v>4805</v>
      </c>
      <c r="H633" s="88" t="s">
        <v>5856</v>
      </c>
      <c r="I633" s="90">
        <v>45998.835173611114</v>
      </c>
    </row>
    <row r="634" ht="14.25" customHeight="1">
      <c r="A634" s="87">
        <v>633.0</v>
      </c>
      <c r="B634" s="88" t="s">
        <v>2826</v>
      </c>
      <c r="C634" s="89">
        <v>1.033657615E9</v>
      </c>
      <c r="D634" s="89" t="str">
        <f t="shared" si="1"/>
        <v>김윤정7615</v>
      </c>
      <c r="E634" s="89" t="s">
        <v>5880</v>
      </c>
      <c r="F634" s="90">
        <v>45998.40047453704</v>
      </c>
      <c r="G634" s="88" t="s">
        <v>4805</v>
      </c>
      <c r="H634" s="88" t="s">
        <v>5815</v>
      </c>
      <c r="I634" s="90">
        <v>45998.83495370371</v>
      </c>
    </row>
    <row r="635" ht="14.25" customHeight="1">
      <c r="A635" s="87">
        <v>634.0</v>
      </c>
      <c r="B635" s="88" t="s">
        <v>2763</v>
      </c>
      <c r="C635" s="89">
        <v>1.055313799E9</v>
      </c>
      <c r="D635" s="89" t="str">
        <f t="shared" si="1"/>
        <v>지은아3799</v>
      </c>
      <c r="E635" s="89" t="s">
        <v>5881</v>
      </c>
      <c r="F635" s="90">
        <v>45998.40043981482</v>
      </c>
      <c r="G635" s="88" t="s">
        <v>4805</v>
      </c>
      <c r="H635" s="88" t="s">
        <v>5882</v>
      </c>
      <c r="I635" s="90">
        <v>45998.834814814814</v>
      </c>
    </row>
    <row r="636" ht="14.25" customHeight="1">
      <c r="A636" s="87">
        <v>635.0</v>
      </c>
      <c r="B636" s="88" t="s">
        <v>2832</v>
      </c>
      <c r="C636" s="89">
        <v>1.081383166E9</v>
      </c>
      <c r="D636" s="89" t="str">
        <f t="shared" si="1"/>
        <v>김춘희3166</v>
      </c>
      <c r="E636" s="89" t="s">
        <v>5883</v>
      </c>
      <c r="F636" s="90">
        <v>45998.400347222225</v>
      </c>
      <c r="G636" s="88" t="s">
        <v>4805</v>
      </c>
      <c r="H636" s="88" t="s">
        <v>5815</v>
      </c>
      <c r="I636" s="90">
        <v>45998.83420138889</v>
      </c>
    </row>
    <row r="637" ht="14.25" customHeight="1">
      <c r="A637" s="87">
        <v>636.0</v>
      </c>
      <c r="B637" s="88" t="s">
        <v>3227</v>
      </c>
      <c r="C637" s="89">
        <v>1.040712808E9</v>
      </c>
      <c r="D637" s="89" t="str">
        <f t="shared" si="1"/>
        <v>박미라2808</v>
      </c>
      <c r="E637" s="89" t="s">
        <v>5884</v>
      </c>
      <c r="F637" s="90">
        <v>45998.400347222225</v>
      </c>
      <c r="G637" s="88" t="s">
        <v>4805</v>
      </c>
      <c r="H637" s="88" t="s">
        <v>5885</v>
      </c>
      <c r="I637" s="90">
        <v>45998.97305555556</v>
      </c>
    </row>
    <row r="638" ht="14.25" customHeight="1">
      <c r="A638" s="87">
        <v>637.0</v>
      </c>
      <c r="B638" s="88" t="s">
        <v>2132</v>
      </c>
      <c r="C638" s="89">
        <v>1.07123782E9</v>
      </c>
      <c r="D638" s="89" t="str">
        <f t="shared" si="1"/>
        <v>이정은7820</v>
      </c>
      <c r="E638" s="89" t="s">
        <v>5886</v>
      </c>
      <c r="F638" s="90">
        <v>45998.40015046296</v>
      </c>
      <c r="G638" s="88" t="s">
        <v>4805</v>
      </c>
      <c r="H638" s="88" t="s">
        <v>5887</v>
      </c>
      <c r="I638" s="90">
        <v>45998.97243055556</v>
      </c>
    </row>
    <row r="639" ht="14.25" customHeight="1">
      <c r="A639" s="87">
        <v>638.0</v>
      </c>
      <c r="B639" s="88" t="s">
        <v>4649</v>
      </c>
      <c r="C639" s="89">
        <v>1.09034525E9</v>
      </c>
      <c r="D639" s="89" t="str">
        <f t="shared" si="1"/>
        <v>박계숙5250</v>
      </c>
      <c r="E639" s="89" t="s">
        <v>5888</v>
      </c>
      <c r="F639" s="90">
        <v>45998.40001157407</v>
      </c>
      <c r="G639" s="88" t="s">
        <v>4805</v>
      </c>
      <c r="H639" s="88" t="s">
        <v>5827</v>
      </c>
      <c r="I639" s="90">
        <v>45998.971597222226</v>
      </c>
    </row>
    <row r="640" ht="14.25" customHeight="1">
      <c r="A640" s="87">
        <v>639.0</v>
      </c>
      <c r="B640" s="94" t="s">
        <v>1472</v>
      </c>
      <c r="C640" s="89">
        <v>1.089392889E9</v>
      </c>
      <c r="D640" s="89" t="str">
        <f t="shared" si="1"/>
        <v>송은경2889</v>
      </c>
      <c r="E640" s="89" t="s">
        <v>5889</v>
      </c>
      <c r="F640" s="90">
        <v>45998.399988425925</v>
      </c>
      <c r="G640" s="88" t="s">
        <v>4805</v>
      </c>
      <c r="H640" s="88" t="s">
        <v>4839</v>
      </c>
      <c r="I640" s="90">
        <v>45998.83325231481</v>
      </c>
    </row>
    <row r="641" ht="14.25" customHeight="1">
      <c r="A641" s="87">
        <v>640.0</v>
      </c>
      <c r="B641" s="88" t="s">
        <v>1233</v>
      </c>
      <c r="C641" s="89">
        <v>1.035681785E9</v>
      </c>
      <c r="D641" s="89" t="str">
        <f t="shared" si="1"/>
        <v>이주연1785</v>
      </c>
      <c r="E641" s="89" t="s">
        <v>5890</v>
      </c>
      <c r="F641" s="90">
        <v>45998.39981481482</v>
      </c>
      <c r="G641" s="88" t="s">
        <v>4805</v>
      </c>
      <c r="H641" s="88" t="s">
        <v>5891</v>
      </c>
      <c r="I641" s="90">
        <v>45998.9715162037</v>
      </c>
    </row>
    <row r="642" ht="14.25" customHeight="1">
      <c r="A642" s="87">
        <v>641.0</v>
      </c>
      <c r="B642" s="88" t="s">
        <v>2897</v>
      </c>
      <c r="C642" s="89">
        <v>1.022144522E9</v>
      </c>
      <c r="D642" s="89" t="str">
        <f t="shared" si="1"/>
        <v>이현자4522</v>
      </c>
      <c r="E642" s="89" t="s">
        <v>5892</v>
      </c>
      <c r="F642" s="90">
        <v>45998.39976851852</v>
      </c>
      <c r="G642" s="88" t="s">
        <v>4805</v>
      </c>
      <c r="H642" s="88" t="s">
        <v>5145</v>
      </c>
      <c r="I642" s="90">
        <v>45998.97079861111</v>
      </c>
    </row>
    <row r="643" ht="14.25" customHeight="1">
      <c r="A643" s="87">
        <v>642.0</v>
      </c>
      <c r="B643" s="88" t="s">
        <v>4573</v>
      </c>
      <c r="C643" s="89">
        <v>1.052864548E9</v>
      </c>
      <c r="D643" s="89" t="str">
        <f t="shared" si="1"/>
        <v>이현진4548</v>
      </c>
      <c r="E643" s="89" t="s">
        <v>5893</v>
      </c>
      <c r="F643" s="90">
        <v>45998.39974537037</v>
      </c>
      <c r="G643" s="88" t="s">
        <v>4805</v>
      </c>
      <c r="H643" s="88" t="s">
        <v>5894</v>
      </c>
      <c r="I643" s="90">
        <v>45998.83261574074</v>
      </c>
    </row>
    <row r="644" ht="14.25" customHeight="1">
      <c r="A644" s="87">
        <v>643.0</v>
      </c>
      <c r="B644" s="88" t="s">
        <v>1077</v>
      </c>
      <c r="C644" s="89">
        <v>1.041847794E9</v>
      </c>
      <c r="D644" s="89" t="str">
        <f t="shared" si="1"/>
        <v>이혜승7794</v>
      </c>
      <c r="E644" s="89" t="s">
        <v>5895</v>
      </c>
      <c r="F644" s="90">
        <v>45998.39974537037</v>
      </c>
      <c r="G644" s="88" t="s">
        <v>4805</v>
      </c>
      <c r="H644" s="88" t="s">
        <v>5856</v>
      </c>
      <c r="I644" s="90">
        <v>45998.829247685186</v>
      </c>
    </row>
    <row r="645" ht="14.25" customHeight="1">
      <c r="A645" s="87">
        <v>644.0</v>
      </c>
      <c r="B645" s="88" t="s">
        <v>1377</v>
      </c>
      <c r="C645" s="89">
        <v>1.088756324E9</v>
      </c>
      <c r="D645" s="89" t="str">
        <f t="shared" si="1"/>
        <v>윤혜준6324</v>
      </c>
      <c r="E645" s="89" t="s">
        <v>5896</v>
      </c>
      <c r="F645" s="90">
        <v>45998.399664351855</v>
      </c>
      <c r="G645" s="88" t="s">
        <v>4805</v>
      </c>
      <c r="H645" s="88" t="s">
        <v>5897</v>
      </c>
      <c r="I645" s="90">
        <v>45998.970671296294</v>
      </c>
    </row>
    <row r="646" ht="14.25" customHeight="1">
      <c r="A646" s="87">
        <v>645.0</v>
      </c>
      <c r="B646" s="88" t="s">
        <v>5898</v>
      </c>
      <c r="C646" s="89">
        <v>1.045706185E9</v>
      </c>
      <c r="D646" s="89" t="str">
        <f t="shared" si="1"/>
        <v>성언정6185</v>
      </c>
      <c r="E646" s="89" t="s">
        <v>5899</v>
      </c>
      <c r="F646" s="90">
        <v>45998.39958333333</v>
      </c>
      <c r="G646" s="88" t="s">
        <v>4805</v>
      </c>
      <c r="H646" s="88" t="s">
        <v>5900</v>
      </c>
      <c r="I646" s="90">
        <v>45998.82895833333</v>
      </c>
    </row>
    <row r="647" ht="14.25" customHeight="1">
      <c r="A647" s="87">
        <v>646.0</v>
      </c>
      <c r="B647" s="88" t="s">
        <v>2819</v>
      </c>
      <c r="C647" s="89">
        <v>1.038078015E9</v>
      </c>
      <c r="D647" s="89" t="str">
        <f t="shared" si="1"/>
        <v>김순의8015</v>
      </c>
      <c r="E647" s="89" t="s">
        <v>5901</v>
      </c>
      <c r="F647" s="90">
        <v>45998.39945601852</v>
      </c>
      <c r="G647" s="88" t="s">
        <v>4805</v>
      </c>
      <c r="H647" s="88" t="s">
        <v>5856</v>
      </c>
      <c r="I647" s="90">
        <v>45998.82864583333</v>
      </c>
    </row>
    <row r="648" ht="14.25" customHeight="1">
      <c r="A648" s="87">
        <v>647.0</v>
      </c>
      <c r="B648" s="88" t="s">
        <v>1043</v>
      </c>
      <c r="C648" s="89">
        <v>1.028045404E9</v>
      </c>
      <c r="D648" s="89" t="str">
        <f t="shared" si="1"/>
        <v>안은숙5404</v>
      </c>
      <c r="E648" s="89" t="s">
        <v>5902</v>
      </c>
      <c r="F648" s="90">
        <v>45998.39934027778</v>
      </c>
      <c r="G648" s="88" t="s">
        <v>4805</v>
      </c>
      <c r="H648" s="88" t="s">
        <v>5815</v>
      </c>
      <c r="I648" s="90">
        <v>45998.828356481485</v>
      </c>
    </row>
    <row r="649" ht="14.25" customHeight="1">
      <c r="A649" s="87">
        <v>648.0</v>
      </c>
      <c r="B649" s="88" t="s">
        <v>1228</v>
      </c>
      <c r="C649" s="89">
        <v>1.020327345E9</v>
      </c>
      <c r="D649" s="89" t="str">
        <f t="shared" si="1"/>
        <v>길미정7345</v>
      </c>
      <c r="E649" s="89" t="s">
        <v>5903</v>
      </c>
      <c r="F649" s="90">
        <v>45998.39928240741</v>
      </c>
      <c r="G649" s="88" t="s">
        <v>4805</v>
      </c>
      <c r="H649" s="88" t="s">
        <v>5856</v>
      </c>
      <c r="I649" s="90">
        <v>45998.826516203706</v>
      </c>
    </row>
    <row r="650" ht="14.25" customHeight="1">
      <c r="A650" s="87">
        <v>649.0</v>
      </c>
      <c r="B650" s="88" t="s">
        <v>2511</v>
      </c>
      <c r="C650" s="89">
        <v>1.052325712E9</v>
      </c>
      <c r="D650" s="89" t="str">
        <f t="shared" si="1"/>
        <v>김나영5712</v>
      </c>
      <c r="E650" s="89" t="s">
        <v>5904</v>
      </c>
      <c r="F650" s="90">
        <v>45998.39925925926</v>
      </c>
      <c r="G650" s="88" t="s">
        <v>4805</v>
      </c>
      <c r="H650" s="88" t="s">
        <v>5905</v>
      </c>
      <c r="I650" s="90">
        <v>45998.97039351852</v>
      </c>
    </row>
    <row r="651" ht="14.25" customHeight="1">
      <c r="A651" s="87">
        <v>650.0</v>
      </c>
      <c r="B651" s="88" t="s">
        <v>2788</v>
      </c>
      <c r="C651" s="89">
        <v>1.023615066E9</v>
      </c>
      <c r="D651" s="89" t="str">
        <f t="shared" si="1"/>
        <v>조재희5066</v>
      </c>
      <c r="E651" s="89" t="s">
        <v>5906</v>
      </c>
      <c r="F651" s="90">
        <v>45998.399247685185</v>
      </c>
      <c r="G651" s="88" t="s">
        <v>4805</v>
      </c>
      <c r="H651" s="88" t="s">
        <v>5815</v>
      </c>
      <c r="I651" s="90">
        <v>45998.82612268518</v>
      </c>
    </row>
    <row r="652" ht="14.25" customHeight="1">
      <c r="A652" s="87">
        <v>651.0</v>
      </c>
      <c r="B652" s="88" t="s">
        <v>5907</v>
      </c>
      <c r="C652" s="89">
        <v>1.089901852E9</v>
      </c>
      <c r="D652" s="89" t="str">
        <f t="shared" si="1"/>
        <v>윤옥1852</v>
      </c>
      <c r="E652" s="89" t="s">
        <v>5908</v>
      </c>
      <c r="F652" s="90">
        <v>45998.39907407408</v>
      </c>
      <c r="G652" s="88" t="s">
        <v>4805</v>
      </c>
      <c r="H652" s="88" t="s">
        <v>5909</v>
      </c>
      <c r="I652" s="90">
        <v>45998.969664351855</v>
      </c>
    </row>
    <row r="653" ht="14.25" customHeight="1">
      <c r="A653" s="87">
        <v>652.0</v>
      </c>
      <c r="B653" s="88" t="s">
        <v>1256</v>
      </c>
      <c r="C653" s="89">
        <v>1.039517899E9</v>
      </c>
      <c r="D653" s="89" t="str">
        <f t="shared" si="1"/>
        <v>한은숙7899</v>
      </c>
      <c r="E653" s="89" t="s">
        <v>5910</v>
      </c>
      <c r="F653" s="90">
        <v>45998.39902777778</v>
      </c>
      <c r="G653" s="88" t="s">
        <v>4805</v>
      </c>
      <c r="H653" s="88" t="s">
        <v>5145</v>
      </c>
      <c r="I653" s="90">
        <v>45998.96834490741</v>
      </c>
    </row>
    <row r="654" ht="14.25" customHeight="1">
      <c r="A654" s="87">
        <v>653.0</v>
      </c>
      <c r="B654" s="88" t="s">
        <v>3518</v>
      </c>
      <c r="C654" s="89">
        <v>1.092299053E9</v>
      </c>
      <c r="D654" s="89" t="str">
        <f t="shared" si="1"/>
        <v>이유미9053</v>
      </c>
      <c r="E654" s="89" t="s">
        <v>5911</v>
      </c>
      <c r="F654" s="90">
        <v>45998.39894675926</v>
      </c>
      <c r="G654" s="88" t="s">
        <v>4805</v>
      </c>
      <c r="H654" s="88" t="s">
        <v>4991</v>
      </c>
      <c r="I654" s="90">
        <v>45998.8253587963</v>
      </c>
    </row>
    <row r="655" ht="14.25" customHeight="1">
      <c r="A655" s="87">
        <v>654.0</v>
      </c>
      <c r="B655" s="88" t="s">
        <v>2426</v>
      </c>
      <c r="C655" s="89">
        <v>1.094417591E9</v>
      </c>
      <c r="D655" s="89" t="str">
        <f t="shared" si="1"/>
        <v>김진자7591</v>
      </c>
      <c r="E655" s="89" t="s">
        <v>5912</v>
      </c>
      <c r="F655" s="90">
        <v>45998.398888888885</v>
      </c>
      <c r="G655" s="88" t="s">
        <v>4805</v>
      </c>
      <c r="H655" s="88" t="s">
        <v>5913</v>
      </c>
      <c r="I655" s="90">
        <v>45998.96905092592</v>
      </c>
    </row>
    <row r="656" ht="14.25" customHeight="1">
      <c r="A656" s="87">
        <v>655.0</v>
      </c>
      <c r="B656" s="88" t="s">
        <v>5369</v>
      </c>
      <c r="C656" s="89">
        <v>1.03396479E9</v>
      </c>
      <c r="D656" s="89" t="str">
        <f t="shared" si="1"/>
        <v>최광자4790</v>
      </c>
      <c r="E656" s="89" t="s">
        <v>5914</v>
      </c>
      <c r="F656" s="90">
        <v>45998.398680555554</v>
      </c>
      <c r="G656" s="88" t="s">
        <v>4805</v>
      </c>
      <c r="H656" s="88" t="s">
        <v>5915</v>
      </c>
      <c r="I656" s="90">
        <v>45998.82449074074</v>
      </c>
    </row>
    <row r="657" ht="14.25" customHeight="1">
      <c r="A657" s="87">
        <v>656.0</v>
      </c>
      <c r="B657" s="88" t="s">
        <v>1709</v>
      </c>
      <c r="C657" s="89">
        <v>1.031946748E9</v>
      </c>
      <c r="D657" s="89" t="str">
        <f t="shared" si="1"/>
        <v>이미화6748</v>
      </c>
      <c r="E657" s="89" t="s">
        <v>5916</v>
      </c>
      <c r="F657" s="90">
        <v>45998.398622685185</v>
      </c>
      <c r="G657" s="88" t="s">
        <v>4805</v>
      </c>
      <c r="H657" s="88" t="s">
        <v>5917</v>
      </c>
      <c r="I657" s="90">
        <v>45998.96828703704</v>
      </c>
    </row>
    <row r="658" ht="14.25" customHeight="1">
      <c r="A658" s="87">
        <v>657.0</v>
      </c>
      <c r="B658" s="88" t="s">
        <v>1472</v>
      </c>
      <c r="C658" s="89">
        <v>1.089392889E9</v>
      </c>
      <c r="D658" s="89" t="str">
        <f t="shared" si="1"/>
        <v>송은경2889</v>
      </c>
      <c r="E658" s="89" t="s">
        <v>5918</v>
      </c>
      <c r="F658" s="90">
        <v>45998.3984837963</v>
      </c>
      <c r="G658" s="88" t="s">
        <v>4805</v>
      </c>
      <c r="H658" s="88" t="s">
        <v>5919</v>
      </c>
      <c r="I658" s="90">
        <v>45998.96784722222</v>
      </c>
    </row>
    <row r="659" ht="14.25" customHeight="1">
      <c r="A659" s="87">
        <v>658.0</v>
      </c>
      <c r="B659" s="88" t="s">
        <v>1166</v>
      </c>
      <c r="C659" s="89">
        <v>1.089144973E9</v>
      </c>
      <c r="D659" s="89" t="str">
        <f t="shared" si="1"/>
        <v>서윤정4973</v>
      </c>
      <c r="E659" s="89" t="s">
        <v>5920</v>
      </c>
      <c r="F659" s="90">
        <v>45998.39821759259</v>
      </c>
      <c r="G659" s="88" t="s">
        <v>4805</v>
      </c>
      <c r="H659" s="88" t="s">
        <v>5921</v>
      </c>
      <c r="I659" s="90">
        <v>45998.82372685185</v>
      </c>
    </row>
    <row r="660" ht="14.25" customHeight="1">
      <c r="A660" s="87">
        <v>659.0</v>
      </c>
      <c r="B660" s="88" t="s">
        <v>1101</v>
      </c>
      <c r="C660" s="89">
        <v>1.09976356E9</v>
      </c>
      <c r="D660" s="89" t="str">
        <f t="shared" si="1"/>
        <v>이현아3560</v>
      </c>
      <c r="E660" s="89" t="s">
        <v>5922</v>
      </c>
      <c r="F660" s="90">
        <v>45998.39803240741</v>
      </c>
      <c r="G660" s="88" t="s">
        <v>4805</v>
      </c>
      <c r="H660" s="88" t="s">
        <v>5923</v>
      </c>
      <c r="I660" s="90">
        <v>45998.967673611114</v>
      </c>
    </row>
    <row r="661" ht="14.25" customHeight="1">
      <c r="A661" s="87">
        <v>660.0</v>
      </c>
      <c r="B661" s="88" t="s">
        <v>2355</v>
      </c>
      <c r="C661" s="89">
        <v>1.052863084E9</v>
      </c>
      <c r="D661" s="89" t="str">
        <f t="shared" si="1"/>
        <v>김희정3084</v>
      </c>
      <c r="E661" s="89" t="s">
        <v>5924</v>
      </c>
      <c r="F661" s="90">
        <v>45998.39800925926</v>
      </c>
      <c r="G661" s="88" t="s">
        <v>4805</v>
      </c>
      <c r="H661" s="88" t="s">
        <v>5145</v>
      </c>
      <c r="I661" s="90">
        <v>45998.96733796296</v>
      </c>
    </row>
    <row r="662" ht="14.25" customHeight="1">
      <c r="A662" s="87">
        <v>661.0</v>
      </c>
      <c r="B662" s="88" t="s">
        <v>2865</v>
      </c>
      <c r="C662" s="89">
        <v>1.058321409E9</v>
      </c>
      <c r="D662" s="89" t="str">
        <f t="shared" si="1"/>
        <v>신영혜1409</v>
      </c>
      <c r="E662" s="89" t="s">
        <v>5925</v>
      </c>
      <c r="F662" s="90">
        <v>45998.397939814815</v>
      </c>
      <c r="G662" s="88" t="s">
        <v>4805</v>
      </c>
      <c r="H662" s="88" t="s">
        <v>5856</v>
      </c>
      <c r="I662" s="90">
        <v>45998.82332175926</v>
      </c>
    </row>
    <row r="663" ht="14.25" customHeight="1">
      <c r="A663" s="87">
        <v>662.0</v>
      </c>
      <c r="B663" s="88" t="s">
        <v>1105</v>
      </c>
      <c r="C663" s="89">
        <v>1.073109193E9</v>
      </c>
      <c r="D663" s="89" t="str">
        <f t="shared" si="1"/>
        <v>신혜균9193</v>
      </c>
      <c r="E663" s="89" t="s">
        <v>5926</v>
      </c>
      <c r="F663" s="90">
        <v>45998.39791666667</v>
      </c>
      <c r="G663" s="88" t="s">
        <v>4805</v>
      </c>
      <c r="H663" s="88" t="s">
        <v>5815</v>
      </c>
      <c r="I663" s="90">
        <v>45998.82299768519</v>
      </c>
    </row>
    <row r="664" ht="14.25" customHeight="1">
      <c r="A664" s="87">
        <v>663.0</v>
      </c>
      <c r="B664" s="88" t="s">
        <v>2907</v>
      </c>
      <c r="C664" s="89">
        <v>1.032351115E9</v>
      </c>
      <c r="D664" s="89" t="str">
        <f t="shared" si="1"/>
        <v>정명진1115</v>
      </c>
      <c r="E664" s="89" t="s">
        <v>5927</v>
      </c>
      <c r="F664" s="90">
        <v>45998.397893518515</v>
      </c>
      <c r="G664" s="88" t="s">
        <v>4805</v>
      </c>
      <c r="H664" s="88" t="s">
        <v>5319</v>
      </c>
      <c r="I664" s="90">
        <v>45998.96707175926</v>
      </c>
    </row>
    <row r="665" ht="14.25" customHeight="1">
      <c r="A665" s="87">
        <v>664.0</v>
      </c>
      <c r="B665" s="88" t="s">
        <v>5825</v>
      </c>
      <c r="C665" s="89">
        <v>1.022059494E9</v>
      </c>
      <c r="D665" s="89" t="str">
        <f t="shared" si="1"/>
        <v>김재웅9494</v>
      </c>
      <c r="E665" s="89" t="s">
        <v>5928</v>
      </c>
      <c r="F665" s="90">
        <v>45998.39770833333</v>
      </c>
      <c r="G665" s="88" t="s">
        <v>4805</v>
      </c>
      <c r="H665" s="88" t="s">
        <v>5827</v>
      </c>
      <c r="I665" s="90">
        <v>45998.96659722222</v>
      </c>
    </row>
    <row r="666" ht="14.25" customHeight="1">
      <c r="A666" s="87">
        <v>665.0</v>
      </c>
      <c r="B666" s="88" t="s">
        <v>3905</v>
      </c>
      <c r="C666" s="89">
        <v>1.041147399E9</v>
      </c>
      <c r="D666" s="89" t="str">
        <f t="shared" si="1"/>
        <v>경현옥7399</v>
      </c>
      <c r="E666" s="89" t="s">
        <v>5929</v>
      </c>
      <c r="F666" s="90">
        <v>45998.397673611114</v>
      </c>
      <c r="G666" s="88" t="s">
        <v>4805</v>
      </c>
      <c r="H666" s="88" t="s">
        <v>5930</v>
      </c>
      <c r="I666" s="90">
        <v>45998.96650462963</v>
      </c>
    </row>
    <row r="667" ht="14.25" customHeight="1">
      <c r="A667" s="87">
        <v>666.0</v>
      </c>
      <c r="B667" s="88" t="s">
        <v>2630</v>
      </c>
      <c r="C667" s="89">
        <v>1.032871026E9</v>
      </c>
      <c r="D667" s="89" t="str">
        <f t="shared" si="1"/>
        <v>김경희1026</v>
      </c>
      <c r="E667" s="89" t="s">
        <v>5931</v>
      </c>
      <c r="F667" s="90">
        <v>45998.39759259259</v>
      </c>
      <c r="G667" s="88" t="s">
        <v>4805</v>
      </c>
      <c r="H667" s="88" t="s">
        <v>5921</v>
      </c>
      <c r="I667" s="90">
        <v>45998.822222222225</v>
      </c>
    </row>
    <row r="668" ht="14.25" customHeight="1">
      <c r="A668" s="87">
        <v>667.0</v>
      </c>
      <c r="B668" s="88" t="s">
        <v>1297</v>
      </c>
      <c r="C668" s="89">
        <v>1.091445193E9</v>
      </c>
      <c r="D668" s="89" t="str">
        <f t="shared" si="1"/>
        <v>이혜원5193</v>
      </c>
      <c r="E668" s="89" t="s">
        <v>5932</v>
      </c>
      <c r="F668" s="90">
        <v>45998.397523148145</v>
      </c>
      <c r="G668" s="88" t="s">
        <v>4805</v>
      </c>
      <c r="H668" s="88" t="s">
        <v>5827</v>
      </c>
      <c r="I668" s="90">
        <v>45998.96603009259</v>
      </c>
    </row>
    <row r="669" ht="14.25" customHeight="1">
      <c r="A669" s="87">
        <v>668.0</v>
      </c>
      <c r="B669" s="88" t="s">
        <v>5933</v>
      </c>
      <c r="C669" s="89">
        <v>1.053214822E9</v>
      </c>
      <c r="D669" s="89" t="str">
        <f t="shared" si="1"/>
        <v>백승숙4822</v>
      </c>
      <c r="E669" s="89" t="s">
        <v>5934</v>
      </c>
      <c r="F669" s="90">
        <v>45998.39741898148</v>
      </c>
      <c r="G669" s="88" t="s">
        <v>4805</v>
      </c>
      <c r="H669" s="88" t="s">
        <v>5935</v>
      </c>
      <c r="I669" s="90">
        <v>45998.82045138889</v>
      </c>
    </row>
    <row r="670" ht="14.25" customHeight="1">
      <c r="A670" s="87">
        <v>669.0</v>
      </c>
      <c r="B670" s="88" t="s">
        <v>2828</v>
      </c>
      <c r="C670" s="89">
        <v>1.033785867E9</v>
      </c>
      <c r="D670" s="89" t="str">
        <f t="shared" si="1"/>
        <v>김은혜5867</v>
      </c>
      <c r="E670" s="89" t="s">
        <v>5936</v>
      </c>
      <c r="F670" s="90">
        <v>45998.39722222222</v>
      </c>
      <c r="G670" s="88" t="s">
        <v>4805</v>
      </c>
      <c r="H670" s="88" t="s">
        <v>5815</v>
      </c>
      <c r="I670" s="90">
        <v>45998.820069444446</v>
      </c>
    </row>
    <row r="671" ht="14.25" customHeight="1">
      <c r="A671" s="87">
        <v>670.0</v>
      </c>
      <c r="B671" s="88" t="s">
        <v>1860</v>
      </c>
      <c r="C671" s="89">
        <v>1.090480571E9</v>
      </c>
      <c r="D671" s="89" t="str">
        <f t="shared" si="1"/>
        <v>김미희0571</v>
      </c>
      <c r="E671" s="89" t="s">
        <v>5937</v>
      </c>
      <c r="F671" s="90">
        <v>45998.397210648145</v>
      </c>
      <c r="G671" s="88" t="s">
        <v>4805</v>
      </c>
      <c r="H671" s="88" t="s">
        <v>5938</v>
      </c>
      <c r="I671" s="90">
        <v>45998.91358796296</v>
      </c>
    </row>
    <row r="672" ht="14.25" customHeight="1">
      <c r="A672" s="87">
        <v>671.0</v>
      </c>
      <c r="B672" s="88" t="s">
        <v>2909</v>
      </c>
      <c r="C672" s="89">
        <v>1.023867246E9</v>
      </c>
      <c r="D672" s="89" t="str">
        <f t="shared" si="1"/>
        <v>정영림7246</v>
      </c>
      <c r="E672" s="89" t="s">
        <v>5939</v>
      </c>
      <c r="F672" s="90">
        <v>45998.397210648145</v>
      </c>
      <c r="G672" s="88" t="s">
        <v>4805</v>
      </c>
      <c r="H672" s="88" t="s">
        <v>5815</v>
      </c>
      <c r="I672" s="90">
        <v>45998.81931712963</v>
      </c>
    </row>
    <row r="673" ht="14.25" customHeight="1">
      <c r="A673" s="87">
        <v>672.0</v>
      </c>
      <c r="B673" s="88" t="s">
        <v>5940</v>
      </c>
      <c r="C673" s="89">
        <v>1.038534478E9</v>
      </c>
      <c r="D673" s="89" t="str">
        <f t="shared" si="1"/>
        <v>정태호4478</v>
      </c>
      <c r="E673" s="89" t="s">
        <v>5941</v>
      </c>
      <c r="F673" s="90">
        <v>45998.39710648148</v>
      </c>
      <c r="G673" s="88" t="s">
        <v>4805</v>
      </c>
      <c r="H673" s="88" t="s">
        <v>5827</v>
      </c>
      <c r="I673" s="90">
        <v>45998.91327546296</v>
      </c>
    </row>
    <row r="674" ht="14.25" customHeight="1">
      <c r="A674" s="87">
        <v>673.0</v>
      </c>
      <c r="B674" s="88" t="s">
        <v>3032</v>
      </c>
      <c r="C674" s="89">
        <v>1.08882838E9</v>
      </c>
      <c r="D674" s="89" t="str">
        <f t="shared" si="1"/>
        <v>김명렬8380</v>
      </c>
      <c r="E674" s="89" t="s">
        <v>5942</v>
      </c>
      <c r="F674" s="90">
        <v>45998.39697916667</v>
      </c>
      <c r="G674" s="88" t="s">
        <v>4805</v>
      </c>
      <c r="H674" s="88" t="s">
        <v>5943</v>
      </c>
      <c r="I674" s="90">
        <v>45998.913194444445</v>
      </c>
    </row>
    <row r="675" ht="14.25" customHeight="1">
      <c r="A675" s="87">
        <v>674.0</v>
      </c>
      <c r="B675" s="88" t="s">
        <v>3298</v>
      </c>
      <c r="C675" s="89">
        <v>1.054045696E9</v>
      </c>
      <c r="D675" s="89" t="str">
        <f t="shared" si="1"/>
        <v>박희영5696</v>
      </c>
      <c r="E675" s="89" t="s">
        <v>5944</v>
      </c>
      <c r="F675" s="90">
        <v>45998.3969212963</v>
      </c>
      <c r="G675" s="88" t="s">
        <v>4805</v>
      </c>
      <c r="H675" s="88" t="s">
        <v>5145</v>
      </c>
      <c r="I675" s="90">
        <v>45998.91211805555</v>
      </c>
    </row>
    <row r="676" ht="14.25" customHeight="1">
      <c r="A676" s="87">
        <v>675.0</v>
      </c>
      <c r="B676" s="88" t="s">
        <v>3504</v>
      </c>
      <c r="C676" s="89">
        <v>1.042004234E9</v>
      </c>
      <c r="D676" s="89" t="str">
        <f t="shared" si="1"/>
        <v>이영숙4234</v>
      </c>
      <c r="E676" s="89" t="s">
        <v>5945</v>
      </c>
      <c r="F676" s="90">
        <v>45998.39674768518</v>
      </c>
      <c r="G676" s="88" t="s">
        <v>4805</v>
      </c>
      <c r="H676" s="88" t="s">
        <v>4991</v>
      </c>
      <c r="I676" s="90">
        <v>45998.818136574075</v>
      </c>
    </row>
    <row r="677" ht="14.25" customHeight="1">
      <c r="A677" s="87">
        <v>676.0</v>
      </c>
      <c r="B677" s="88" t="s">
        <v>1004</v>
      </c>
      <c r="C677" s="89">
        <v>1.030005125E9</v>
      </c>
      <c r="D677" s="89" t="str">
        <f t="shared" si="1"/>
        <v>정시유5125</v>
      </c>
      <c r="E677" s="89" t="s">
        <v>5946</v>
      </c>
      <c r="F677" s="90">
        <v>45998.39673611111</v>
      </c>
      <c r="G677" s="88" t="s">
        <v>4805</v>
      </c>
      <c r="H677" s="88" t="s">
        <v>5145</v>
      </c>
      <c r="I677" s="90">
        <v>45998.91037037037</v>
      </c>
    </row>
    <row r="678" ht="14.25" customHeight="1">
      <c r="A678" s="87">
        <v>677.0</v>
      </c>
      <c r="B678" s="88" t="s">
        <v>1101</v>
      </c>
      <c r="C678" s="89">
        <v>1.09976356E9</v>
      </c>
      <c r="D678" s="89" t="str">
        <f t="shared" si="1"/>
        <v>이현아3560</v>
      </c>
      <c r="E678" s="89" t="s">
        <v>5947</v>
      </c>
      <c r="F678" s="90">
        <v>45998.3966087963</v>
      </c>
      <c r="G678" s="88" t="s">
        <v>4805</v>
      </c>
      <c r="H678" s="88" t="s">
        <v>5948</v>
      </c>
      <c r="I678" s="90">
        <v>45998.91193287037</v>
      </c>
    </row>
    <row r="679" ht="14.25" customHeight="1">
      <c r="A679" s="87">
        <v>678.0</v>
      </c>
      <c r="B679" s="88" t="s">
        <v>5949</v>
      </c>
      <c r="C679" s="89">
        <v>1.036994827E9</v>
      </c>
      <c r="D679" s="89" t="str">
        <f t="shared" si="1"/>
        <v>김재석4827</v>
      </c>
      <c r="E679" s="89" t="s">
        <v>5950</v>
      </c>
      <c r="F679" s="90">
        <v>45998.396585648145</v>
      </c>
      <c r="G679" s="88" t="s">
        <v>4805</v>
      </c>
      <c r="H679" s="88" t="s">
        <v>5951</v>
      </c>
      <c r="I679" s="90">
        <v>45998.81631944444</v>
      </c>
    </row>
    <row r="680" ht="14.25" customHeight="1">
      <c r="A680" s="87">
        <v>679.0</v>
      </c>
      <c r="B680" s="88" t="s">
        <v>2025</v>
      </c>
      <c r="C680" s="89">
        <v>1.062168331E9</v>
      </c>
      <c r="D680" s="89" t="str">
        <f t="shared" si="1"/>
        <v>황재숙8331</v>
      </c>
      <c r="E680" s="89" t="s">
        <v>5952</v>
      </c>
      <c r="F680" s="90">
        <v>45998.39655092593</v>
      </c>
      <c r="G680" s="88" t="s">
        <v>4805</v>
      </c>
      <c r="H680" s="89" t="s">
        <v>5953</v>
      </c>
      <c r="I680" s="90">
        <v>45998.81599537037</v>
      </c>
    </row>
    <row r="681" ht="14.25" customHeight="1">
      <c r="A681" s="87">
        <v>680.0</v>
      </c>
      <c r="B681" s="88" t="s">
        <v>1597</v>
      </c>
      <c r="C681" s="89">
        <v>1.042008944E9</v>
      </c>
      <c r="D681" s="89" t="str">
        <f t="shared" si="1"/>
        <v>임지우8944</v>
      </c>
      <c r="E681" s="89" t="s">
        <v>5954</v>
      </c>
      <c r="F681" s="90">
        <v>45998.39650462963</v>
      </c>
      <c r="G681" s="88" t="s">
        <v>4805</v>
      </c>
      <c r="H681" s="88" t="s">
        <v>5955</v>
      </c>
      <c r="I681" s="90">
        <v>45998.91341435185</v>
      </c>
    </row>
    <row r="682" ht="14.25" customHeight="1">
      <c r="A682" s="87">
        <v>681.0</v>
      </c>
      <c r="B682" s="88" t="s">
        <v>2767</v>
      </c>
      <c r="C682" s="89">
        <v>1.097273217E9</v>
      </c>
      <c r="D682" s="89" t="str">
        <f t="shared" si="1"/>
        <v>김미영3217</v>
      </c>
      <c r="E682" s="89" t="s">
        <v>5956</v>
      </c>
      <c r="F682" s="90">
        <v>45998.39650462963</v>
      </c>
      <c r="G682" s="88" t="s">
        <v>4805</v>
      </c>
      <c r="H682" s="88" t="s">
        <v>5957</v>
      </c>
      <c r="I682" s="90">
        <v>45998.81553240741</v>
      </c>
    </row>
    <row r="683" ht="14.25" customHeight="1">
      <c r="A683" s="87">
        <v>682.0</v>
      </c>
      <c r="B683" s="88" t="s">
        <v>1023</v>
      </c>
      <c r="C683" s="89">
        <v>1.028065057E9</v>
      </c>
      <c r="D683" s="89" t="str">
        <f t="shared" si="1"/>
        <v>민도선5057</v>
      </c>
      <c r="E683" s="89" t="s">
        <v>5958</v>
      </c>
      <c r="F683" s="90">
        <v>45998.39640046296</v>
      </c>
      <c r="G683" s="88" t="s">
        <v>4805</v>
      </c>
      <c r="H683" s="88" t="s">
        <v>4839</v>
      </c>
      <c r="I683" s="90">
        <v>45998.81474537037</v>
      </c>
    </row>
    <row r="684" ht="14.25" customHeight="1">
      <c r="A684" s="87">
        <v>683.0</v>
      </c>
      <c r="B684" s="88" t="s">
        <v>3497</v>
      </c>
      <c r="C684" s="89">
        <v>1.059376331E9</v>
      </c>
      <c r="D684" s="89" t="str">
        <f t="shared" si="1"/>
        <v>이승미6331</v>
      </c>
      <c r="E684" s="89" t="s">
        <v>5959</v>
      </c>
      <c r="F684" s="90">
        <v>45998.39638888889</v>
      </c>
      <c r="G684" s="88" t="s">
        <v>4805</v>
      </c>
      <c r="H684" s="88" t="s">
        <v>5960</v>
      </c>
      <c r="I684" s="90">
        <v>45998.814571759256</v>
      </c>
    </row>
    <row r="685" ht="14.25" customHeight="1">
      <c r="A685" s="87">
        <v>684.0</v>
      </c>
      <c r="B685" s="88" t="s">
        <v>1237</v>
      </c>
      <c r="C685" s="89">
        <v>1.090267644E9</v>
      </c>
      <c r="D685" s="89" t="str">
        <f t="shared" si="1"/>
        <v>한명실7644</v>
      </c>
      <c r="E685" s="89" t="s">
        <v>5961</v>
      </c>
      <c r="F685" s="90">
        <v>45998.39637731481</v>
      </c>
      <c r="G685" s="88" t="s">
        <v>4805</v>
      </c>
      <c r="H685" s="89" t="s">
        <v>5962</v>
      </c>
      <c r="I685" s="90">
        <v>45998.7125</v>
      </c>
    </row>
    <row r="686" ht="14.25" customHeight="1">
      <c r="A686" s="87">
        <v>685.0</v>
      </c>
      <c r="B686" s="88" t="s">
        <v>3512</v>
      </c>
      <c r="C686" s="89">
        <v>1.09355216E9</v>
      </c>
      <c r="D686" s="89" t="str">
        <f t="shared" si="1"/>
        <v>이완세2160</v>
      </c>
      <c r="E686" s="89" t="s">
        <v>5963</v>
      </c>
      <c r="F686" s="90">
        <v>45998.39628472222</v>
      </c>
      <c r="G686" s="88" t="s">
        <v>4805</v>
      </c>
      <c r="H686" s="88" t="s">
        <v>5457</v>
      </c>
      <c r="I686" s="90">
        <v>45998.71166666667</v>
      </c>
    </row>
    <row r="687" ht="14.25" customHeight="1">
      <c r="A687" s="87">
        <v>686.0</v>
      </c>
      <c r="B687" s="88" t="s">
        <v>1096</v>
      </c>
      <c r="C687" s="89">
        <v>1.09325536E9</v>
      </c>
      <c r="D687" s="89" t="str">
        <f t="shared" si="1"/>
        <v>남궁호5360</v>
      </c>
      <c r="E687" s="89" t="s">
        <v>5964</v>
      </c>
      <c r="F687" s="90">
        <v>45998.39618055556</v>
      </c>
      <c r="G687" s="88" t="s">
        <v>4805</v>
      </c>
      <c r="H687" s="88" t="s">
        <v>5457</v>
      </c>
      <c r="I687" s="90">
        <v>45998.71157407408</v>
      </c>
    </row>
    <row r="688" ht="14.25" customHeight="1">
      <c r="A688" s="87">
        <v>687.0</v>
      </c>
      <c r="B688" s="88" t="s">
        <v>5721</v>
      </c>
      <c r="C688" s="89">
        <v>1.032351115E9</v>
      </c>
      <c r="D688" s="89" t="str">
        <f t="shared" si="1"/>
        <v>차명희1115</v>
      </c>
      <c r="E688" s="89" t="s">
        <v>5965</v>
      </c>
      <c r="F688" s="90">
        <v>45998.39616898148</v>
      </c>
      <c r="G688" s="88" t="s">
        <v>4805</v>
      </c>
      <c r="H688" s="88" t="s">
        <v>5966</v>
      </c>
      <c r="I688" s="90">
        <v>45998.71283564815</v>
      </c>
    </row>
    <row r="689" ht="14.25" customHeight="1">
      <c r="A689" s="87">
        <v>688.0</v>
      </c>
      <c r="B689" s="88" t="s">
        <v>2760</v>
      </c>
      <c r="C689" s="89">
        <v>1.024159828E9</v>
      </c>
      <c r="D689" s="89" t="str">
        <f t="shared" si="1"/>
        <v>이인경9828</v>
      </c>
      <c r="E689" s="89" t="s">
        <v>5967</v>
      </c>
      <c r="F689" s="90">
        <v>45998.396145833336</v>
      </c>
      <c r="G689" s="88" t="s">
        <v>4805</v>
      </c>
      <c r="H689" s="88" t="s">
        <v>5966</v>
      </c>
      <c r="I689" s="90">
        <v>45998.7103587963</v>
      </c>
    </row>
    <row r="690" ht="14.25" customHeight="1">
      <c r="A690" s="87">
        <v>689.0</v>
      </c>
      <c r="B690" s="88" t="s">
        <v>3048</v>
      </c>
      <c r="C690" s="89">
        <v>1.047051835E9</v>
      </c>
      <c r="D690" s="89" t="str">
        <f t="shared" si="1"/>
        <v>김민성1835</v>
      </c>
      <c r="E690" s="89" t="s">
        <v>5968</v>
      </c>
      <c r="F690" s="90">
        <v>45998.39613425926</v>
      </c>
      <c r="G690" s="88" t="s">
        <v>4805</v>
      </c>
      <c r="H690" s="88" t="s">
        <v>5145</v>
      </c>
      <c r="I690" s="90">
        <v>45998.90813657407</v>
      </c>
    </row>
    <row r="691" ht="14.25" customHeight="1">
      <c r="A691" s="87">
        <v>690.0</v>
      </c>
      <c r="B691" s="88" t="s">
        <v>1535</v>
      </c>
      <c r="C691" s="89">
        <v>1.033521795E9</v>
      </c>
      <c r="D691" s="89" t="str">
        <f t="shared" si="1"/>
        <v>라광수1795</v>
      </c>
      <c r="E691" s="89" t="s">
        <v>5969</v>
      </c>
      <c r="F691" s="90">
        <v>45998.39608796296</v>
      </c>
      <c r="G691" s="88" t="s">
        <v>4805</v>
      </c>
      <c r="H691" s="88" t="s">
        <v>5970</v>
      </c>
      <c r="I691" s="90">
        <v>45998.70952546296</v>
      </c>
    </row>
    <row r="692" ht="14.25" customHeight="1">
      <c r="A692" s="87">
        <v>691.0</v>
      </c>
      <c r="B692" s="88" t="s">
        <v>5940</v>
      </c>
      <c r="C692" s="89">
        <v>1.038534478E9</v>
      </c>
      <c r="D692" s="89" t="str">
        <f t="shared" si="1"/>
        <v>정태호4478</v>
      </c>
      <c r="E692" s="89" t="s">
        <v>5971</v>
      </c>
      <c r="F692" s="90">
        <v>45998.39604166667</v>
      </c>
      <c r="G692" s="88" t="s">
        <v>4805</v>
      </c>
      <c r="H692" s="88" t="s">
        <v>5827</v>
      </c>
      <c r="I692" s="90">
        <v>45998.90797453704</v>
      </c>
    </row>
    <row r="693" ht="14.25" customHeight="1">
      <c r="A693" s="87">
        <v>692.0</v>
      </c>
      <c r="B693" s="88" t="s">
        <v>3239</v>
      </c>
      <c r="C693" s="89">
        <v>1.087537805E9</v>
      </c>
      <c r="D693" s="89" t="str">
        <f t="shared" si="1"/>
        <v>박성숙7805</v>
      </c>
      <c r="E693" s="89" t="s">
        <v>5972</v>
      </c>
      <c r="F693" s="90">
        <v>45998.395682870374</v>
      </c>
      <c r="G693" s="88" t="s">
        <v>4805</v>
      </c>
      <c r="H693" s="88" t="s">
        <v>4839</v>
      </c>
      <c r="I693" s="90">
        <v>45998.813935185186</v>
      </c>
    </row>
    <row r="694" ht="14.25" customHeight="1">
      <c r="A694" s="87">
        <v>693.0</v>
      </c>
      <c r="B694" s="88" t="s">
        <v>1691</v>
      </c>
      <c r="C694" s="89">
        <v>1.085573114E9</v>
      </c>
      <c r="D694" s="89" t="str">
        <f t="shared" si="1"/>
        <v>진라희3114</v>
      </c>
      <c r="E694" s="89" t="s">
        <v>5973</v>
      </c>
      <c r="F694" s="90">
        <v>45998.39549768518</v>
      </c>
      <c r="G694" s="88" t="s">
        <v>4805</v>
      </c>
      <c r="H694" s="88" t="s">
        <v>5974</v>
      </c>
      <c r="I694" s="90">
        <v>45998.90787037037</v>
      </c>
    </row>
    <row r="695" ht="14.25" customHeight="1">
      <c r="A695" s="87">
        <v>694.0</v>
      </c>
      <c r="B695" s="88" t="s">
        <v>3897</v>
      </c>
      <c r="C695" s="89">
        <v>1.046320621E9</v>
      </c>
      <c r="D695" s="89" t="str">
        <f t="shared" si="1"/>
        <v>박현선0621</v>
      </c>
      <c r="E695" s="89" t="s">
        <v>5975</v>
      </c>
      <c r="F695" s="90">
        <v>45998.39543981481</v>
      </c>
      <c r="G695" s="88" t="s">
        <v>4805</v>
      </c>
      <c r="H695" s="88" t="s">
        <v>5976</v>
      </c>
      <c r="I695" s="90">
        <v>45998.9071412037</v>
      </c>
    </row>
    <row r="696" ht="14.25" customHeight="1">
      <c r="A696" s="87">
        <v>695.0</v>
      </c>
      <c r="B696" s="88" t="s">
        <v>3794</v>
      </c>
      <c r="C696" s="89">
        <v>1.025147657E9</v>
      </c>
      <c r="D696" s="89" t="str">
        <f t="shared" si="1"/>
        <v>황명숙7657</v>
      </c>
      <c r="E696" s="89" t="s">
        <v>5977</v>
      </c>
      <c r="F696" s="90">
        <v>45998.395416666666</v>
      </c>
      <c r="G696" s="88" t="s">
        <v>4805</v>
      </c>
      <c r="H696" s="88" t="s">
        <v>5978</v>
      </c>
      <c r="I696" s="90">
        <v>45998.86804398148</v>
      </c>
    </row>
    <row r="697" ht="14.25" customHeight="1">
      <c r="A697" s="87">
        <v>696.0</v>
      </c>
      <c r="B697" s="88" t="s">
        <v>5940</v>
      </c>
      <c r="C697" s="89">
        <v>1.038534478E9</v>
      </c>
      <c r="D697" s="89" t="str">
        <f t="shared" si="1"/>
        <v>정태호4478</v>
      </c>
      <c r="E697" s="89" t="s">
        <v>5979</v>
      </c>
      <c r="F697" s="90">
        <v>45998.39525462963</v>
      </c>
      <c r="G697" s="88" t="s">
        <v>4805</v>
      </c>
      <c r="H697" s="88" t="s">
        <v>5980</v>
      </c>
      <c r="I697" s="90">
        <v>45998.8675</v>
      </c>
    </row>
    <row r="698" ht="14.25" customHeight="1">
      <c r="A698" s="87">
        <v>697.0</v>
      </c>
      <c r="B698" s="88" t="s">
        <v>2520</v>
      </c>
      <c r="C698" s="89">
        <v>1.037071968E9</v>
      </c>
      <c r="D698" s="89" t="str">
        <f t="shared" si="1"/>
        <v>김영숙1968</v>
      </c>
      <c r="E698" s="89" t="s">
        <v>5981</v>
      </c>
      <c r="F698" s="90">
        <v>45998.395208333335</v>
      </c>
      <c r="G698" s="88" t="s">
        <v>4805</v>
      </c>
      <c r="H698" s="88" t="s">
        <v>5982</v>
      </c>
      <c r="I698" s="90">
        <v>45998.70877314815</v>
      </c>
    </row>
    <row r="699" ht="14.25" customHeight="1">
      <c r="A699" s="87">
        <v>698.0</v>
      </c>
      <c r="B699" s="88" t="s">
        <v>5983</v>
      </c>
      <c r="C699" s="89">
        <v>1.037238559E9</v>
      </c>
      <c r="D699" s="89" t="str">
        <f t="shared" si="1"/>
        <v>신태수8559</v>
      </c>
      <c r="E699" s="89" t="s">
        <v>5984</v>
      </c>
      <c r="F699" s="90">
        <v>45998.39512731481</v>
      </c>
      <c r="G699" s="88" t="s">
        <v>4805</v>
      </c>
      <c r="H699" s="89" t="s">
        <v>5985</v>
      </c>
      <c r="I699" s="90">
        <v>45998.70849537037</v>
      </c>
    </row>
    <row r="700" ht="14.25" customHeight="1">
      <c r="A700" s="87">
        <v>699.0</v>
      </c>
      <c r="B700" s="88" t="s">
        <v>1215</v>
      </c>
      <c r="C700" s="89">
        <v>1.028872262E9</v>
      </c>
      <c r="D700" s="89" t="str">
        <f t="shared" si="1"/>
        <v>채미향2262</v>
      </c>
      <c r="E700" s="89" t="s">
        <v>5986</v>
      </c>
      <c r="F700" s="90">
        <v>45998.39502314815</v>
      </c>
      <c r="G700" s="88" t="s">
        <v>4805</v>
      </c>
      <c r="H700" s="88" t="s">
        <v>5966</v>
      </c>
      <c r="I700" s="90">
        <v>45998.70820601852</v>
      </c>
    </row>
    <row r="701" ht="14.25" customHeight="1">
      <c r="A701" s="87">
        <v>700.0</v>
      </c>
      <c r="B701" s="88" t="s">
        <v>2101</v>
      </c>
      <c r="C701" s="89">
        <v>1.03996576E9</v>
      </c>
      <c r="D701" s="89" t="str">
        <f t="shared" si="1"/>
        <v>백종숙5760</v>
      </c>
      <c r="E701" s="89" t="s">
        <v>5987</v>
      </c>
      <c r="F701" s="90">
        <v>45998.39497685185</v>
      </c>
      <c r="G701" s="88" t="s">
        <v>4805</v>
      </c>
      <c r="H701" s="88" t="s">
        <v>5921</v>
      </c>
      <c r="I701" s="90">
        <v>45998.8133912037</v>
      </c>
    </row>
    <row r="702" ht="14.25" customHeight="1">
      <c r="A702" s="87">
        <v>701.0</v>
      </c>
      <c r="B702" s="88" t="s">
        <v>2837</v>
      </c>
      <c r="C702" s="89">
        <v>1.072110988E9</v>
      </c>
      <c r="D702" s="89" t="str">
        <f t="shared" si="1"/>
        <v>김혜성0988</v>
      </c>
      <c r="E702" s="89" t="s">
        <v>5988</v>
      </c>
      <c r="F702" s="90">
        <v>45998.39493055556</v>
      </c>
      <c r="G702" s="88" t="s">
        <v>4805</v>
      </c>
      <c r="H702" s="88" t="s">
        <v>5856</v>
      </c>
      <c r="I702" s="90">
        <v>45998.70804398148</v>
      </c>
    </row>
    <row r="703" ht="14.25" customHeight="1">
      <c r="A703" s="87">
        <v>702.0</v>
      </c>
      <c r="B703" s="88" t="s">
        <v>3329</v>
      </c>
      <c r="C703" s="89">
        <v>1.087682525E9</v>
      </c>
      <c r="D703" s="89" t="str">
        <f t="shared" si="1"/>
        <v>성은숙2525</v>
      </c>
      <c r="E703" s="89" t="s">
        <v>5989</v>
      </c>
      <c r="F703" s="90">
        <v>45998.394849537035</v>
      </c>
      <c r="G703" s="88" t="s">
        <v>4805</v>
      </c>
      <c r="H703" s="88" t="s">
        <v>5319</v>
      </c>
      <c r="I703" s="90">
        <v>45998.86712962963</v>
      </c>
    </row>
    <row r="704" ht="14.25" customHeight="1">
      <c r="A704" s="87">
        <v>703.0</v>
      </c>
      <c r="B704" s="94" t="s">
        <v>1839</v>
      </c>
      <c r="C704" s="89">
        <v>1.097810991E9</v>
      </c>
      <c r="D704" s="89" t="str">
        <f t="shared" si="1"/>
        <v>이남애0991</v>
      </c>
      <c r="E704" s="89" t="s">
        <v>5990</v>
      </c>
      <c r="F704" s="90">
        <v>45998.3946875</v>
      </c>
      <c r="G704" s="88" t="s">
        <v>4805</v>
      </c>
      <c r="H704" s="88" t="s">
        <v>5991</v>
      </c>
      <c r="I704" s="90">
        <v>45998.866875</v>
      </c>
    </row>
    <row r="705" ht="14.25" customHeight="1">
      <c r="A705" s="87">
        <v>704.0</v>
      </c>
      <c r="B705" s="88" t="s">
        <v>2865</v>
      </c>
      <c r="C705" s="89">
        <v>1.037311214E9</v>
      </c>
      <c r="D705" s="89" t="str">
        <f t="shared" si="1"/>
        <v>신영혜1214</v>
      </c>
      <c r="E705" s="89" t="s">
        <v>5992</v>
      </c>
      <c r="F705" s="90">
        <v>45998.39461805556</v>
      </c>
      <c r="G705" s="88" t="s">
        <v>4805</v>
      </c>
      <c r="H705" s="88" t="s">
        <v>5329</v>
      </c>
      <c r="I705" s="90">
        <v>45998.8634375</v>
      </c>
    </row>
    <row r="706" ht="14.25" customHeight="1">
      <c r="A706" s="87">
        <v>705.0</v>
      </c>
      <c r="B706" s="88" t="s">
        <v>2540</v>
      </c>
      <c r="C706" s="89">
        <v>1.065566331E9</v>
      </c>
      <c r="D706" s="89" t="str">
        <f t="shared" si="1"/>
        <v>박영철6331</v>
      </c>
      <c r="E706" s="89" t="s">
        <v>5993</v>
      </c>
      <c r="F706" s="90">
        <v>45998.39454861111</v>
      </c>
      <c r="G706" s="88" t="s">
        <v>4805</v>
      </c>
      <c r="H706" s="88" t="s">
        <v>5994</v>
      </c>
      <c r="I706" s="90">
        <v>45998.86269675926</v>
      </c>
    </row>
    <row r="707" ht="14.25" customHeight="1">
      <c r="A707" s="87">
        <v>706.0</v>
      </c>
      <c r="B707" s="88" t="s">
        <v>5685</v>
      </c>
      <c r="C707" s="89">
        <v>1.06249703E9</v>
      </c>
      <c r="D707" s="89" t="str">
        <f t="shared" si="1"/>
        <v>최영신7030</v>
      </c>
      <c r="E707" s="89" t="s">
        <v>5995</v>
      </c>
      <c r="F707" s="90">
        <v>45998.39449074074</v>
      </c>
      <c r="G707" s="88" t="s">
        <v>4805</v>
      </c>
      <c r="H707" s="88" t="s">
        <v>5856</v>
      </c>
      <c r="I707" s="90">
        <v>45998.70618055556</v>
      </c>
    </row>
    <row r="708" ht="14.25" customHeight="1">
      <c r="A708" s="87">
        <v>707.0</v>
      </c>
      <c r="B708" s="88" t="s">
        <v>1406</v>
      </c>
      <c r="C708" s="89">
        <v>1.054335394E9</v>
      </c>
      <c r="D708" s="89" t="str">
        <f t="shared" si="1"/>
        <v>김영희5394</v>
      </c>
      <c r="E708" s="89" t="s">
        <v>5996</v>
      </c>
      <c r="F708" s="90">
        <v>45998.394467592596</v>
      </c>
      <c r="G708" s="88" t="s">
        <v>4805</v>
      </c>
      <c r="H708" s="88" t="s">
        <v>5997</v>
      </c>
      <c r="I708" s="90">
        <v>45998.8618287037</v>
      </c>
    </row>
    <row r="709" ht="14.25" customHeight="1">
      <c r="A709" s="87">
        <v>708.0</v>
      </c>
      <c r="B709" s="88" t="s">
        <v>2917</v>
      </c>
      <c r="C709" s="89">
        <v>1.063195117E9</v>
      </c>
      <c r="D709" s="89" t="str">
        <f t="shared" si="1"/>
        <v>최문희5117</v>
      </c>
      <c r="E709" s="89" t="s">
        <v>5998</v>
      </c>
      <c r="F709" s="90">
        <v>45998.394375</v>
      </c>
      <c r="G709" s="88" t="s">
        <v>4805</v>
      </c>
      <c r="H709" s="88" t="s">
        <v>5329</v>
      </c>
      <c r="I709" s="90">
        <v>45998.8608912037</v>
      </c>
    </row>
    <row r="710" ht="14.25" customHeight="1">
      <c r="A710" s="87">
        <v>709.0</v>
      </c>
      <c r="B710" s="88" t="s">
        <v>4536</v>
      </c>
      <c r="C710" s="89">
        <v>1.041832502E9</v>
      </c>
      <c r="D710" s="89" t="str">
        <f t="shared" si="1"/>
        <v>안수진2502</v>
      </c>
      <c r="E710" s="89" t="s">
        <v>5999</v>
      </c>
      <c r="F710" s="90">
        <v>45998.39429398148</v>
      </c>
      <c r="G710" s="88" t="s">
        <v>4805</v>
      </c>
      <c r="H710" s="89" t="s">
        <v>6000</v>
      </c>
      <c r="I710" s="90">
        <v>45998.86054398148</v>
      </c>
    </row>
    <row r="711" ht="14.25" customHeight="1">
      <c r="A711" s="87">
        <v>710.0</v>
      </c>
      <c r="B711" s="88" t="s">
        <v>1175</v>
      </c>
      <c r="C711" s="89">
        <v>1.031398556E9</v>
      </c>
      <c r="D711" s="89" t="str">
        <f t="shared" si="1"/>
        <v>임정임8556</v>
      </c>
      <c r="E711" s="89" t="s">
        <v>6001</v>
      </c>
      <c r="F711" s="90">
        <v>45998.394270833334</v>
      </c>
      <c r="G711" s="88" t="s">
        <v>4805</v>
      </c>
      <c r="H711" s="88" t="s">
        <v>5856</v>
      </c>
      <c r="I711" s="90">
        <v>45998.705717592595</v>
      </c>
    </row>
    <row r="712" ht="14.25" customHeight="1">
      <c r="A712" s="87">
        <v>711.0</v>
      </c>
      <c r="B712" s="88" t="s">
        <v>1067</v>
      </c>
      <c r="C712" s="89">
        <v>1.04512148E9</v>
      </c>
      <c r="D712" s="89" t="str">
        <f t="shared" si="1"/>
        <v>차현주1480</v>
      </c>
      <c r="E712" s="89" t="s">
        <v>6002</v>
      </c>
      <c r="F712" s="90">
        <v>45998.394270833334</v>
      </c>
      <c r="G712" s="88" t="s">
        <v>4805</v>
      </c>
      <c r="H712" s="88" t="s">
        <v>5980</v>
      </c>
      <c r="I712" s="90">
        <v>45998.859976851854</v>
      </c>
    </row>
    <row r="713" ht="14.25" customHeight="1">
      <c r="A713" s="87">
        <v>712.0</v>
      </c>
      <c r="B713" s="88" t="s">
        <v>2161</v>
      </c>
      <c r="C713" s="89">
        <v>1.066877393E9</v>
      </c>
      <c r="D713" s="89" t="str">
        <f t="shared" si="1"/>
        <v>함은순7393</v>
      </c>
      <c r="E713" s="89" t="s">
        <v>6003</v>
      </c>
      <c r="F713" s="90">
        <v>45998.39424768519</v>
      </c>
      <c r="G713" s="88" t="s">
        <v>4805</v>
      </c>
      <c r="H713" s="88" t="s">
        <v>5966</v>
      </c>
      <c r="I713" s="90">
        <v>45998.70489583333</v>
      </c>
    </row>
    <row r="714" ht="14.25" customHeight="1">
      <c r="A714" s="87">
        <v>713.0</v>
      </c>
      <c r="B714" s="88" t="s">
        <v>1533</v>
      </c>
      <c r="C714" s="89">
        <v>1.064040942E9</v>
      </c>
      <c r="D714" s="89" t="str">
        <f t="shared" si="1"/>
        <v>조성희0942</v>
      </c>
      <c r="E714" s="89" t="s">
        <v>6004</v>
      </c>
      <c r="F714" s="90">
        <v>45998.39423611111</v>
      </c>
      <c r="G714" s="88" t="s">
        <v>4805</v>
      </c>
      <c r="H714" s="88" t="s">
        <v>5980</v>
      </c>
      <c r="I714" s="90">
        <v>45998.85971064815</v>
      </c>
    </row>
    <row r="715" ht="14.25" customHeight="1">
      <c r="A715" s="87">
        <v>714.0</v>
      </c>
      <c r="B715" s="88" t="s">
        <v>1447</v>
      </c>
      <c r="C715" s="89">
        <v>1.032691477E9</v>
      </c>
      <c r="D715" s="89" t="str">
        <f t="shared" si="1"/>
        <v>윤도현1477</v>
      </c>
      <c r="E715" s="89" t="s">
        <v>6005</v>
      </c>
      <c r="F715" s="90">
        <v>45998.39420138889</v>
      </c>
      <c r="G715" s="88" t="s">
        <v>4805</v>
      </c>
      <c r="H715" s="88" t="s">
        <v>5966</v>
      </c>
      <c r="I715" s="90">
        <v>45998.704305555555</v>
      </c>
    </row>
    <row r="716" ht="14.25" customHeight="1">
      <c r="A716" s="87">
        <v>715.0</v>
      </c>
      <c r="B716" s="88" t="s">
        <v>1535</v>
      </c>
      <c r="C716" s="89">
        <v>1.033521795E9</v>
      </c>
      <c r="D716" s="89" t="str">
        <f t="shared" si="1"/>
        <v>라광수1795</v>
      </c>
      <c r="E716" s="89" t="s">
        <v>6006</v>
      </c>
      <c r="F716" s="90">
        <v>45998.394155092596</v>
      </c>
      <c r="G716" s="88" t="s">
        <v>4805</v>
      </c>
      <c r="H716" s="88" t="s">
        <v>5319</v>
      </c>
      <c r="I716" s="90">
        <v>45998.859351851854</v>
      </c>
    </row>
    <row r="717" ht="14.25" customHeight="1">
      <c r="A717" s="87">
        <v>716.0</v>
      </c>
      <c r="B717" s="88" t="s">
        <v>1065</v>
      </c>
      <c r="C717" s="89">
        <v>1.04280629E9</v>
      </c>
      <c r="D717" s="89" t="str">
        <f t="shared" si="1"/>
        <v>한명희6290</v>
      </c>
      <c r="E717" s="89" t="s">
        <v>6007</v>
      </c>
      <c r="F717" s="90">
        <v>45998.39392361111</v>
      </c>
      <c r="G717" s="88" t="s">
        <v>4805</v>
      </c>
      <c r="H717" s="88" t="s">
        <v>5966</v>
      </c>
      <c r="I717" s="90">
        <v>45998.70414351852</v>
      </c>
    </row>
    <row r="718" ht="14.25" customHeight="1">
      <c r="A718" s="87">
        <v>717.0</v>
      </c>
      <c r="B718" s="88" t="s">
        <v>1233</v>
      </c>
      <c r="C718" s="89">
        <v>1.035681785E9</v>
      </c>
      <c r="D718" s="89" t="str">
        <f t="shared" si="1"/>
        <v>이주연1785</v>
      </c>
      <c r="E718" s="89" t="s">
        <v>6008</v>
      </c>
      <c r="F718" s="90">
        <v>45998.393854166665</v>
      </c>
      <c r="G718" s="88" t="s">
        <v>4805</v>
      </c>
      <c r="H718" s="88" t="s">
        <v>5329</v>
      </c>
      <c r="I718" s="90">
        <v>45998.85875</v>
      </c>
    </row>
    <row r="719" ht="14.25" customHeight="1">
      <c r="A719" s="87">
        <v>718.0</v>
      </c>
      <c r="B719" s="88" t="s">
        <v>5837</v>
      </c>
      <c r="C719" s="89">
        <v>1.037459494E9</v>
      </c>
      <c r="D719" s="89" t="str">
        <f t="shared" si="1"/>
        <v>백승옥9494</v>
      </c>
      <c r="E719" s="89" t="s">
        <v>6009</v>
      </c>
      <c r="F719" s="90">
        <v>45998.3937037037</v>
      </c>
      <c r="G719" s="88" t="s">
        <v>4805</v>
      </c>
      <c r="H719" s="88" t="s">
        <v>6010</v>
      </c>
      <c r="I719" s="90">
        <v>45998.8</v>
      </c>
    </row>
    <row r="720" ht="14.25" customHeight="1">
      <c r="A720" s="87">
        <v>719.0</v>
      </c>
      <c r="B720" s="88" t="s">
        <v>3864</v>
      </c>
      <c r="C720" s="89">
        <v>1.091973881E9</v>
      </c>
      <c r="D720" s="89" t="str">
        <f t="shared" si="1"/>
        <v>황명선3881</v>
      </c>
      <c r="E720" s="89" t="s">
        <v>6011</v>
      </c>
      <c r="F720" s="90">
        <v>45998.39366898148</v>
      </c>
      <c r="G720" s="88" t="s">
        <v>4805</v>
      </c>
      <c r="H720" s="88" t="s">
        <v>6012</v>
      </c>
      <c r="I720" s="90">
        <v>45998.799467592595</v>
      </c>
    </row>
    <row r="721" ht="14.25" customHeight="1">
      <c r="A721" s="87">
        <v>720.0</v>
      </c>
      <c r="B721" s="88" t="s">
        <v>1780</v>
      </c>
      <c r="C721" s="89">
        <v>1.037660505E9</v>
      </c>
      <c r="D721" s="89" t="str">
        <f t="shared" si="1"/>
        <v>김지원0505</v>
      </c>
      <c r="E721" s="89" t="s">
        <v>6013</v>
      </c>
      <c r="F721" s="90">
        <v>45998.39365740741</v>
      </c>
      <c r="G721" s="88" t="s">
        <v>4805</v>
      </c>
      <c r="H721" s="88" t="s">
        <v>5966</v>
      </c>
      <c r="I721" s="90">
        <v>45998.70315972222</v>
      </c>
    </row>
    <row r="722" ht="14.25" customHeight="1">
      <c r="A722" s="87">
        <v>721.0</v>
      </c>
      <c r="B722" s="88" t="s">
        <v>1187</v>
      </c>
      <c r="C722" s="89">
        <v>1.077660706E9</v>
      </c>
      <c r="D722" s="89" t="str">
        <f t="shared" si="1"/>
        <v>이은경0706</v>
      </c>
      <c r="E722" s="89" t="s">
        <v>6014</v>
      </c>
      <c r="F722" s="90">
        <v>45998.39362268519</v>
      </c>
      <c r="G722" s="88" t="s">
        <v>4805</v>
      </c>
      <c r="H722" s="88" t="s">
        <v>5966</v>
      </c>
      <c r="I722" s="90">
        <v>45998.70296296296</v>
      </c>
    </row>
    <row r="723" ht="14.25" customHeight="1">
      <c r="A723" s="87">
        <v>722.0</v>
      </c>
      <c r="B723" s="88" t="s">
        <v>2826</v>
      </c>
      <c r="C723" s="89">
        <v>1.033657615E9</v>
      </c>
      <c r="D723" s="89" t="str">
        <f t="shared" si="1"/>
        <v>김윤정7615</v>
      </c>
      <c r="E723" s="89" t="s">
        <v>6015</v>
      </c>
      <c r="F723" s="90">
        <v>45998.39362268519</v>
      </c>
      <c r="G723" s="88" t="s">
        <v>4805</v>
      </c>
      <c r="H723" s="88" t="s">
        <v>5815</v>
      </c>
      <c r="I723" s="90">
        <v>45998.7021875</v>
      </c>
    </row>
    <row r="724" ht="14.25" customHeight="1">
      <c r="A724" s="87">
        <v>723.0</v>
      </c>
      <c r="B724" s="88" t="s">
        <v>2744</v>
      </c>
      <c r="C724" s="89">
        <v>1.037925362E9</v>
      </c>
      <c r="D724" s="89" t="str">
        <f t="shared" si="1"/>
        <v>이혜경5362</v>
      </c>
      <c r="E724" s="89" t="s">
        <v>6016</v>
      </c>
      <c r="F724" s="90">
        <v>45998.393599537034</v>
      </c>
      <c r="G724" s="88" t="s">
        <v>4805</v>
      </c>
      <c r="H724" s="88" t="s">
        <v>5966</v>
      </c>
      <c r="I724" s="90">
        <v>45998.70197916667</v>
      </c>
    </row>
    <row r="725" ht="14.25" customHeight="1">
      <c r="A725" s="87">
        <v>724.0</v>
      </c>
      <c r="B725" s="88" t="s">
        <v>3796</v>
      </c>
      <c r="C725" s="89">
        <v>1.08487991E9</v>
      </c>
      <c r="D725" s="89" t="str">
        <f t="shared" si="1"/>
        <v>황문숙9910</v>
      </c>
      <c r="E725" s="89" t="s">
        <v>6017</v>
      </c>
      <c r="F725" s="90">
        <v>45998.39350694444</v>
      </c>
      <c r="G725" s="88" t="s">
        <v>4805</v>
      </c>
      <c r="H725" s="88" t="s">
        <v>6018</v>
      </c>
      <c r="I725" s="90">
        <v>45998.858252314814</v>
      </c>
    </row>
    <row r="726" ht="14.25" customHeight="1">
      <c r="A726" s="87">
        <v>725.0</v>
      </c>
      <c r="B726" s="88" t="s">
        <v>3397</v>
      </c>
      <c r="C726" s="89">
        <v>1.062780767E9</v>
      </c>
      <c r="D726" s="89" t="str">
        <f t="shared" si="1"/>
        <v>양주혜0767</v>
      </c>
      <c r="E726" s="89" t="s">
        <v>6019</v>
      </c>
      <c r="F726" s="90">
        <v>45998.39344907407</v>
      </c>
      <c r="G726" s="88" t="s">
        <v>4805</v>
      </c>
      <c r="H726" s="88" t="s">
        <v>5966</v>
      </c>
      <c r="I726" s="90">
        <v>45998.70178240741</v>
      </c>
    </row>
    <row r="727" ht="14.25" customHeight="1">
      <c r="A727" s="87">
        <v>726.0</v>
      </c>
      <c r="B727" s="88" t="s">
        <v>3845</v>
      </c>
      <c r="C727" s="89">
        <v>1.047699367E9</v>
      </c>
      <c r="D727" s="89" t="str">
        <f t="shared" si="1"/>
        <v>오금순9367</v>
      </c>
      <c r="E727" s="89" t="s">
        <v>6020</v>
      </c>
      <c r="F727" s="90">
        <v>45998.39341435185</v>
      </c>
      <c r="G727" s="88" t="s">
        <v>4805</v>
      </c>
      <c r="H727" s="88" t="s">
        <v>5982</v>
      </c>
      <c r="I727" s="90">
        <v>45998.701527777775</v>
      </c>
    </row>
    <row r="728" ht="14.25" customHeight="1">
      <c r="A728" s="87">
        <v>727.0</v>
      </c>
      <c r="B728" s="88" t="s">
        <v>2722</v>
      </c>
      <c r="C728" s="89">
        <v>1.035654798E9</v>
      </c>
      <c r="D728" s="89" t="str">
        <f t="shared" si="1"/>
        <v>김영식4798</v>
      </c>
      <c r="E728" s="89" t="s">
        <v>6021</v>
      </c>
      <c r="F728" s="90">
        <v>45998.39335648148</v>
      </c>
      <c r="G728" s="88" t="s">
        <v>4805</v>
      </c>
      <c r="H728" s="88" t="s">
        <v>4839</v>
      </c>
      <c r="I728" s="90">
        <v>45998.70128472222</v>
      </c>
    </row>
    <row r="729" ht="14.25" customHeight="1">
      <c r="A729" s="87">
        <v>728.0</v>
      </c>
      <c r="B729" s="94" t="s">
        <v>2741</v>
      </c>
      <c r="C729" s="89">
        <v>1.037100143E9</v>
      </c>
      <c r="D729" s="89" t="str">
        <f t="shared" si="1"/>
        <v>유미숙0143</v>
      </c>
      <c r="E729" s="89" t="s">
        <v>6022</v>
      </c>
      <c r="F729" s="90">
        <v>45998.39328703703</v>
      </c>
      <c r="G729" s="88" t="s">
        <v>4805</v>
      </c>
      <c r="H729" s="88" t="s">
        <v>5966</v>
      </c>
      <c r="I729" s="90">
        <v>45998.70107638889</v>
      </c>
    </row>
    <row r="730" ht="14.25" customHeight="1">
      <c r="A730" s="87">
        <v>729.0</v>
      </c>
      <c r="B730" s="88" t="s">
        <v>6023</v>
      </c>
      <c r="C730" s="89">
        <v>1.023753177E9</v>
      </c>
      <c r="D730" s="89" t="str">
        <f t="shared" si="1"/>
        <v>송서영3177</v>
      </c>
      <c r="E730" s="89" t="s">
        <v>6024</v>
      </c>
      <c r="F730" s="90">
        <v>45998.39328703703</v>
      </c>
      <c r="G730" s="88" t="s">
        <v>4805</v>
      </c>
      <c r="H730" s="88" t="s">
        <v>6025</v>
      </c>
      <c r="I730" s="90">
        <v>45998.798854166664</v>
      </c>
    </row>
    <row r="731" ht="14.25" customHeight="1">
      <c r="A731" s="87">
        <v>730.0</v>
      </c>
      <c r="B731" s="88" t="s">
        <v>6026</v>
      </c>
      <c r="C731" s="89">
        <v>1.033863496E9</v>
      </c>
      <c r="D731" s="89" t="str">
        <f t="shared" si="1"/>
        <v>심소연3496</v>
      </c>
      <c r="E731" s="89" t="s">
        <v>6027</v>
      </c>
      <c r="F731" s="90">
        <v>45998.39318287037</v>
      </c>
      <c r="G731" s="88" t="s">
        <v>4805</v>
      </c>
      <c r="H731" s="88" t="s">
        <v>6028</v>
      </c>
      <c r="I731" s="90">
        <v>45998.70091435185</v>
      </c>
    </row>
    <row r="732" ht="14.25" customHeight="1">
      <c r="A732" s="87">
        <v>731.0</v>
      </c>
      <c r="B732" s="88" t="s">
        <v>2439</v>
      </c>
      <c r="C732" s="89">
        <v>1.083846461E9</v>
      </c>
      <c r="D732" s="89" t="str">
        <f t="shared" si="1"/>
        <v>김지현6461</v>
      </c>
      <c r="E732" s="89" t="s">
        <v>6029</v>
      </c>
      <c r="F732" s="90">
        <v>45998.393159722225</v>
      </c>
      <c r="G732" s="88" t="s">
        <v>4805</v>
      </c>
      <c r="H732" s="88" t="s">
        <v>5966</v>
      </c>
      <c r="I732" s="90">
        <v>45998.700694444444</v>
      </c>
    </row>
    <row r="733" ht="14.25" customHeight="1">
      <c r="A733" s="87">
        <v>732.0</v>
      </c>
      <c r="B733" s="88" t="s">
        <v>6030</v>
      </c>
      <c r="C733" s="89">
        <v>1.062773263E9</v>
      </c>
      <c r="D733" s="89" t="str">
        <f t="shared" si="1"/>
        <v>조영진3263</v>
      </c>
      <c r="E733" s="89" t="s">
        <v>6031</v>
      </c>
      <c r="F733" s="90">
        <v>45998.393125</v>
      </c>
      <c r="G733" s="88" t="s">
        <v>4805</v>
      </c>
      <c r="H733" s="88" t="s">
        <v>5935</v>
      </c>
      <c r="I733" s="90">
        <v>45998.70046296297</v>
      </c>
    </row>
    <row r="734" ht="14.25" customHeight="1">
      <c r="A734" s="87">
        <v>733.0</v>
      </c>
      <c r="B734" s="88" t="s">
        <v>2511</v>
      </c>
      <c r="C734" s="89">
        <v>1.052325712E9</v>
      </c>
      <c r="D734" s="89" t="str">
        <f t="shared" si="1"/>
        <v>김나영5712</v>
      </c>
      <c r="E734" s="89" t="s">
        <v>6032</v>
      </c>
      <c r="F734" s="90">
        <v>45998.393113425926</v>
      </c>
      <c r="G734" s="88" t="s">
        <v>4805</v>
      </c>
      <c r="H734" s="88" t="s">
        <v>4839</v>
      </c>
      <c r="I734" s="90">
        <v>45998.700219907405</v>
      </c>
    </row>
    <row r="735" ht="14.25" customHeight="1">
      <c r="A735" s="87">
        <v>734.0</v>
      </c>
      <c r="B735" s="88" t="s">
        <v>3884</v>
      </c>
      <c r="C735" s="89">
        <v>1.094956109E9</v>
      </c>
      <c r="D735" s="89" t="str">
        <f t="shared" si="1"/>
        <v>김정화6109</v>
      </c>
      <c r="E735" s="89" t="s">
        <v>6033</v>
      </c>
      <c r="F735" s="90">
        <v>45998.39310185185</v>
      </c>
      <c r="G735" s="88" t="s">
        <v>4805</v>
      </c>
      <c r="H735" s="88" t="s">
        <v>5982</v>
      </c>
      <c r="I735" s="90">
        <v>45998.700011574074</v>
      </c>
    </row>
    <row r="736" ht="14.25" customHeight="1">
      <c r="A736" s="87">
        <v>735.0</v>
      </c>
      <c r="B736" s="88" t="s">
        <v>3429</v>
      </c>
      <c r="C736" s="89">
        <v>1.097842008E9</v>
      </c>
      <c r="D736" s="89" t="str">
        <f t="shared" si="1"/>
        <v>유남희2008</v>
      </c>
      <c r="E736" s="89" t="s">
        <v>6034</v>
      </c>
      <c r="F736" s="90">
        <v>45998.39309027778</v>
      </c>
      <c r="G736" s="88" t="s">
        <v>4805</v>
      </c>
      <c r="H736" s="88" t="s">
        <v>4991</v>
      </c>
      <c r="I736" s="90">
        <v>45998.69969907407</v>
      </c>
    </row>
    <row r="737" ht="14.25" customHeight="1">
      <c r="A737" s="87">
        <v>736.0</v>
      </c>
      <c r="B737" s="88" t="s">
        <v>2774</v>
      </c>
      <c r="C737" s="89">
        <v>1.071435508E9</v>
      </c>
      <c r="D737" s="89" t="str">
        <f t="shared" si="1"/>
        <v>김정임5508</v>
      </c>
      <c r="E737" s="89" t="s">
        <v>6035</v>
      </c>
      <c r="F737" s="90">
        <v>45998.39306712963</v>
      </c>
      <c r="G737" s="88" t="s">
        <v>4805</v>
      </c>
      <c r="H737" s="88" t="s">
        <v>5935</v>
      </c>
      <c r="I737" s="90">
        <v>45998.69944444444</v>
      </c>
    </row>
    <row r="738" ht="14.25" customHeight="1">
      <c r="A738" s="87">
        <v>737.0</v>
      </c>
      <c r="B738" s="88" t="s">
        <v>2832</v>
      </c>
      <c r="C738" s="89">
        <v>1.081383166E9</v>
      </c>
      <c r="D738" s="89" t="str">
        <f t="shared" si="1"/>
        <v>김춘희3166</v>
      </c>
      <c r="E738" s="89" t="s">
        <v>6036</v>
      </c>
      <c r="F738" s="90">
        <v>45998.39292824074</v>
      </c>
      <c r="G738" s="88" t="s">
        <v>4805</v>
      </c>
      <c r="H738" s="88" t="s">
        <v>5815</v>
      </c>
      <c r="I738" s="90">
        <v>45998.699166666665</v>
      </c>
    </row>
    <row r="739" ht="14.25" customHeight="1">
      <c r="A739" s="87">
        <v>738.0</v>
      </c>
      <c r="B739" s="88" t="s">
        <v>1955</v>
      </c>
      <c r="C739" s="89">
        <v>1.092469086E9</v>
      </c>
      <c r="D739" s="89" t="str">
        <f t="shared" si="1"/>
        <v>이영희9086</v>
      </c>
      <c r="E739" s="89" t="s">
        <v>6037</v>
      </c>
      <c r="F739" s="90">
        <v>45998.39283564815</v>
      </c>
      <c r="G739" s="88" t="s">
        <v>4805</v>
      </c>
      <c r="H739" s="88" t="s">
        <v>6038</v>
      </c>
      <c r="I739" s="90">
        <v>45998.69798611111</v>
      </c>
    </row>
    <row r="740" ht="14.25" customHeight="1">
      <c r="A740" s="87">
        <v>739.0</v>
      </c>
      <c r="B740" s="88" t="s">
        <v>2776</v>
      </c>
      <c r="C740" s="89">
        <v>1.037239863E9</v>
      </c>
      <c r="D740" s="89" t="str">
        <f t="shared" si="1"/>
        <v>서정숙9863</v>
      </c>
      <c r="E740" s="89" t="s">
        <v>6039</v>
      </c>
      <c r="F740" s="90">
        <v>45998.39282407407</v>
      </c>
      <c r="G740" s="88" t="s">
        <v>4805</v>
      </c>
      <c r="H740" s="88" t="s">
        <v>6040</v>
      </c>
      <c r="I740" s="90">
        <v>45998.69787037037</v>
      </c>
    </row>
    <row r="741" ht="14.25" customHeight="1">
      <c r="A741" s="87">
        <v>740.0</v>
      </c>
      <c r="B741" s="88" t="s">
        <v>1091</v>
      </c>
      <c r="C741" s="89">
        <v>1.084799993E9</v>
      </c>
      <c r="D741" s="89" t="str">
        <f t="shared" si="1"/>
        <v>박용준9993</v>
      </c>
      <c r="E741" s="89" t="s">
        <v>6041</v>
      </c>
      <c r="F741" s="90">
        <v>45998.392743055556</v>
      </c>
      <c r="G741" s="88" t="s">
        <v>4805</v>
      </c>
      <c r="H741" s="88" t="s">
        <v>6042</v>
      </c>
      <c r="I741" s="90">
        <v>45998.80447916667</v>
      </c>
    </row>
    <row r="742" ht="14.25" customHeight="1">
      <c r="A742" s="87">
        <v>741.0</v>
      </c>
      <c r="B742" s="88" t="s">
        <v>1889</v>
      </c>
      <c r="C742" s="89">
        <v>1.0791426E9</v>
      </c>
      <c r="D742" s="89" t="str">
        <f t="shared" si="1"/>
        <v>이은숙2600</v>
      </c>
      <c r="E742" s="89" t="s">
        <v>6043</v>
      </c>
      <c r="F742" s="90">
        <v>45998.39273148148</v>
      </c>
      <c r="G742" s="88" t="s">
        <v>4805</v>
      </c>
      <c r="H742" s="88" t="s">
        <v>6038</v>
      </c>
      <c r="I742" s="90">
        <v>45998.69739583333</v>
      </c>
    </row>
    <row r="743" ht="14.25" customHeight="1">
      <c r="A743" s="87">
        <v>742.0</v>
      </c>
      <c r="B743" s="88" t="s">
        <v>3650</v>
      </c>
      <c r="C743" s="89">
        <v>1.052464683E9</v>
      </c>
      <c r="D743" s="89" t="str">
        <f t="shared" si="1"/>
        <v>정화진4683</v>
      </c>
      <c r="E743" s="89" t="s">
        <v>6044</v>
      </c>
      <c r="F743" s="90">
        <v>45998.39271990741</v>
      </c>
      <c r="G743" s="88" t="s">
        <v>4805</v>
      </c>
      <c r="H743" s="88" t="s">
        <v>6038</v>
      </c>
      <c r="I743" s="90">
        <v>45998.697280092594</v>
      </c>
    </row>
    <row r="744" ht="14.25" customHeight="1">
      <c r="A744" s="87">
        <v>743.0</v>
      </c>
      <c r="B744" s="88" t="s">
        <v>2939</v>
      </c>
      <c r="C744" s="89">
        <v>1.091067413E9</v>
      </c>
      <c r="D744" s="89" t="str">
        <f t="shared" si="1"/>
        <v>홍유식7413</v>
      </c>
      <c r="E744" s="89" t="s">
        <v>6045</v>
      </c>
      <c r="F744" s="90">
        <v>45998.39271990741</v>
      </c>
      <c r="G744" s="88" t="s">
        <v>4805</v>
      </c>
      <c r="H744" s="88" t="s">
        <v>6038</v>
      </c>
      <c r="I744" s="90">
        <v>45998.69712962963</v>
      </c>
    </row>
    <row r="745" ht="14.25" customHeight="1">
      <c r="A745" s="87">
        <v>744.0</v>
      </c>
      <c r="B745" s="88" t="s">
        <v>6046</v>
      </c>
      <c r="C745" s="89">
        <v>1.094924801E9</v>
      </c>
      <c r="D745" s="89" t="str">
        <f t="shared" si="1"/>
        <v>이지순4801</v>
      </c>
      <c r="E745" s="89" t="s">
        <v>6047</v>
      </c>
      <c r="F745" s="90">
        <v>45998.39268518519</v>
      </c>
      <c r="G745" s="88" t="s">
        <v>4805</v>
      </c>
      <c r="H745" s="88" t="s">
        <v>6048</v>
      </c>
      <c r="I745" s="90">
        <v>45998.79657407408</v>
      </c>
    </row>
    <row r="746" ht="14.25" customHeight="1">
      <c r="A746" s="87">
        <v>745.0</v>
      </c>
      <c r="B746" s="88" t="s">
        <v>2325</v>
      </c>
      <c r="C746" s="89">
        <v>1.089289829E9</v>
      </c>
      <c r="D746" s="89" t="str">
        <f t="shared" si="1"/>
        <v>류미라9829</v>
      </c>
      <c r="E746" s="89" t="s">
        <v>6049</v>
      </c>
      <c r="F746" s="90">
        <v>45998.39265046296</v>
      </c>
      <c r="G746" s="88" t="s">
        <v>4805</v>
      </c>
      <c r="H746" s="88" t="s">
        <v>6050</v>
      </c>
      <c r="I746" s="90">
        <v>45998.796168981484</v>
      </c>
    </row>
    <row r="747" ht="14.25" customHeight="1">
      <c r="A747" s="87">
        <v>746.0</v>
      </c>
      <c r="B747" s="88" t="s">
        <v>1096</v>
      </c>
      <c r="C747" s="89">
        <v>1.09325536E9</v>
      </c>
      <c r="D747" s="89" t="str">
        <f t="shared" si="1"/>
        <v>남궁호5360</v>
      </c>
      <c r="E747" s="89" t="s">
        <v>6051</v>
      </c>
      <c r="F747" s="90">
        <v>45998.39262731482</v>
      </c>
      <c r="G747" s="88" t="s">
        <v>4805</v>
      </c>
      <c r="H747" s="88" t="s">
        <v>4839</v>
      </c>
      <c r="I747" s="90">
        <v>45998.696747685186</v>
      </c>
    </row>
    <row r="748" ht="14.25" customHeight="1">
      <c r="A748" s="87">
        <v>747.0</v>
      </c>
      <c r="B748" s="88" t="s">
        <v>3690</v>
      </c>
      <c r="C748" s="89">
        <v>1.038373132E9</v>
      </c>
      <c r="D748" s="89" t="str">
        <f t="shared" si="1"/>
        <v>주순복3132</v>
      </c>
      <c r="E748" s="89" t="s">
        <v>6052</v>
      </c>
      <c r="F748" s="90">
        <v>45998.39261574074</v>
      </c>
      <c r="G748" s="88" t="s">
        <v>4805</v>
      </c>
      <c r="H748" s="88" t="s">
        <v>6053</v>
      </c>
      <c r="I748" s="90">
        <v>45998.79553240741</v>
      </c>
    </row>
    <row r="749" ht="14.25" customHeight="1">
      <c r="A749" s="87">
        <v>748.0</v>
      </c>
      <c r="B749" s="88" t="s">
        <v>6054</v>
      </c>
      <c r="C749" s="89">
        <v>1.055494078E9</v>
      </c>
      <c r="D749" s="89" t="str">
        <f t="shared" si="1"/>
        <v>최성호4078</v>
      </c>
      <c r="E749" s="89" t="s">
        <v>6055</v>
      </c>
      <c r="F749" s="90">
        <v>45998.39258101852</v>
      </c>
      <c r="G749" s="88" t="s">
        <v>4805</v>
      </c>
      <c r="H749" s="88" t="s">
        <v>6056</v>
      </c>
      <c r="I749" s="90">
        <v>45998.79505787037</v>
      </c>
    </row>
    <row r="750" ht="14.25" customHeight="1">
      <c r="A750" s="87">
        <v>749.0</v>
      </c>
      <c r="B750" s="88" t="s">
        <v>3506</v>
      </c>
      <c r="C750" s="89">
        <v>1.04149488E9</v>
      </c>
      <c r="D750" s="89" t="str">
        <f t="shared" si="1"/>
        <v>이영옥4880</v>
      </c>
      <c r="E750" s="89" t="s">
        <v>6057</v>
      </c>
      <c r="F750" s="90">
        <v>45998.392534722225</v>
      </c>
      <c r="G750" s="88" t="s">
        <v>4805</v>
      </c>
      <c r="H750" s="88" t="s">
        <v>6058</v>
      </c>
      <c r="I750" s="90">
        <v>45998.69634259259</v>
      </c>
    </row>
    <row r="751" ht="14.25" customHeight="1">
      <c r="A751" s="87">
        <v>750.0</v>
      </c>
      <c r="B751" s="88" t="s">
        <v>2654</v>
      </c>
      <c r="C751" s="89">
        <v>1.063565032E9</v>
      </c>
      <c r="D751" s="89" t="str">
        <f t="shared" si="1"/>
        <v>오영삼5032</v>
      </c>
      <c r="E751" s="89" t="s">
        <v>6059</v>
      </c>
      <c r="F751" s="90">
        <v>45998.3924537037</v>
      </c>
      <c r="G751" s="88" t="s">
        <v>4805</v>
      </c>
      <c r="H751" s="88" t="s">
        <v>6060</v>
      </c>
      <c r="I751" s="90">
        <v>45998.696226851855</v>
      </c>
    </row>
    <row r="752" ht="14.25" customHeight="1">
      <c r="A752" s="87">
        <v>751.0</v>
      </c>
      <c r="B752" s="88" t="s">
        <v>1406</v>
      </c>
      <c r="C752" s="89">
        <v>1.054335394E9</v>
      </c>
      <c r="D752" s="89" t="str">
        <f t="shared" si="1"/>
        <v>김영희5394</v>
      </c>
      <c r="E752" s="89" t="s">
        <v>6061</v>
      </c>
      <c r="F752" s="90">
        <v>45998.39233796296</v>
      </c>
      <c r="G752" s="88" t="s">
        <v>4805</v>
      </c>
      <c r="H752" s="88" t="s">
        <v>6056</v>
      </c>
      <c r="I752" s="90">
        <v>45998.79472222222</v>
      </c>
    </row>
    <row r="753" ht="14.25" customHeight="1">
      <c r="A753" s="87">
        <v>752.0</v>
      </c>
      <c r="B753" s="88" t="s">
        <v>1191</v>
      </c>
      <c r="C753" s="89">
        <v>1.041451149E9</v>
      </c>
      <c r="D753" s="89" t="str">
        <f t="shared" si="1"/>
        <v>백영미1149</v>
      </c>
      <c r="E753" s="89" t="s">
        <v>6062</v>
      </c>
      <c r="F753" s="90">
        <v>45998.392280092594</v>
      </c>
      <c r="G753" s="88" t="s">
        <v>4805</v>
      </c>
      <c r="H753" s="88" t="s">
        <v>5815</v>
      </c>
      <c r="I753" s="90">
        <v>45998.69584490741</v>
      </c>
    </row>
    <row r="754" ht="14.25" customHeight="1">
      <c r="A754" s="87">
        <v>753.0</v>
      </c>
      <c r="B754" s="88" t="s">
        <v>2441</v>
      </c>
      <c r="C754" s="89">
        <v>1.084210615E9</v>
      </c>
      <c r="D754" s="89" t="str">
        <f t="shared" si="1"/>
        <v>김성윤0615</v>
      </c>
      <c r="E754" s="89" t="s">
        <v>6063</v>
      </c>
      <c r="F754" s="90">
        <v>45998.39224537037</v>
      </c>
      <c r="G754" s="88" t="s">
        <v>4805</v>
      </c>
      <c r="H754" s="88" t="s">
        <v>5966</v>
      </c>
      <c r="I754" s="90">
        <v>45998.695625</v>
      </c>
    </row>
    <row r="755" ht="14.25" customHeight="1">
      <c r="A755" s="87">
        <v>754.0</v>
      </c>
      <c r="B755" s="88" t="s">
        <v>2212</v>
      </c>
      <c r="C755" s="89">
        <v>1.083456432E9</v>
      </c>
      <c r="D755" s="89" t="str">
        <f t="shared" si="1"/>
        <v>박영숙6432</v>
      </c>
      <c r="E755" s="89" t="s">
        <v>6064</v>
      </c>
      <c r="F755" s="90">
        <v>45998.392222222225</v>
      </c>
      <c r="G755" s="88" t="s">
        <v>4805</v>
      </c>
      <c r="H755" s="88" t="s">
        <v>5966</v>
      </c>
      <c r="I755" s="90">
        <v>45998.69550925926</v>
      </c>
    </row>
    <row r="756" ht="14.25" customHeight="1">
      <c r="A756" s="87">
        <v>755.0</v>
      </c>
      <c r="B756" s="88" t="s">
        <v>2923</v>
      </c>
      <c r="C756" s="89">
        <v>1.077368663E9</v>
      </c>
      <c r="D756" s="89" t="str">
        <f t="shared" si="1"/>
        <v>추민지8663</v>
      </c>
      <c r="E756" s="89" t="s">
        <v>6065</v>
      </c>
      <c r="F756" s="90">
        <v>45998.3921875</v>
      </c>
      <c r="G756" s="88" t="s">
        <v>4805</v>
      </c>
      <c r="H756" s="88" t="s">
        <v>6042</v>
      </c>
      <c r="I756" s="90">
        <v>45998.80440972222</v>
      </c>
    </row>
    <row r="757" ht="14.25" customHeight="1">
      <c r="A757" s="87">
        <v>756.0</v>
      </c>
      <c r="B757" s="88" t="s">
        <v>3151</v>
      </c>
      <c r="C757" s="89">
        <v>1.057516577E9</v>
      </c>
      <c r="D757" s="89" t="str">
        <f t="shared" si="1"/>
        <v>김태영6577</v>
      </c>
      <c r="E757" s="89" t="s">
        <v>6066</v>
      </c>
      <c r="F757" s="90">
        <v>45998.39210648148</v>
      </c>
      <c r="G757" s="88" t="s">
        <v>4805</v>
      </c>
      <c r="H757" s="88" t="s">
        <v>5966</v>
      </c>
      <c r="I757" s="90">
        <v>45998.695393518516</v>
      </c>
    </row>
    <row r="758" ht="14.25" customHeight="1">
      <c r="A758" s="87">
        <v>757.0</v>
      </c>
      <c r="B758" s="88" t="s">
        <v>4531</v>
      </c>
      <c r="C758" s="89">
        <v>1.038884234E9</v>
      </c>
      <c r="D758" s="89" t="str">
        <f t="shared" si="1"/>
        <v>김경축4234</v>
      </c>
      <c r="E758" s="89" t="s">
        <v>6067</v>
      </c>
      <c r="F758" s="90">
        <v>45998.39207175926</v>
      </c>
      <c r="G758" s="88" t="s">
        <v>4805</v>
      </c>
      <c r="H758" s="88" t="s">
        <v>6068</v>
      </c>
      <c r="I758" s="90">
        <v>45998.792650462965</v>
      </c>
    </row>
    <row r="759" ht="14.25" customHeight="1">
      <c r="A759" s="87">
        <v>758.0</v>
      </c>
      <c r="B759" s="88" t="s">
        <v>4657</v>
      </c>
      <c r="C759" s="89">
        <v>1.063541363E9</v>
      </c>
      <c r="D759" s="89" t="str">
        <f t="shared" si="1"/>
        <v>박영순1363</v>
      </c>
      <c r="E759" s="89" t="s">
        <v>6069</v>
      </c>
      <c r="F759" s="90">
        <v>45998.39199074074</v>
      </c>
      <c r="G759" s="88" t="s">
        <v>4805</v>
      </c>
      <c r="H759" s="88" t="s">
        <v>6070</v>
      </c>
      <c r="I759" s="90">
        <v>45998.79195601852</v>
      </c>
    </row>
    <row r="760" ht="14.25" customHeight="1">
      <c r="A760" s="87">
        <v>759.0</v>
      </c>
      <c r="B760" s="88" t="s">
        <v>3099</v>
      </c>
      <c r="C760" s="89">
        <v>1.083534038E9</v>
      </c>
      <c r="D760" s="89" t="str">
        <f t="shared" si="1"/>
        <v>김양순4038</v>
      </c>
      <c r="E760" s="89" t="s">
        <v>6071</v>
      </c>
      <c r="F760" s="90">
        <v>45998.39184027778</v>
      </c>
      <c r="G760" s="88" t="s">
        <v>4805</v>
      </c>
      <c r="H760" s="88" t="s">
        <v>6072</v>
      </c>
      <c r="I760" s="90">
        <v>45998.79436342593</v>
      </c>
    </row>
    <row r="761" ht="14.25" customHeight="1">
      <c r="A761" s="87">
        <v>760.0</v>
      </c>
      <c r="B761" s="88" t="s">
        <v>1846</v>
      </c>
      <c r="C761" s="89">
        <v>1.057303104E9</v>
      </c>
      <c r="D761" s="89" t="str">
        <f t="shared" si="1"/>
        <v>유병용3104</v>
      </c>
      <c r="E761" s="89" t="s">
        <v>6073</v>
      </c>
      <c r="F761" s="90">
        <v>45998.391689814816</v>
      </c>
      <c r="G761" s="88" t="s">
        <v>4805</v>
      </c>
      <c r="H761" s="88" t="s">
        <v>6018</v>
      </c>
      <c r="I761" s="90">
        <v>45998.85763888889</v>
      </c>
    </row>
    <row r="762" ht="14.25" customHeight="1">
      <c r="A762" s="87">
        <v>761.0</v>
      </c>
      <c r="B762" s="88" t="s">
        <v>2800</v>
      </c>
      <c r="C762" s="89">
        <v>1.071049389E9</v>
      </c>
      <c r="D762" s="89" t="str">
        <f t="shared" si="1"/>
        <v>권영진9389</v>
      </c>
      <c r="E762" s="89" t="s">
        <v>6074</v>
      </c>
      <c r="F762" s="90">
        <v>45998.39160879629</v>
      </c>
      <c r="G762" s="88" t="s">
        <v>4805</v>
      </c>
      <c r="H762" s="88" t="s">
        <v>5921</v>
      </c>
      <c r="I762" s="90">
        <v>45998.69332175926</v>
      </c>
    </row>
    <row r="763" ht="14.25" customHeight="1">
      <c r="A763" s="87">
        <v>762.0</v>
      </c>
      <c r="B763" s="4" t="s">
        <v>981</v>
      </c>
      <c r="C763" s="89">
        <v>1.032397251E9</v>
      </c>
      <c r="D763" s="89" t="str">
        <f t="shared" si="1"/>
        <v>KIM DENNIS HO72517251</v>
      </c>
      <c r="E763" s="89" t="s">
        <v>6075</v>
      </c>
      <c r="F763" s="90">
        <v>45998.3915162037</v>
      </c>
      <c r="G763" s="88" t="s">
        <v>4805</v>
      </c>
      <c r="H763" s="88" t="s">
        <v>5329</v>
      </c>
      <c r="I763" s="90">
        <v>45998.85717592593</v>
      </c>
    </row>
    <row r="764" ht="14.25" customHeight="1">
      <c r="A764" s="87">
        <v>763.0</v>
      </c>
      <c r="B764" s="88" t="s">
        <v>2161</v>
      </c>
      <c r="C764" s="89">
        <v>1.066877393E9</v>
      </c>
      <c r="D764" s="89" t="str">
        <f t="shared" si="1"/>
        <v>함은순7393</v>
      </c>
      <c r="E764" s="89" t="s">
        <v>6076</v>
      </c>
      <c r="F764" s="90">
        <v>45998.3915162037</v>
      </c>
      <c r="G764" s="88" t="s">
        <v>4805</v>
      </c>
      <c r="H764" s="88" t="s">
        <v>6077</v>
      </c>
      <c r="I764" s="90">
        <v>45998.786145833335</v>
      </c>
    </row>
    <row r="765" ht="14.25" customHeight="1">
      <c r="A765" s="87">
        <v>764.0</v>
      </c>
      <c r="B765" s="88" t="s">
        <v>6078</v>
      </c>
      <c r="C765" s="89">
        <v>1.084662083E9</v>
      </c>
      <c r="D765" s="89" t="str">
        <f t="shared" si="1"/>
        <v>김은의2083</v>
      </c>
      <c r="E765" s="89" t="s">
        <v>6079</v>
      </c>
      <c r="F765" s="90">
        <v>45998.391493055555</v>
      </c>
      <c r="G765" s="88" t="s">
        <v>4805</v>
      </c>
      <c r="H765" s="88" t="s">
        <v>6048</v>
      </c>
      <c r="I765" s="90">
        <v>45998.78554398148</v>
      </c>
    </row>
    <row r="766" ht="14.25" customHeight="1">
      <c r="A766" s="87">
        <v>765.0</v>
      </c>
      <c r="B766" s="94" t="s">
        <v>742</v>
      </c>
      <c r="C766" s="89">
        <v>1.076233113E9</v>
      </c>
      <c r="D766" s="89" t="str">
        <f t="shared" si="1"/>
        <v>손정자31133113</v>
      </c>
      <c r="E766" s="89" t="s">
        <v>6080</v>
      </c>
      <c r="F766" s="90">
        <v>45998.391388888886</v>
      </c>
      <c r="G766" s="88" t="s">
        <v>4805</v>
      </c>
      <c r="H766" s="88" t="s">
        <v>6018</v>
      </c>
      <c r="I766" s="90">
        <v>45998.78532407407</v>
      </c>
    </row>
    <row r="767" ht="14.25" customHeight="1">
      <c r="A767" s="87">
        <v>766.0</v>
      </c>
      <c r="B767" s="88" t="s">
        <v>3007</v>
      </c>
      <c r="C767" s="89">
        <v>1.026097104E9</v>
      </c>
      <c r="D767" s="89" t="str">
        <f t="shared" si="1"/>
        <v>권혜주7104</v>
      </c>
      <c r="E767" s="89" t="s">
        <v>6081</v>
      </c>
      <c r="F767" s="90">
        <v>45998.391388888886</v>
      </c>
      <c r="G767" s="88" t="s">
        <v>4805</v>
      </c>
      <c r="H767" s="88" t="s">
        <v>6082</v>
      </c>
      <c r="I767" s="90">
        <v>45998.78491898148</v>
      </c>
    </row>
    <row r="768" ht="14.25" customHeight="1">
      <c r="A768" s="87">
        <v>767.0</v>
      </c>
      <c r="B768" s="88" t="s">
        <v>1235</v>
      </c>
      <c r="C768" s="89">
        <v>1.027323178E9</v>
      </c>
      <c r="D768" s="89" t="str">
        <f t="shared" si="1"/>
        <v>김경숙3178</v>
      </c>
      <c r="E768" s="89" t="s">
        <v>6083</v>
      </c>
      <c r="F768" s="90">
        <v>45998.39136574074</v>
      </c>
      <c r="G768" s="88" t="s">
        <v>4805</v>
      </c>
      <c r="H768" s="88" t="s">
        <v>4839</v>
      </c>
      <c r="I768" s="90">
        <v>45998.692337962966</v>
      </c>
    </row>
    <row r="769" ht="14.25" customHeight="1">
      <c r="A769" s="87">
        <v>768.0</v>
      </c>
      <c r="B769" s="88" t="s">
        <v>6084</v>
      </c>
      <c r="C769" s="89">
        <v>1.025959828E9</v>
      </c>
      <c r="D769" s="89" t="str">
        <f t="shared" si="1"/>
        <v>이서곁9828</v>
      </c>
      <c r="E769" s="89" t="s">
        <v>6085</v>
      </c>
      <c r="F769" s="90">
        <v>45998.39134259259</v>
      </c>
      <c r="G769" s="88" t="s">
        <v>4805</v>
      </c>
      <c r="H769" s="88" t="s">
        <v>5329</v>
      </c>
      <c r="I769" s="90">
        <v>45998.85711805556</v>
      </c>
    </row>
    <row r="770" ht="14.25" customHeight="1">
      <c r="A770" s="87">
        <v>769.0</v>
      </c>
      <c r="B770" s="88" t="s">
        <v>6086</v>
      </c>
      <c r="C770" s="89">
        <v>1.053211231E9</v>
      </c>
      <c r="D770" s="89" t="str">
        <f t="shared" si="1"/>
        <v>이현미1231</v>
      </c>
      <c r="E770" s="89" t="s">
        <v>6087</v>
      </c>
      <c r="F770" s="90">
        <v>45998.39131944445</v>
      </c>
      <c r="G770" s="88" t="s">
        <v>4805</v>
      </c>
      <c r="H770" s="88" t="s">
        <v>6088</v>
      </c>
      <c r="I770" s="90">
        <v>45998.69196759259</v>
      </c>
    </row>
    <row r="771" ht="14.25" customHeight="1">
      <c r="A771" s="87">
        <v>770.0</v>
      </c>
      <c r="B771" s="88" t="s">
        <v>3487</v>
      </c>
      <c r="C771" s="89">
        <v>1.050481511E9</v>
      </c>
      <c r="D771" s="89" t="str">
        <f t="shared" si="1"/>
        <v>이소영1511</v>
      </c>
      <c r="E771" s="89" t="s">
        <v>6089</v>
      </c>
      <c r="F771" s="90">
        <v>45998.39129629629</v>
      </c>
      <c r="G771" s="88" t="s">
        <v>4805</v>
      </c>
      <c r="H771" s="88" t="s">
        <v>6090</v>
      </c>
      <c r="I771" s="90">
        <v>45998.69170138889</v>
      </c>
    </row>
    <row r="772" ht="14.25" customHeight="1">
      <c r="A772" s="87">
        <v>771.0</v>
      </c>
      <c r="B772" s="88" t="s">
        <v>2115</v>
      </c>
      <c r="C772" s="89">
        <v>1.063210794E9</v>
      </c>
      <c r="D772" s="89" t="str">
        <f t="shared" si="1"/>
        <v>김하나0794</v>
      </c>
      <c r="E772" s="89" t="s">
        <v>6091</v>
      </c>
      <c r="F772" s="90">
        <v>45998.39126157408</v>
      </c>
      <c r="G772" s="88" t="s">
        <v>4805</v>
      </c>
      <c r="H772" s="88" t="s">
        <v>6092</v>
      </c>
      <c r="I772" s="90">
        <v>45998.78040509259</v>
      </c>
    </row>
    <row r="773" ht="14.25" customHeight="1">
      <c r="A773" s="87">
        <v>772.0</v>
      </c>
      <c r="B773" s="88" t="s">
        <v>3875</v>
      </c>
      <c r="C773" s="89">
        <v>1.037646373E9</v>
      </c>
      <c r="D773" s="89" t="str">
        <f t="shared" si="1"/>
        <v>박지영6373</v>
      </c>
      <c r="E773" s="89" t="s">
        <v>6093</v>
      </c>
      <c r="F773" s="90">
        <v>45998.391168981485</v>
      </c>
      <c r="G773" s="88" t="s">
        <v>4805</v>
      </c>
      <c r="H773" s="88" t="s">
        <v>6094</v>
      </c>
      <c r="I773" s="90">
        <v>45998.85811342593</v>
      </c>
    </row>
    <row r="774" ht="14.25" customHeight="1">
      <c r="A774" s="87">
        <v>773.0</v>
      </c>
      <c r="B774" s="88" t="s">
        <v>2889</v>
      </c>
      <c r="C774" s="89">
        <v>1.046647849E9</v>
      </c>
      <c r="D774" s="89" t="str">
        <f t="shared" si="1"/>
        <v>이윤희7849</v>
      </c>
      <c r="E774" s="89" t="s">
        <v>6095</v>
      </c>
      <c r="F774" s="90">
        <v>45998.391168981485</v>
      </c>
      <c r="G774" s="88" t="s">
        <v>4805</v>
      </c>
      <c r="H774" s="88" t="s">
        <v>5921</v>
      </c>
      <c r="I774" s="90">
        <v>45998.69070601852</v>
      </c>
    </row>
    <row r="775" ht="14.25" customHeight="1">
      <c r="A775" s="87">
        <v>774.0</v>
      </c>
      <c r="B775" s="88" t="s">
        <v>2630</v>
      </c>
      <c r="C775" s="89">
        <v>1.032871026E9</v>
      </c>
      <c r="D775" s="89" t="str">
        <f t="shared" si="1"/>
        <v>김경희1026</v>
      </c>
      <c r="E775" s="89" t="s">
        <v>6096</v>
      </c>
      <c r="F775" s="90">
        <v>45998.39114583333</v>
      </c>
      <c r="G775" s="88" t="s">
        <v>4805</v>
      </c>
      <c r="H775" s="88" t="s">
        <v>4839</v>
      </c>
      <c r="I775" s="90">
        <v>45998.69043981482</v>
      </c>
    </row>
    <row r="776" ht="14.25" customHeight="1">
      <c r="A776" s="87">
        <v>775.0</v>
      </c>
      <c r="B776" s="88" t="s">
        <v>1762</v>
      </c>
      <c r="C776" s="89">
        <v>1.097825354E9</v>
      </c>
      <c r="D776" s="89" t="str">
        <f t="shared" si="1"/>
        <v>신정아5354</v>
      </c>
      <c r="E776" s="89" t="s">
        <v>6097</v>
      </c>
      <c r="F776" s="90">
        <v>45998.39114583333</v>
      </c>
      <c r="G776" s="88" t="s">
        <v>4805</v>
      </c>
      <c r="H776" s="89" t="s">
        <v>6098</v>
      </c>
      <c r="I776" s="90">
        <v>45998.779270833336</v>
      </c>
    </row>
    <row r="777" ht="14.25" customHeight="1">
      <c r="A777" s="87">
        <v>776.0</v>
      </c>
      <c r="B777" s="88" t="s">
        <v>6099</v>
      </c>
      <c r="C777" s="89">
        <v>1.073683726E9</v>
      </c>
      <c r="D777" s="89" t="str">
        <f t="shared" si="1"/>
        <v>윤정란3726</v>
      </c>
      <c r="E777" s="89" t="s">
        <v>6100</v>
      </c>
      <c r="F777" s="90">
        <v>45998.39113425926</v>
      </c>
      <c r="G777" s="88" t="s">
        <v>4805</v>
      </c>
      <c r="H777" s="88" t="s">
        <v>6101</v>
      </c>
      <c r="I777" s="90">
        <v>45998.77857638889</v>
      </c>
    </row>
    <row r="778" ht="14.25" customHeight="1">
      <c r="A778" s="87">
        <v>777.0</v>
      </c>
      <c r="B778" s="88" t="s">
        <v>2247</v>
      </c>
      <c r="C778" s="89">
        <v>1.072759788E9</v>
      </c>
      <c r="D778" s="89" t="str">
        <f t="shared" si="1"/>
        <v>김미정9788</v>
      </c>
      <c r="E778" s="89" t="s">
        <v>6102</v>
      </c>
      <c r="F778" s="90">
        <v>45998.39111111111</v>
      </c>
      <c r="G778" s="88" t="s">
        <v>4805</v>
      </c>
      <c r="H778" s="88" t="s">
        <v>4991</v>
      </c>
      <c r="I778" s="90">
        <v>45998.68971064815</v>
      </c>
    </row>
    <row r="779" ht="14.25" customHeight="1">
      <c r="A779" s="87">
        <v>778.0</v>
      </c>
      <c r="B779" s="88" t="s">
        <v>1161</v>
      </c>
      <c r="C779" s="89">
        <v>1.064070161E9</v>
      </c>
      <c r="D779" s="89" t="str">
        <f t="shared" si="1"/>
        <v>이다현0161</v>
      </c>
      <c r="E779" s="89" t="s">
        <v>6103</v>
      </c>
      <c r="F779" s="90">
        <v>45998.39109953704</v>
      </c>
      <c r="G779" s="88" t="s">
        <v>4805</v>
      </c>
      <c r="H779" s="88" t="s">
        <v>5815</v>
      </c>
      <c r="I779" s="90">
        <v>45998.689409722225</v>
      </c>
    </row>
    <row r="780" ht="14.25" customHeight="1">
      <c r="A780" s="87">
        <v>779.0</v>
      </c>
      <c r="B780" s="88" t="s">
        <v>2484</v>
      </c>
      <c r="C780" s="89">
        <v>1.048308111E9</v>
      </c>
      <c r="D780" s="89" t="str">
        <f t="shared" si="1"/>
        <v>윤달미8111</v>
      </c>
      <c r="E780" s="89" t="s">
        <v>6104</v>
      </c>
      <c r="F780" s="90">
        <v>45998.39108796296</v>
      </c>
      <c r="G780" s="88" t="s">
        <v>4805</v>
      </c>
      <c r="H780" s="88" t="s">
        <v>5966</v>
      </c>
      <c r="I780" s="90">
        <v>45998.68913194445</v>
      </c>
    </row>
    <row r="781" ht="14.25" customHeight="1">
      <c r="A781" s="87">
        <v>780.0</v>
      </c>
      <c r="B781" s="88" t="s">
        <v>2654</v>
      </c>
      <c r="C781" s="89">
        <v>1.063565032E9</v>
      </c>
      <c r="D781" s="89" t="str">
        <f t="shared" si="1"/>
        <v>오영삼5032</v>
      </c>
      <c r="E781" s="89" t="s">
        <v>6105</v>
      </c>
      <c r="F781" s="90">
        <v>45998.39099537037</v>
      </c>
      <c r="G781" s="88" t="s">
        <v>4805</v>
      </c>
      <c r="H781" s="88" t="s">
        <v>5966</v>
      </c>
      <c r="I781" s="90">
        <v>45998.6890162037</v>
      </c>
    </row>
    <row r="782" ht="14.25" customHeight="1">
      <c r="A782" s="87">
        <v>781.0</v>
      </c>
      <c r="B782" s="88" t="s">
        <v>3717</v>
      </c>
      <c r="C782" s="89">
        <v>1.045297941E9</v>
      </c>
      <c r="D782" s="89" t="str">
        <f t="shared" si="1"/>
        <v>최영옥7941</v>
      </c>
      <c r="E782" s="89" t="s">
        <v>6106</v>
      </c>
      <c r="F782" s="90">
        <v>45998.39098379629</v>
      </c>
      <c r="G782" s="88" t="s">
        <v>4805</v>
      </c>
      <c r="H782" s="88" t="s">
        <v>6107</v>
      </c>
      <c r="I782" s="90">
        <v>45998.77659722222</v>
      </c>
    </row>
    <row r="783" ht="14.25" customHeight="1">
      <c r="A783" s="87">
        <v>782.0</v>
      </c>
      <c r="B783" s="88" t="s">
        <v>1406</v>
      </c>
      <c r="C783" s="89">
        <v>1.089891067E9</v>
      </c>
      <c r="D783" s="89" t="str">
        <f t="shared" si="1"/>
        <v>김영희1067</v>
      </c>
      <c r="E783" s="89" t="s">
        <v>6108</v>
      </c>
      <c r="F783" s="90">
        <v>45998.39082175926</v>
      </c>
      <c r="G783" s="88" t="s">
        <v>4805</v>
      </c>
      <c r="H783" s="88" t="s">
        <v>6109</v>
      </c>
      <c r="I783" s="90">
        <v>45998.68881944445</v>
      </c>
    </row>
    <row r="784" ht="14.25" customHeight="1">
      <c r="A784" s="87">
        <v>783.0</v>
      </c>
      <c r="B784" s="88" t="s">
        <v>3114</v>
      </c>
      <c r="C784" s="89">
        <v>1.073367029E9</v>
      </c>
      <c r="D784" s="89" t="str">
        <f t="shared" si="1"/>
        <v>김옥순7029</v>
      </c>
      <c r="E784" s="89" t="s">
        <v>6110</v>
      </c>
      <c r="F784" s="90">
        <v>45998.39072916667</v>
      </c>
      <c r="G784" s="88" t="s">
        <v>4805</v>
      </c>
      <c r="H784" s="88" t="s">
        <v>5856</v>
      </c>
      <c r="I784" s="90">
        <v>45998.6887037037</v>
      </c>
    </row>
    <row r="785" ht="14.25" customHeight="1">
      <c r="A785" s="87">
        <v>784.0</v>
      </c>
      <c r="B785" s="88" t="s">
        <v>2856</v>
      </c>
      <c r="C785" s="89">
        <v>1.071665213E9</v>
      </c>
      <c r="D785" s="89" t="str">
        <f t="shared" si="1"/>
        <v>서희완5213</v>
      </c>
      <c r="E785" s="89" t="s">
        <v>6111</v>
      </c>
      <c r="F785" s="90">
        <v>45998.39072916667</v>
      </c>
      <c r="G785" s="88" t="s">
        <v>4805</v>
      </c>
      <c r="H785" s="88" t="s">
        <v>5966</v>
      </c>
      <c r="I785" s="90">
        <v>45998.68855324074</v>
      </c>
    </row>
    <row r="786" ht="14.25" customHeight="1">
      <c r="A786" s="87">
        <v>785.0</v>
      </c>
      <c r="B786" s="88" t="s">
        <v>3289</v>
      </c>
      <c r="C786" s="89">
        <v>1.040928936E9</v>
      </c>
      <c r="D786" s="89" t="str">
        <f t="shared" si="1"/>
        <v>박현정8936</v>
      </c>
      <c r="E786" s="89" t="s">
        <v>6112</v>
      </c>
      <c r="F786" s="90">
        <v>45998.39047453704</v>
      </c>
      <c r="G786" s="88" t="s">
        <v>4805</v>
      </c>
      <c r="H786" s="88" t="s">
        <v>5966</v>
      </c>
      <c r="I786" s="90">
        <v>45998.68835648148</v>
      </c>
    </row>
    <row r="787" ht="14.25" customHeight="1">
      <c r="A787" s="87">
        <v>786.0</v>
      </c>
      <c r="B787" s="88" t="s">
        <v>2682</v>
      </c>
      <c r="C787" s="89">
        <v>1.085352363E9</v>
      </c>
      <c r="D787" s="89" t="str">
        <f t="shared" si="1"/>
        <v>박상엽2363</v>
      </c>
      <c r="E787" s="89" t="s">
        <v>6113</v>
      </c>
      <c r="F787" s="90">
        <v>45998.39047453704</v>
      </c>
      <c r="G787" s="88" t="s">
        <v>4805</v>
      </c>
      <c r="H787" s="88" t="s">
        <v>6114</v>
      </c>
      <c r="I787" s="90">
        <v>45998.77537037037</v>
      </c>
    </row>
    <row r="788" ht="14.25" customHeight="1">
      <c r="A788" s="87">
        <v>787.0</v>
      </c>
      <c r="B788" s="88" t="s">
        <v>1558</v>
      </c>
      <c r="C788" s="89">
        <v>1.040845967E9</v>
      </c>
      <c r="D788" s="89" t="str">
        <f t="shared" si="1"/>
        <v>장승희5967</v>
      </c>
      <c r="E788" s="89" t="s">
        <v>6115</v>
      </c>
      <c r="F788" s="90">
        <v>45998.390439814815</v>
      </c>
      <c r="G788" s="88" t="s">
        <v>4805</v>
      </c>
      <c r="H788" s="88" t="s">
        <v>6116</v>
      </c>
      <c r="I788" s="90">
        <v>45998.773993055554</v>
      </c>
    </row>
    <row r="789" ht="14.25" customHeight="1">
      <c r="A789" s="87">
        <v>788.0</v>
      </c>
      <c r="B789" s="88" t="s">
        <v>1748</v>
      </c>
      <c r="C789" s="89">
        <v>1.062993949E9</v>
      </c>
      <c r="D789" s="89" t="str">
        <f t="shared" si="1"/>
        <v>배미숙3949</v>
      </c>
      <c r="E789" s="89" t="s">
        <v>6117</v>
      </c>
      <c r="F789" s="90">
        <v>45998.39032407408</v>
      </c>
      <c r="G789" s="88" t="s">
        <v>4805</v>
      </c>
      <c r="H789" s="88" t="s">
        <v>5856</v>
      </c>
      <c r="I789" s="90">
        <v>45998.68796296296</v>
      </c>
    </row>
    <row r="790" ht="14.25" customHeight="1">
      <c r="A790" s="87">
        <v>789.0</v>
      </c>
      <c r="B790" s="88" t="s">
        <v>3528</v>
      </c>
      <c r="C790" s="89">
        <v>1.025998751E9</v>
      </c>
      <c r="D790" s="89" t="str">
        <f t="shared" si="1"/>
        <v>이재학8751</v>
      </c>
      <c r="E790" s="89" t="s">
        <v>6118</v>
      </c>
      <c r="F790" s="90">
        <v>45998.39030092592</v>
      </c>
      <c r="G790" s="88" t="s">
        <v>4805</v>
      </c>
      <c r="H790" s="88" t="s">
        <v>5856</v>
      </c>
      <c r="I790" s="90">
        <v>45998.68785879629</v>
      </c>
    </row>
    <row r="791" ht="14.25" customHeight="1">
      <c r="A791" s="87">
        <v>790.0</v>
      </c>
      <c r="B791" s="88" t="s">
        <v>3706</v>
      </c>
      <c r="C791" s="89">
        <v>1.033955193E9</v>
      </c>
      <c r="D791" s="89" t="str">
        <f t="shared" si="1"/>
        <v>최병숙5193</v>
      </c>
      <c r="E791" s="89" t="s">
        <v>6119</v>
      </c>
      <c r="F791" s="90">
        <v>45998.39028935185</v>
      </c>
      <c r="G791" s="88" t="s">
        <v>4805</v>
      </c>
      <c r="H791" s="88" t="s">
        <v>5966</v>
      </c>
      <c r="I791" s="90">
        <v>45998.687685185185</v>
      </c>
    </row>
    <row r="792" ht="14.25" customHeight="1">
      <c r="A792" s="87">
        <v>791.0</v>
      </c>
      <c r="B792" s="88" t="s">
        <v>2885</v>
      </c>
      <c r="C792" s="89">
        <v>1.063726608E9</v>
      </c>
      <c r="D792" s="89" t="str">
        <f t="shared" si="1"/>
        <v>이다희6608</v>
      </c>
      <c r="E792" s="89" t="s">
        <v>6120</v>
      </c>
      <c r="F792" s="90">
        <v>45998.39027777778</v>
      </c>
      <c r="G792" s="88" t="s">
        <v>4805</v>
      </c>
      <c r="H792" s="88" t="s">
        <v>5921</v>
      </c>
      <c r="I792" s="90">
        <v>45998.68736111111</v>
      </c>
    </row>
    <row r="793" ht="14.25" customHeight="1">
      <c r="A793" s="87">
        <v>792.0</v>
      </c>
      <c r="B793" s="88" t="s">
        <v>4419</v>
      </c>
      <c r="C793" s="89">
        <v>1.030163036E9</v>
      </c>
      <c r="D793" s="89" t="str">
        <f t="shared" si="1"/>
        <v>채요한3036</v>
      </c>
      <c r="E793" s="89" t="s">
        <v>6121</v>
      </c>
      <c r="F793" s="90">
        <v>45998.39024305555</v>
      </c>
      <c r="G793" s="88" t="s">
        <v>4805</v>
      </c>
      <c r="H793" s="88" t="s">
        <v>5329</v>
      </c>
      <c r="I793" s="90">
        <v>45998.841770833336</v>
      </c>
    </row>
    <row r="794" ht="14.25" customHeight="1">
      <c r="A794" s="87">
        <v>793.0</v>
      </c>
      <c r="B794" s="88" t="s">
        <v>6122</v>
      </c>
      <c r="C794" s="89">
        <v>1.028718776E9</v>
      </c>
      <c r="D794" s="89" t="str">
        <f t="shared" si="1"/>
        <v>정경옥8776</v>
      </c>
      <c r="E794" s="89" t="s">
        <v>6123</v>
      </c>
      <c r="F794" s="90">
        <v>45998.390231481484</v>
      </c>
      <c r="G794" s="88" t="s">
        <v>4805</v>
      </c>
      <c r="H794" s="88" t="s">
        <v>6124</v>
      </c>
      <c r="I794" s="90">
        <v>45998.68693287037</v>
      </c>
    </row>
    <row r="795" ht="14.25" customHeight="1">
      <c r="A795" s="87">
        <v>794.0</v>
      </c>
      <c r="B795" s="88" t="s">
        <v>2303</v>
      </c>
      <c r="C795" s="89">
        <v>1.09209678E9</v>
      </c>
      <c r="D795" s="89" t="str">
        <f t="shared" si="1"/>
        <v>이선화6780</v>
      </c>
      <c r="E795" s="89" t="s">
        <v>6125</v>
      </c>
      <c r="F795" s="90">
        <v>45998.390231481484</v>
      </c>
      <c r="G795" s="88" t="s">
        <v>4805</v>
      </c>
      <c r="H795" s="88" t="s">
        <v>6126</v>
      </c>
      <c r="I795" s="90">
        <v>45998.68648148148</v>
      </c>
    </row>
    <row r="796" ht="14.25" customHeight="1">
      <c r="A796" s="87">
        <v>795.0</v>
      </c>
      <c r="B796" s="88" t="s">
        <v>1377</v>
      </c>
      <c r="C796" s="89">
        <v>1.088756324E9</v>
      </c>
      <c r="D796" s="89" t="str">
        <f t="shared" si="1"/>
        <v>윤혜준6324</v>
      </c>
      <c r="E796" s="89" t="s">
        <v>6127</v>
      </c>
      <c r="F796" s="90">
        <v>45998.39021990741</v>
      </c>
      <c r="G796" s="88" t="s">
        <v>4805</v>
      </c>
      <c r="H796" s="88" t="s">
        <v>5966</v>
      </c>
      <c r="I796" s="90">
        <v>45998.806493055556</v>
      </c>
    </row>
    <row r="797" ht="14.25" customHeight="1">
      <c r="A797" s="87">
        <v>796.0</v>
      </c>
      <c r="B797" s="88" t="s">
        <v>1133</v>
      </c>
      <c r="C797" s="89">
        <v>1.054843645E9</v>
      </c>
      <c r="D797" s="89" t="str">
        <f t="shared" si="1"/>
        <v>이기훈3645</v>
      </c>
      <c r="E797" s="89" t="s">
        <v>6128</v>
      </c>
      <c r="F797" s="90">
        <v>45998.390185185184</v>
      </c>
      <c r="G797" s="88" t="s">
        <v>4805</v>
      </c>
      <c r="H797" s="88" t="s">
        <v>5815</v>
      </c>
      <c r="I797" s="90">
        <v>45998.686273148145</v>
      </c>
    </row>
    <row r="798" ht="14.25" customHeight="1">
      <c r="A798" s="87">
        <v>797.0</v>
      </c>
      <c r="B798" s="88" t="s">
        <v>1368</v>
      </c>
      <c r="C798" s="89">
        <v>1.088603799E9</v>
      </c>
      <c r="D798" s="89" t="str">
        <f t="shared" si="1"/>
        <v>김정숙3799</v>
      </c>
      <c r="E798" s="89" t="s">
        <v>6129</v>
      </c>
      <c r="F798" s="90">
        <v>45998.390173611115</v>
      </c>
      <c r="G798" s="88" t="s">
        <v>4805</v>
      </c>
      <c r="H798" s="88" t="s">
        <v>6130</v>
      </c>
      <c r="I798" s="90">
        <v>45998.68604166667</v>
      </c>
    </row>
    <row r="799" ht="14.25" customHeight="1">
      <c r="A799" s="87">
        <v>798.0</v>
      </c>
      <c r="B799" s="88" t="s">
        <v>2632</v>
      </c>
      <c r="C799" s="89">
        <v>1.035676026E9</v>
      </c>
      <c r="D799" s="89" t="str">
        <f t="shared" si="1"/>
        <v>박미자6026</v>
      </c>
      <c r="E799" s="89" t="s">
        <v>6131</v>
      </c>
      <c r="F799" s="90">
        <v>45998.39016203704</v>
      </c>
      <c r="G799" s="88" t="s">
        <v>4805</v>
      </c>
      <c r="H799" s="88" t="s">
        <v>6132</v>
      </c>
      <c r="I799" s="90">
        <v>45998.771631944444</v>
      </c>
    </row>
    <row r="800" ht="14.25" customHeight="1">
      <c r="A800" s="87">
        <v>799.0</v>
      </c>
      <c r="B800" s="88" t="s">
        <v>1432</v>
      </c>
      <c r="C800" s="89">
        <v>1.085070427E9</v>
      </c>
      <c r="D800" s="89" t="str">
        <f t="shared" si="1"/>
        <v>최영숙0427</v>
      </c>
      <c r="E800" s="89" t="s">
        <v>6133</v>
      </c>
      <c r="F800" s="90">
        <v>45998.39009259259</v>
      </c>
      <c r="G800" s="88" t="s">
        <v>4805</v>
      </c>
      <c r="H800" s="88" t="s">
        <v>5980</v>
      </c>
      <c r="I800" s="90">
        <v>45998.84130787037</v>
      </c>
    </row>
    <row r="801" ht="14.25" customHeight="1">
      <c r="A801" s="87">
        <v>800.0</v>
      </c>
      <c r="B801" s="88" t="s">
        <v>3750</v>
      </c>
      <c r="C801" s="89">
        <v>1.049937196E9</v>
      </c>
      <c r="D801" s="89" t="str">
        <f t="shared" si="1"/>
        <v>한미희7196</v>
      </c>
      <c r="E801" s="89" t="s">
        <v>6134</v>
      </c>
      <c r="F801" s="90">
        <v>45998.38997685185</v>
      </c>
      <c r="G801" s="88" t="s">
        <v>4805</v>
      </c>
      <c r="H801" s="88" t="s">
        <v>5966</v>
      </c>
      <c r="I801" s="90">
        <v>45998.685428240744</v>
      </c>
    </row>
    <row r="802" ht="14.25" customHeight="1">
      <c r="A802" s="87">
        <v>801.0</v>
      </c>
      <c r="B802" s="88" t="s">
        <v>2956</v>
      </c>
      <c r="C802" s="89">
        <v>1.035262765E9</v>
      </c>
      <c r="D802" s="89" t="str">
        <f t="shared" si="1"/>
        <v>최인숙2765</v>
      </c>
      <c r="E802" s="89" t="s">
        <v>6135</v>
      </c>
      <c r="F802" s="90">
        <v>45998.38990740741</v>
      </c>
      <c r="G802" s="88" t="s">
        <v>4805</v>
      </c>
      <c r="H802" s="88" t="s">
        <v>6136</v>
      </c>
      <c r="I802" s="90">
        <v>45998.77061342593</v>
      </c>
    </row>
    <row r="803" ht="14.25" customHeight="1">
      <c r="A803" s="87">
        <v>802.0</v>
      </c>
      <c r="B803" s="88" t="s">
        <v>3459</v>
      </c>
      <c r="C803" s="89">
        <v>1.05285513E9</v>
      </c>
      <c r="D803" s="89" t="str">
        <f t="shared" si="1"/>
        <v>이금호5130</v>
      </c>
      <c r="E803" s="89" t="s">
        <v>6137</v>
      </c>
      <c r="F803" s="90">
        <v>45998.38989583333</v>
      </c>
      <c r="G803" s="88" t="s">
        <v>4805</v>
      </c>
      <c r="H803" s="88" t="s">
        <v>6138</v>
      </c>
      <c r="I803" s="90">
        <v>45998.770324074074</v>
      </c>
    </row>
    <row r="804" ht="14.25" customHeight="1">
      <c r="A804" s="87">
        <v>803.0</v>
      </c>
      <c r="B804" s="88" t="s">
        <v>6139</v>
      </c>
      <c r="C804" s="89">
        <v>1.054986235E9</v>
      </c>
      <c r="D804" s="89" t="str">
        <f t="shared" si="1"/>
        <v>여옥희6235</v>
      </c>
      <c r="E804" s="89" t="s">
        <v>6140</v>
      </c>
      <c r="F804" s="90">
        <v>45998.389861111114</v>
      </c>
      <c r="G804" s="88" t="s">
        <v>4805</v>
      </c>
      <c r="H804" s="88" t="s">
        <v>6141</v>
      </c>
      <c r="I804" s="90">
        <v>45998.75855324074</v>
      </c>
    </row>
    <row r="805" ht="14.25" customHeight="1">
      <c r="A805" s="87">
        <v>804.0</v>
      </c>
      <c r="B805" s="94" t="s">
        <v>2883</v>
      </c>
      <c r="C805" s="89">
        <v>1.043099831E9</v>
      </c>
      <c r="D805" s="89" t="str">
        <f t="shared" si="1"/>
        <v>윤영이9831</v>
      </c>
      <c r="E805" s="89" t="s">
        <v>6142</v>
      </c>
      <c r="F805" s="90">
        <v>45998.389814814815</v>
      </c>
      <c r="G805" s="88" t="s">
        <v>4805</v>
      </c>
      <c r="H805" s="88" t="s">
        <v>6143</v>
      </c>
      <c r="I805" s="90">
        <v>45998.7580787037</v>
      </c>
    </row>
    <row r="806" ht="14.25" customHeight="1">
      <c r="A806" s="87">
        <v>805.0</v>
      </c>
      <c r="B806" s="88" t="s">
        <v>2933</v>
      </c>
      <c r="C806" s="89">
        <v>1.092866206E9</v>
      </c>
      <c r="D806" s="89" t="str">
        <f t="shared" si="1"/>
        <v>한혜정6206</v>
      </c>
      <c r="E806" s="89" t="s">
        <v>6144</v>
      </c>
      <c r="F806" s="90">
        <v>45998.38978009259</v>
      </c>
      <c r="G806" s="88" t="s">
        <v>4805</v>
      </c>
      <c r="H806" s="88" t="s">
        <v>5966</v>
      </c>
      <c r="I806" s="90">
        <v>45998.68457175926</v>
      </c>
    </row>
    <row r="807" ht="14.25" customHeight="1">
      <c r="A807" s="87">
        <v>806.0</v>
      </c>
      <c r="B807" s="88" t="s">
        <v>1667</v>
      </c>
      <c r="C807" s="89">
        <v>1.097224686E9</v>
      </c>
      <c r="D807" s="89" t="str">
        <f t="shared" si="1"/>
        <v>정숙4686</v>
      </c>
      <c r="E807" s="89" t="s">
        <v>6145</v>
      </c>
      <c r="F807" s="90">
        <v>45998.38972222222</v>
      </c>
      <c r="G807" s="88" t="s">
        <v>4805</v>
      </c>
      <c r="H807" s="88" t="s">
        <v>6018</v>
      </c>
      <c r="I807" s="90">
        <v>45998.75746527778</v>
      </c>
    </row>
    <row r="808" ht="14.25" customHeight="1">
      <c r="A808" s="87">
        <v>807.0</v>
      </c>
      <c r="B808" s="88" t="s">
        <v>1521</v>
      </c>
      <c r="C808" s="89">
        <v>1.05222116E9</v>
      </c>
      <c r="D808" s="89" t="str">
        <f t="shared" si="1"/>
        <v>조정희1160</v>
      </c>
      <c r="E808" s="89" t="s">
        <v>6146</v>
      </c>
      <c r="F808" s="90">
        <v>45998.38958333333</v>
      </c>
      <c r="G808" s="88" t="s">
        <v>4805</v>
      </c>
      <c r="H808" s="88" t="s">
        <v>5966</v>
      </c>
      <c r="I808" s="90">
        <v>45998.684328703705</v>
      </c>
    </row>
    <row r="809" ht="14.25" customHeight="1">
      <c r="A809" s="87">
        <v>808.0</v>
      </c>
      <c r="B809" s="94" t="s">
        <v>1986</v>
      </c>
      <c r="C809" s="89">
        <v>1.06207653E9</v>
      </c>
      <c r="D809" s="89" t="str">
        <f t="shared" si="1"/>
        <v>이춘희6530</v>
      </c>
      <c r="E809" s="89" t="s">
        <v>6147</v>
      </c>
      <c r="F809" s="90">
        <v>45998.38957175926</v>
      </c>
      <c r="G809" s="88" t="s">
        <v>4805</v>
      </c>
      <c r="H809" s="88" t="s">
        <v>6148</v>
      </c>
      <c r="I809" s="90">
        <v>45998.757268518515</v>
      </c>
    </row>
    <row r="810" ht="14.25" customHeight="1">
      <c r="A810" s="87">
        <v>809.0</v>
      </c>
      <c r="B810" s="88" t="s">
        <v>2445</v>
      </c>
      <c r="C810" s="89">
        <v>1.091947899E9</v>
      </c>
      <c r="D810" s="89" t="str">
        <f t="shared" si="1"/>
        <v>양정아7899</v>
      </c>
      <c r="E810" s="89" t="s">
        <v>6149</v>
      </c>
      <c r="F810" s="90">
        <v>45998.38953703704</v>
      </c>
      <c r="G810" s="88" t="s">
        <v>4805</v>
      </c>
      <c r="H810" s="88" t="s">
        <v>5800</v>
      </c>
      <c r="I810" s="90">
        <v>45998.683645833335</v>
      </c>
    </row>
    <row r="811" ht="14.25" customHeight="1">
      <c r="A811" s="87">
        <v>810.0</v>
      </c>
      <c r="B811" s="88" t="s">
        <v>3867</v>
      </c>
      <c r="C811" s="89">
        <v>1.035660306E9</v>
      </c>
      <c r="D811" s="89" t="str">
        <f t="shared" si="1"/>
        <v>김인혜0306</v>
      </c>
      <c r="E811" s="89" t="s">
        <v>6150</v>
      </c>
      <c r="F811" s="90">
        <v>45998.389502314814</v>
      </c>
      <c r="G811" s="88" t="s">
        <v>4805</v>
      </c>
      <c r="H811" s="88" t="s">
        <v>5982</v>
      </c>
      <c r="I811" s="90">
        <v>45998.68344907407</v>
      </c>
    </row>
    <row r="812" ht="14.25" customHeight="1">
      <c r="A812" s="87">
        <v>811.0</v>
      </c>
      <c r="B812" s="88" t="s">
        <v>1241</v>
      </c>
      <c r="C812" s="89">
        <v>1.027584024E9</v>
      </c>
      <c r="D812" s="89" t="str">
        <f t="shared" si="1"/>
        <v>최영미4024</v>
      </c>
      <c r="E812" s="89" t="s">
        <v>6151</v>
      </c>
      <c r="F812" s="90">
        <v>45998.38943287037</v>
      </c>
      <c r="G812" s="88" t="s">
        <v>4805</v>
      </c>
      <c r="H812" s="88" t="s">
        <v>5815</v>
      </c>
      <c r="I812" s="90">
        <v>45998.68318287037</v>
      </c>
    </row>
    <row r="813" ht="14.25" customHeight="1">
      <c r="A813" s="87">
        <v>812.0</v>
      </c>
      <c r="B813" s="88" t="s">
        <v>2095</v>
      </c>
      <c r="C813" s="89">
        <v>1.063543234E9</v>
      </c>
      <c r="D813" s="89" t="str">
        <f t="shared" si="1"/>
        <v>배연옥3234</v>
      </c>
      <c r="E813" s="89" t="s">
        <v>6152</v>
      </c>
      <c r="F813" s="90">
        <v>45998.38940972222</v>
      </c>
      <c r="G813" s="88" t="s">
        <v>4805</v>
      </c>
      <c r="H813" s="88" t="s">
        <v>5966</v>
      </c>
      <c r="I813" s="90">
        <v>45998.68293981482</v>
      </c>
    </row>
    <row r="814" ht="14.25" customHeight="1">
      <c r="A814" s="87">
        <v>813.0</v>
      </c>
      <c r="B814" s="88" t="s">
        <v>3276</v>
      </c>
      <c r="C814" s="89">
        <v>1.049486603E9</v>
      </c>
      <c r="D814" s="89" t="str">
        <f t="shared" si="1"/>
        <v>박정민6603</v>
      </c>
      <c r="E814" s="89" t="s">
        <v>6153</v>
      </c>
      <c r="F814" s="90">
        <v>45998.38940972222</v>
      </c>
      <c r="G814" s="88" t="s">
        <v>4805</v>
      </c>
      <c r="H814" s="88" t="s">
        <v>6154</v>
      </c>
      <c r="I814" s="90">
        <v>45998.682754629626</v>
      </c>
    </row>
    <row r="815" ht="14.25" customHeight="1">
      <c r="A815" s="87">
        <v>814.0</v>
      </c>
      <c r="B815" s="88" t="s">
        <v>1120</v>
      </c>
      <c r="C815" s="89">
        <v>1.053645692E9</v>
      </c>
      <c r="D815" s="89" t="str">
        <f t="shared" si="1"/>
        <v>최은환5692</v>
      </c>
      <c r="E815" s="89" t="s">
        <v>6155</v>
      </c>
      <c r="F815" s="90">
        <v>45998.389328703706</v>
      </c>
      <c r="G815" s="88" t="s">
        <v>4805</v>
      </c>
      <c r="H815" s="88" t="s">
        <v>6156</v>
      </c>
      <c r="I815" s="90">
        <v>45998.796793981484</v>
      </c>
    </row>
    <row r="816" ht="14.25" customHeight="1">
      <c r="A816" s="87">
        <v>815.0</v>
      </c>
      <c r="B816" s="88" t="s">
        <v>1261</v>
      </c>
      <c r="C816" s="89">
        <v>1.022918075E9</v>
      </c>
      <c r="D816" s="89" t="str">
        <f t="shared" si="1"/>
        <v>정은정8075</v>
      </c>
      <c r="E816" s="89" t="s">
        <v>6157</v>
      </c>
      <c r="F816" s="90">
        <v>45998.38931712963</v>
      </c>
      <c r="G816" s="88" t="s">
        <v>4805</v>
      </c>
      <c r="H816" s="88" t="s">
        <v>5921</v>
      </c>
      <c r="I816" s="90">
        <v>45998.682280092595</v>
      </c>
    </row>
    <row r="817" ht="14.25" customHeight="1">
      <c r="A817" s="87">
        <v>816.0</v>
      </c>
      <c r="B817" s="88" t="s">
        <v>1065</v>
      </c>
      <c r="C817" s="89">
        <v>1.04280629E9</v>
      </c>
      <c r="D817" s="89" t="str">
        <f t="shared" si="1"/>
        <v>한명희6290</v>
      </c>
      <c r="E817" s="89" t="s">
        <v>6158</v>
      </c>
      <c r="F817" s="90">
        <v>45998.38930555555</v>
      </c>
      <c r="G817" s="88" t="s">
        <v>4805</v>
      </c>
      <c r="H817" s="88" t="s">
        <v>5800</v>
      </c>
      <c r="I817" s="90">
        <v>45998.68199074074</v>
      </c>
    </row>
    <row r="818" ht="14.25" customHeight="1">
      <c r="A818" s="87">
        <v>817.0</v>
      </c>
      <c r="B818" s="88" t="s">
        <v>6159</v>
      </c>
      <c r="C818" s="89">
        <v>1.083619472E9</v>
      </c>
      <c r="D818" s="89" t="str">
        <f t="shared" si="1"/>
        <v>문수경9472</v>
      </c>
      <c r="E818" s="89" t="s">
        <v>6160</v>
      </c>
      <c r="F818" s="90">
        <v>45998.38927083334</v>
      </c>
      <c r="G818" s="88" t="s">
        <v>4792</v>
      </c>
      <c r="H818" s="91"/>
      <c r="I818" s="92"/>
    </row>
    <row r="819" ht="14.25" customHeight="1">
      <c r="A819" s="87">
        <v>818.0</v>
      </c>
      <c r="B819" s="88" t="s">
        <v>2039</v>
      </c>
      <c r="C819" s="89">
        <v>1.071141378E9</v>
      </c>
      <c r="D819" s="89" t="str">
        <f t="shared" si="1"/>
        <v>송영미1378</v>
      </c>
      <c r="E819" s="89" t="s">
        <v>6161</v>
      </c>
      <c r="F819" s="90">
        <v>45998.38925925926</v>
      </c>
      <c r="G819" s="88" t="s">
        <v>4805</v>
      </c>
      <c r="H819" s="88" t="s">
        <v>6162</v>
      </c>
      <c r="I819" s="90">
        <v>45998.79571759259</v>
      </c>
    </row>
    <row r="820" ht="14.25" customHeight="1">
      <c r="A820" s="87">
        <v>819.0</v>
      </c>
      <c r="B820" s="88" t="s">
        <v>3794</v>
      </c>
      <c r="C820" s="89">
        <v>1.025147657E9</v>
      </c>
      <c r="D820" s="89" t="str">
        <f t="shared" si="1"/>
        <v>황명숙7657</v>
      </c>
      <c r="E820" s="89" t="s">
        <v>6163</v>
      </c>
      <c r="F820" s="90">
        <v>45998.38924768518</v>
      </c>
      <c r="G820" s="88" t="s">
        <v>4805</v>
      </c>
      <c r="H820" s="88" t="s">
        <v>5966</v>
      </c>
      <c r="I820" s="90">
        <v>45998.68164351852</v>
      </c>
    </row>
    <row r="821" ht="14.25" customHeight="1">
      <c r="A821" s="87">
        <v>820.0</v>
      </c>
      <c r="B821" s="88" t="s">
        <v>1406</v>
      </c>
      <c r="C821" s="89">
        <v>1.052053429E9</v>
      </c>
      <c r="D821" s="89" t="str">
        <f t="shared" si="1"/>
        <v>김영희3429</v>
      </c>
      <c r="E821" s="89" t="s">
        <v>6164</v>
      </c>
      <c r="F821" s="90">
        <v>45998.38922453704</v>
      </c>
      <c r="G821" s="88" t="s">
        <v>4805</v>
      </c>
      <c r="H821" s="88" t="s">
        <v>6165</v>
      </c>
      <c r="I821" s="90">
        <v>45998.79457175926</v>
      </c>
    </row>
    <row r="822" ht="14.25" customHeight="1">
      <c r="A822" s="87">
        <v>821.0</v>
      </c>
      <c r="B822" s="88" t="s">
        <v>2682</v>
      </c>
      <c r="C822" s="89">
        <v>1.085352363E9</v>
      </c>
      <c r="D822" s="89" t="str">
        <f t="shared" si="1"/>
        <v>박상엽2363</v>
      </c>
      <c r="E822" s="89" t="s">
        <v>6166</v>
      </c>
      <c r="F822" s="90">
        <v>45998.38917824074</v>
      </c>
      <c r="G822" s="88" t="s">
        <v>4805</v>
      </c>
      <c r="H822" s="88" t="s">
        <v>5966</v>
      </c>
      <c r="I822" s="90">
        <v>45998.68140046296</v>
      </c>
    </row>
    <row r="823" ht="14.25" customHeight="1">
      <c r="A823" s="87">
        <v>822.0</v>
      </c>
      <c r="B823" s="88" t="s">
        <v>3103</v>
      </c>
      <c r="C823" s="89">
        <v>1.058970325E9</v>
      </c>
      <c r="D823" s="89" t="str">
        <f t="shared" si="1"/>
        <v>김영선0325</v>
      </c>
      <c r="E823" s="89" t="s">
        <v>6167</v>
      </c>
      <c r="F823" s="90">
        <v>45998.38916666667</v>
      </c>
      <c r="G823" s="88" t="s">
        <v>4805</v>
      </c>
      <c r="H823" s="88" t="s">
        <v>5966</v>
      </c>
      <c r="I823" s="90">
        <v>45998.68111111111</v>
      </c>
    </row>
    <row r="824" ht="14.25" customHeight="1">
      <c r="A824" s="87">
        <v>823.0</v>
      </c>
      <c r="B824" s="88" t="s">
        <v>1028</v>
      </c>
      <c r="C824" s="89">
        <v>1.048018576E9</v>
      </c>
      <c r="D824" s="89" t="str">
        <f t="shared" si="1"/>
        <v>최숙희8576</v>
      </c>
      <c r="E824" s="89" t="s">
        <v>6168</v>
      </c>
      <c r="F824" s="90">
        <v>45998.389131944445</v>
      </c>
      <c r="G824" s="88" t="s">
        <v>4805</v>
      </c>
      <c r="H824" s="88" t="s">
        <v>6169</v>
      </c>
      <c r="I824" s="90">
        <v>45998.756631944445</v>
      </c>
    </row>
    <row r="825" ht="14.25" customHeight="1">
      <c r="A825" s="87">
        <v>824.0</v>
      </c>
      <c r="B825" s="88" t="s">
        <v>6170</v>
      </c>
      <c r="C825" s="89">
        <v>1.097767352E9</v>
      </c>
      <c r="D825" s="89" t="str">
        <f t="shared" si="1"/>
        <v>이봉희7352</v>
      </c>
      <c r="E825" s="89" t="s">
        <v>6171</v>
      </c>
      <c r="F825" s="90">
        <v>45998.389131944445</v>
      </c>
      <c r="G825" s="88" t="s">
        <v>4805</v>
      </c>
      <c r="H825" s="88" t="s">
        <v>5982</v>
      </c>
      <c r="I825" s="90">
        <v>45998.6809375</v>
      </c>
    </row>
    <row r="826" ht="14.25" customHeight="1">
      <c r="A826" s="87">
        <v>825.0</v>
      </c>
      <c r="B826" s="88" t="s">
        <v>3459</v>
      </c>
      <c r="C826" s="89">
        <v>1.05285513E9</v>
      </c>
      <c r="D826" s="89" t="str">
        <f t="shared" si="1"/>
        <v>이금호5130</v>
      </c>
      <c r="E826" s="89" t="s">
        <v>6172</v>
      </c>
      <c r="F826" s="90">
        <v>45998.38912037037</v>
      </c>
      <c r="G826" s="88" t="s">
        <v>4805</v>
      </c>
      <c r="H826" s="88" t="s">
        <v>6173</v>
      </c>
      <c r="I826" s="90">
        <v>45998.68069444445</v>
      </c>
    </row>
    <row r="827" ht="14.25" customHeight="1">
      <c r="A827" s="87">
        <v>826.0</v>
      </c>
      <c r="B827" s="88" t="s">
        <v>6174</v>
      </c>
      <c r="C827" s="89">
        <v>1.053425256E9</v>
      </c>
      <c r="D827" s="89" t="str">
        <f t="shared" si="1"/>
        <v>위인순5256</v>
      </c>
      <c r="E827" s="89" t="s">
        <v>6175</v>
      </c>
      <c r="F827" s="90">
        <v>45998.3891087963</v>
      </c>
      <c r="G827" s="88" t="s">
        <v>4805</v>
      </c>
      <c r="H827" s="88" t="s">
        <v>5982</v>
      </c>
      <c r="I827" s="90">
        <v>45998.67980324074</v>
      </c>
    </row>
    <row r="828" ht="14.25" customHeight="1">
      <c r="A828" s="87">
        <v>827.0</v>
      </c>
      <c r="B828" s="88" t="s">
        <v>6176</v>
      </c>
      <c r="C828" s="89">
        <v>1.054195722E9</v>
      </c>
      <c r="D828" s="89" t="str">
        <f t="shared" si="1"/>
        <v>장시성5722</v>
      </c>
      <c r="E828" s="89" t="s">
        <v>6177</v>
      </c>
      <c r="F828" s="90">
        <v>45998.389085648145</v>
      </c>
      <c r="G828" s="88" t="s">
        <v>4805</v>
      </c>
      <c r="H828" s="88" t="s">
        <v>6048</v>
      </c>
      <c r="I828" s="90">
        <v>45998.75587962963</v>
      </c>
    </row>
    <row r="829" ht="14.25" customHeight="1">
      <c r="A829" s="87">
        <v>828.0</v>
      </c>
      <c r="B829" s="88" t="s">
        <v>5851</v>
      </c>
      <c r="C829" s="89">
        <v>1.063578383E9</v>
      </c>
      <c r="D829" s="89" t="str">
        <f t="shared" si="1"/>
        <v>김태기8383</v>
      </c>
      <c r="E829" s="89" t="s">
        <v>6178</v>
      </c>
      <c r="F829" s="90">
        <v>45998.389074074075</v>
      </c>
      <c r="G829" s="88" t="s">
        <v>4805</v>
      </c>
      <c r="H829" s="88" t="s">
        <v>6179</v>
      </c>
      <c r="I829" s="90">
        <v>45998.83943287037</v>
      </c>
    </row>
    <row r="830" ht="14.25" customHeight="1">
      <c r="A830" s="87">
        <v>829.0</v>
      </c>
      <c r="B830" s="88" t="s">
        <v>3235</v>
      </c>
      <c r="C830" s="89">
        <v>1.081085598E9</v>
      </c>
      <c r="D830" s="89" t="str">
        <f t="shared" si="1"/>
        <v>박선화5598</v>
      </c>
      <c r="E830" s="89" t="s">
        <v>6180</v>
      </c>
      <c r="F830" s="90">
        <v>45998.389027777775</v>
      </c>
      <c r="G830" s="88" t="s">
        <v>4805</v>
      </c>
      <c r="H830" s="88" t="s">
        <v>5966</v>
      </c>
      <c r="I830" s="90">
        <v>45998.67951388889</v>
      </c>
    </row>
    <row r="831" ht="14.25" customHeight="1">
      <c r="A831" s="87">
        <v>830.0</v>
      </c>
      <c r="B831" s="88" t="s">
        <v>2747</v>
      </c>
      <c r="C831" s="89">
        <v>1.097011016E9</v>
      </c>
      <c r="D831" s="89" t="str">
        <f t="shared" si="1"/>
        <v>이혜은1016</v>
      </c>
      <c r="E831" s="89" t="s">
        <v>6181</v>
      </c>
      <c r="F831" s="90">
        <v>45998.38895833334</v>
      </c>
      <c r="G831" s="88" t="s">
        <v>4805</v>
      </c>
      <c r="H831" s="88" t="s">
        <v>6182</v>
      </c>
      <c r="I831" s="90">
        <v>45998.67935185185</v>
      </c>
    </row>
    <row r="832" ht="14.25" customHeight="1">
      <c r="A832" s="87">
        <v>831.0</v>
      </c>
      <c r="B832" s="88" t="s">
        <v>6183</v>
      </c>
      <c r="C832" s="89">
        <v>1.031560574E9</v>
      </c>
      <c r="D832" s="89" t="str">
        <f t="shared" si="1"/>
        <v>이명근0574</v>
      </c>
      <c r="E832" s="89" t="s">
        <v>6184</v>
      </c>
      <c r="F832" s="90">
        <v>45998.38891203704</v>
      </c>
      <c r="G832" s="88" t="s">
        <v>4805</v>
      </c>
      <c r="H832" s="88" t="s">
        <v>6185</v>
      </c>
      <c r="I832" s="90">
        <v>45998.6787962963</v>
      </c>
    </row>
    <row r="833" ht="14.25" customHeight="1">
      <c r="A833" s="87">
        <v>832.0</v>
      </c>
      <c r="B833" s="88" t="s">
        <v>6186</v>
      </c>
      <c r="C833" s="89">
        <v>1.094979798E9</v>
      </c>
      <c r="D833" s="89" t="str">
        <f t="shared" si="1"/>
        <v>손창분9798</v>
      </c>
      <c r="E833" s="89" t="s">
        <v>6187</v>
      </c>
      <c r="F833" s="90">
        <v>45998.38891203704</v>
      </c>
      <c r="G833" s="88" t="s">
        <v>4805</v>
      </c>
      <c r="H833" s="88" t="s">
        <v>6048</v>
      </c>
      <c r="I833" s="90">
        <v>45998.75543981481</v>
      </c>
    </row>
    <row r="834" ht="14.25" customHeight="1">
      <c r="A834" s="87">
        <v>833.0</v>
      </c>
      <c r="B834" s="88" t="s">
        <v>3165</v>
      </c>
      <c r="C834" s="89">
        <v>1.089916097E9</v>
      </c>
      <c r="D834" s="89" t="str">
        <f t="shared" si="1"/>
        <v>김혜경6097</v>
      </c>
      <c r="E834" s="89" t="s">
        <v>6188</v>
      </c>
      <c r="F834" s="90">
        <v>45998.38891203704</v>
      </c>
      <c r="G834" s="88" t="s">
        <v>4805</v>
      </c>
      <c r="H834" s="88" t="s">
        <v>5381</v>
      </c>
      <c r="I834" s="90">
        <v>45998.75502314815</v>
      </c>
    </row>
    <row r="835" ht="14.25" customHeight="1">
      <c r="A835" s="87">
        <v>834.0</v>
      </c>
      <c r="B835" s="88" t="s">
        <v>3485</v>
      </c>
      <c r="C835" s="89">
        <v>1.022498958E9</v>
      </c>
      <c r="D835" s="89" t="str">
        <f t="shared" si="1"/>
        <v>이선이8958</v>
      </c>
      <c r="E835" s="89" t="s">
        <v>6189</v>
      </c>
      <c r="F835" s="90">
        <v>45998.38885416667</v>
      </c>
      <c r="G835" s="88" t="s">
        <v>4805</v>
      </c>
      <c r="H835" s="88" t="s">
        <v>5381</v>
      </c>
      <c r="I835" s="90">
        <v>45998.754745370374</v>
      </c>
    </row>
    <row r="836" ht="14.25" customHeight="1">
      <c r="A836" s="87">
        <v>835.0</v>
      </c>
      <c r="B836" s="88" t="s">
        <v>3085</v>
      </c>
      <c r="C836" s="89">
        <v>1.072239974E9</v>
      </c>
      <c r="D836" s="89" t="str">
        <f t="shared" si="1"/>
        <v>김숙자9974</v>
      </c>
      <c r="E836" s="89" t="s">
        <v>6190</v>
      </c>
      <c r="F836" s="90">
        <v>45998.388819444444</v>
      </c>
      <c r="G836" s="88" t="s">
        <v>4805</v>
      </c>
      <c r="H836" s="88" t="s">
        <v>5800</v>
      </c>
      <c r="I836" s="90">
        <v>45998.67855324074</v>
      </c>
    </row>
    <row r="837" ht="14.25" customHeight="1">
      <c r="A837" s="87">
        <v>836.0</v>
      </c>
      <c r="B837" s="88" t="s">
        <v>2877</v>
      </c>
      <c r="C837" s="89">
        <v>1.06684527E9</v>
      </c>
      <c r="D837" s="89" t="str">
        <f t="shared" si="1"/>
        <v>유정화5270</v>
      </c>
      <c r="E837" s="89" t="s">
        <v>6191</v>
      </c>
      <c r="F837" s="90">
        <v>45998.38875</v>
      </c>
      <c r="G837" s="88" t="s">
        <v>4805</v>
      </c>
      <c r="H837" s="88" t="s">
        <v>5381</v>
      </c>
      <c r="I837" s="90">
        <v>45998.75462962963</v>
      </c>
    </row>
    <row r="838" ht="14.25" customHeight="1">
      <c r="A838" s="87">
        <v>837.0</v>
      </c>
      <c r="B838" s="88" t="s">
        <v>3263</v>
      </c>
      <c r="C838" s="89">
        <v>1.037063343E9</v>
      </c>
      <c r="D838" s="89" t="str">
        <f t="shared" si="1"/>
        <v>박용옥3343</v>
      </c>
      <c r="E838" s="89" t="s">
        <v>6192</v>
      </c>
      <c r="F838" s="90">
        <v>45998.38873842593</v>
      </c>
      <c r="G838" s="88" t="s">
        <v>4805</v>
      </c>
      <c r="H838" s="88" t="s">
        <v>6193</v>
      </c>
      <c r="I838" s="90">
        <v>45998.72440972222</v>
      </c>
    </row>
    <row r="839" ht="14.25" customHeight="1">
      <c r="A839" s="87">
        <v>838.0</v>
      </c>
      <c r="B839" s="88" t="s">
        <v>3832</v>
      </c>
      <c r="C839" s="89">
        <v>1.050334525E9</v>
      </c>
      <c r="D839" s="89" t="str">
        <f t="shared" si="1"/>
        <v>임순빈4525</v>
      </c>
      <c r="E839" s="89" t="s">
        <v>6194</v>
      </c>
      <c r="F839" s="90">
        <v>45998.38872685185</v>
      </c>
      <c r="G839" s="88" t="s">
        <v>4805</v>
      </c>
      <c r="H839" s="88" t="s">
        <v>6126</v>
      </c>
      <c r="I839" s="90">
        <v>45998.67791666667</v>
      </c>
    </row>
    <row r="840" ht="14.25" customHeight="1">
      <c r="A840" s="87">
        <v>839.0</v>
      </c>
      <c r="B840" s="88" t="s">
        <v>1168</v>
      </c>
      <c r="C840" s="89">
        <v>1.040234973E9</v>
      </c>
      <c r="D840" s="89" t="str">
        <f t="shared" si="1"/>
        <v>서우주4973</v>
      </c>
      <c r="E840" s="89" t="s">
        <v>6195</v>
      </c>
      <c r="F840" s="90">
        <v>45998.388715277775</v>
      </c>
      <c r="G840" s="88" t="s">
        <v>4805</v>
      </c>
      <c r="H840" s="88" t="s">
        <v>6179</v>
      </c>
      <c r="I840" s="90">
        <v>45998.83936342593</v>
      </c>
    </row>
    <row r="841" ht="14.25" customHeight="1">
      <c r="A841" s="87">
        <v>840.0</v>
      </c>
      <c r="B841" s="88" t="s">
        <v>6196</v>
      </c>
      <c r="C841" s="89">
        <v>1.075140018E9</v>
      </c>
      <c r="D841" s="89" t="str">
        <f t="shared" si="1"/>
        <v>류지웅0018</v>
      </c>
      <c r="E841" s="89" t="s">
        <v>6197</v>
      </c>
      <c r="F841" s="90">
        <v>45998.38869212963</v>
      </c>
      <c r="G841" s="88" t="s">
        <v>4805</v>
      </c>
      <c r="H841" s="88" t="s">
        <v>6198</v>
      </c>
      <c r="I841" s="90">
        <v>45998.67731481481</v>
      </c>
    </row>
    <row r="842" ht="14.25" customHeight="1">
      <c r="A842" s="87">
        <v>841.0</v>
      </c>
      <c r="B842" s="88" t="s">
        <v>6199</v>
      </c>
      <c r="C842" s="89">
        <v>1.046069527E9</v>
      </c>
      <c r="D842" s="89" t="str">
        <f t="shared" si="1"/>
        <v>이동재9527</v>
      </c>
      <c r="E842" s="89" t="s">
        <v>6200</v>
      </c>
      <c r="F842" s="90">
        <v>45998.388657407406</v>
      </c>
      <c r="G842" s="88" t="s">
        <v>4805</v>
      </c>
      <c r="H842" s="88" t="s">
        <v>6198</v>
      </c>
      <c r="I842" s="90">
        <v>45998.67768518518</v>
      </c>
    </row>
    <row r="843" ht="14.25" customHeight="1">
      <c r="A843" s="87">
        <v>842.0</v>
      </c>
      <c r="B843" s="88" t="s">
        <v>1125</v>
      </c>
      <c r="C843" s="89">
        <v>1.081081977E9</v>
      </c>
      <c r="D843" s="89" t="str">
        <f t="shared" si="1"/>
        <v>지채현1977</v>
      </c>
      <c r="E843" s="89" t="s">
        <v>6201</v>
      </c>
      <c r="F843" s="90">
        <v>45998.38862268518</v>
      </c>
      <c r="G843" s="88" t="s">
        <v>4805</v>
      </c>
      <c r="H843" s="88" t="s">
        <v>5921</v>
      </c>
      <c r="I843" s="90">
        <v>45998.67668981481</v>
      </c>
    </row>
    <row r="844" ht="14.25" customHeight="1">
      <c r="A844" s="87">
        <v>843.0</v>
      </c>
      <c r="B844" s="88" t="s">
        <v>1002</v>
      </c>
      <c r="C844" s="89">
        <v>1.030005775E9</v>
      </c>
      <c r="D844" s="89" t="str">
        <f t="shared" si="1"/>
        <v>최원현5775</v>
      </c>
      <c r="E844" s="89" t="s">
        <v>6202</v>
      </c>
      <c r="F844" s="90">
        <v>45998.38861111111</v>
      </c>
      <c r="G844" s="88" t="s">
        <v>4805</v>
      </c>
      <c r="H844" s="88" t="s">
        <v>6179</v>
      </c>
      <c r="I844" s="90">
        <v>45998.83930555556</v>
      </c>
    </row>
    <row r="845" ht="14.25" customHeight="1">
      <c r="A845" s="87">
        <v>844.0</v>
      </c>
      <c r="B845" s="88" t="s">
        <v>3884</v>
      </c>
      <c r="C845" s="89">
        <v>1.094956109E9</v>
      </c>
      <c r="D845" s="89" t="str">
        <f t="shared" si="1"/>
        <v>김정화6109</v>
      </c>
      <c r="E845" s="89" t="s">
        <v>6033</v>
      </c>
      <c r="F845" s="90">
        <v>45998.38857638889</v>
      </c>
      <c r="G845" s="88" t="s">
        <v>4805</v>
      </c>
      <c r="H845" s="88" t="s">
        <v>6126</v>
      </c>
      <c r="I845" s="90">
        <v>45998.67607638889</v>
      </c>
    </row>
    <row r="846" ht="14.25" customHeight="1">
      <c r="A846" s="87">
        <v>845.0</v>
      </c>
      <c r="B846" s="88" t="s">
        <v>2395</v>
      </c>
      <c r="C846" s="89">
        <v>1.043332348E9</v>
      </c>
      <c r="D846" s="89" t="str">
        <f t="shared" si="1"/>
        <v>최은혜2348</v>
      </c>
      <c r="E846" s="89" t="s">
        <v>6203</v>
      </c>
      <c r="F846" s="90">
        <v>45998.38856481481</v>
      </c>
      <c r="G846" s="88" t="s">
        <v>4805</v>
      </c>
      <c r="H846" s="88" t="s">
        <v>6182</v>
      </c>
      <c r="I846" s="90">
        <v>45998.67586805556</v>
      </c>
    </row>
    <row r="847" ht="14.25" customHeight="1">
      <c r="A847" s="87">
        <v>846.0</v>
      </c>
      <c r="B847" s="88" t="s">
        <v>3315</v>
      </c>
      <c r="C847" s="89">
        <v>1.037574051E9</v>
      </c>
      <c r="D847" s="89" t="str">
        <f t="shared" si="1"/>
        <v>변수만4051</v>
      </c>
      <c r="E847" s="89" t="s">
        <v>6204</v>
      </c>
      <c r="F847" s="90">
        <v>45998.388553240744</v>
      </c>
      <c r="G847" s="88" t="s">
        <v>4805</v>
      </c>
      <c r="H847" s="88" t="s">
        <v>6182</v>
      </c>
      <c r="I847" s="90">
        <v>45998.675671296296</v>
      </c>
    </row>
    <row r="848" ht="14.25" customHeight="1">
      <c r="A848" s="87">
        <v>847.0</v>
      </c>
      <c r="B848" s="88" t="s">
        <v>1986</v>
      </c>
      <c r="C848" s="89">
        <v>1.06207653E9</v>
      </c>
      <c r="D848" s="89" t="str">
        <f t="shared" si="1"/>
        <v>이춘희6530</v>
      </c>
      <c r="E848" s="89" t="s">
        <v>6205</v>
      </c>
      <c r="F848" s="90">
        <v>45998.38851851852</v>
      </c>
      <c r="G848" s="88" t="s">
        <v>4805</v>
      </c>
      <c r="H848" s="88" t="s">
        <v>4839</v>
      </c>
      <c r="I848" s="90">
        <v>45998.67451388889</v>
      </c>
    </row>
    <row r="849" ht="14.25" customHeight="1">
      <c r="A849" s="87">
        <v>848.0</v>
      </c>
      <c r="B849" s="88" t="s">
        <v>1406</v>
      </c>
      <c r="C849" s="89">
        <v>1.089891067E9</v>
      </c>
      <c r="D849" s="89" t="str">
        <f t="shared" si="1"/>
        <v>김영희1067</v>
      </c>
      <c r="E849" s="89" t="s">
        <v>6206</v>
      </c>
      <c r="F849" s="90">
        <v>45998.3884837963</v>
      </c>
      <c r="G849" s="88" t="s">
        <v>4805</v>
      </c>
      <c r="H849" s="88" t="s">
        <v>5856</v>
      </c>
      <c r="I849" s="90">
        <v>45998.67376157407</v>
      </c>
    </row>
    <row r="850" ht="14.25" customHeight="1">
      <c r="A850" s="87">
        <v>849.0</v>
      </c>
      <c r="B850" s="88" t="s">
        <v>5778</v>
      </c>
      <c r="C850" s="89">
        <v>1.086869945E9</v>
      </c>
      <c r="D850" s="89" t="str">
        <f t="shared" si="1"/>
        <v>양정희9945</v>
      </c>
      <c r="E850" s="89" t="s">
        <v>6207</v>
      </c>
      <c r="F850" s="90">
        <v>45998.38837962963</v>
      </c>
      <c r="G850" s="88" t="s">
        <v>4805</v>
      </c>
      <c r="H850" s="88" t="s">
        <v>6126</v>
      </c>
      <c r="I850" s="90">
        <v>45998.674733796295</v>
      </c>
    </row>
    <row r="851" ht="14.25" customHeight="1">
      <c r="A851" s="87">
        <v>850.0</v>
      </c>
      <c r="B851" s="88" t="s">
        <v>2897</v>
      </c>
      <c r="C851" s="89">
        <v>1.022144522E9</v>
      </c>
      <c r="D851" s="89" t="str">
        <f t="shared" si="1"/>
        <v>이현자4522</v>
      </c>
      <c r="E851" s="89" t="s">
        <v>6208</v>
      </c>
      <c r="F851" s="90">
        <v>45998.38836805556</v>
      </c>
      <c r="G851" s="88" t="s">
        <v>4805</v>
      </c>
      <c r="H851" s="88" t="s">
        <v>6182</v>
      </c>
      <c r="I851" s="90">
        <v>45998.67355324074</v>
      </c>
    </row>
    <row r="852" ht="14.25" customHeight="1">
      <c r="A852" s="87">
        <v>851.0</v>
      </c>
      <c r="B852" s="88" t="s">
        <v>3120</v>
      </c>
      <c r="C852" s="89">
        <v>1.026189663E9</v>
      </c>
      <c r="D852" s="89" t="str">
        <f t="shared" si="1"/>
        <v>김원모9663</v>
      </c>
      <c r="E852" s="89" t="s">
        <v>6209</v>
      </c>
      <c r="F852" s="90">
        <v>45998.38835648148</v>
      </c>
      <c r="G852" s="88" t="s">
        <v>4805</v>
      </c>
      <c r="H852" s="88" t="s">
        <v>6210</v>
      </c>
      <c r="I852" s="90">
        <v>45998.45197916667</v>
      </c>
    </row>
    <row r="853" ht="14.25" customHeight="1">
      <c r="A853" s="87">
        <v>852.0</v>
      </c>
      <c r="B853" s="88" t="s">
        <v>3165</v>
      </c>
      <c r="C853" s="89">
        <v>1.037300381E9</v>
      </c>
      <c r="D853" s="89" t="str">
        <f t="shared" si="1"/>
        <v>김혜경0381</v>
      </c>
      <c r="E853" s="89" t="s">
        <v>6211</v>
      </c>
      <c r="F853" s="90">
        <v>45998.38832175926</v>
      </c>
      <c r="G853" s="88" t="s">
        <v>4805</v>
      </c>
      <c r="H853" s="88" t="s">
        <v>6212</v>
      </c>
      <c r="I853" s="90">
        <v>45998.67289351852</v>
      </c>
    </row>
    <row r="854" ht="14.25" customHeight="1">
      <c r="A854" s="87">
        <v>853.0</v>
      </c>
      <c r="B854" s="88" t="s">
        <v>3351</v>
      </c>
      <c r="C854" s="89">
        <v>1.037149091E9</v>
      </c>
      <c r="D854" s="89" t="str">
        <f t="shared" si="1"/>
        <v>신동건9091</v>
      </c>
      <c r="E854" s="89" t="s">
        <v>6213</v>
      </c>
      <c r="F854" s="90">
        <v>45998.388287037036</v>
      </c>
      <c r="G854" s="88" t="s">
        <v>4805</v>
      </c>
      <c r="H854" s="88" t="s">
        <v>5381</v>
      </c>
      <c r="I854" s="90">
        <v>45998.7540625</v>
      </c>
    </row>
    <row r="855" ht="14.25" customHeight="1">
      <c r="A855" s="87">
        <v>854.0</v>
      </c>
      <c r="B855" s="88" t="s">
        <v>2917</v>
      </c>
      <c r="C855" s="89">
        <v>1.063195117E9</v>
      </c>
      <c r="D855" s="89" t="str">
        <f t="shared" si="1"/>
        <v>최문희5117</v>
      </c>
      <c r="E855" s="89" t="s">
        <v>6214</v>
      </c>
      <c r="F855" s="90">
        <v>45998.38827546296</v>
      </c>
      <c r="G855" s="88" t="s">
        <v>4805</v>
      </c>
      <c r="H855" s="88" t="s">
        <v>5921</v>
      </c>
      <c r="I855" s="90">
        <v>45998.67246527778</v>
      </c>
    </row>
    <row r="856" ht="14.25" customHeight="1">
      <c r="A856" s="87">
        <v>855.0</v>
      </c>
      <c r="B856" s="88" t="s">
        <v>6215</v>
      </c>
      <c r="C856" s="89">
        <v>1.075735225E9</v>
      </c>
      <c r="D856" s="89" t="str">
        <f t="shared" si="1"/>
        <v>우선경5225</v>
      </c>
      <c r="E856" s="89" t="s">
        <v>6216</v>
      </c>
      <c r="F856" s="90">
        <v>45998.38825231481</v>
      </c>
      <c r="G856" s="88" t="s">
        <v>4805</v>
      </c>
      <c r="H856" s="88" t="s">
        <v>6217</v>
      </c>
      <c r="I856" s="90">
        <v>45998.72313657407</v>
      </c>
    </row>
    <row r="857" ht="14.25" customHeight="1">
      <c r="A857" s="87">
        <v>856.0</v>
      </c>
      <c r="B857" s="88" t="s">
        <v>1038</v>
      </c>
      <c r="C857" s="89">
        <v>1.049375295E9</v>
      </c>
      <c r="D857" s="89" t="str">
        <f t="shared" si="1"/>
        <v>지은자5295</v>
      </c>
      <c r="E857" s="89" t="s">
        <v>6218</v>
      </c>
      <c r="F857" s="90">
        <v>45998.38821759259</v>
      </c>
      <c r="G857" s="88" t="s">
        <v>4805</v>
      </c>
      <c r="H857" s="88" t="s">
        <v>5921</v>
      </c>
      <c r="I857" s="90">
        <v>45998.67222222222</v>
      </c>
    </row>
    <row r="858" ht="14.25" customHeight="1">
      <c r="A858" s="87">
        <v>857.0</v>
      </c>
      <c r="B858" s="88" t="s">
        <v>6219</v>
      </c>
      <c r="C858" s="89">
        <v>1.076388954E9</v>
      </c>
      <c r="D858" s="89" t="str">
        <f t="shared" si="1"/>
        <v>김영근8954</v>
      </c>
      <c r="E858" s="89" t="s">
        <v>6220</v>
      </c>
      <c r="F858" s="90">
        <v>45998.38820601852</v>
      </c>
      <c r="G858" s="88" t="s">
        <v>4805</v>
      </c>
      <c r="H858" s="88" t="s">
        <v>6221</v>
      </c>
      <c r="I858" s="90">
        <v>45998.67184027778</v>
      </c>
    </row>
    <row r="859" ht="14.25" customHeight="1">
      <c r="A859" s="87">
        <v>858.0</v>
      </c>
      <c r="B859" s="88" t="s">
        <v>6222</v>
      </c>
      <c r="C859" s="89">
        <v>1.075503348E9</v>
      </c>
      <c r="D859" s="89" t="str">
        <f t="shared" si="1"/>
        <v>안도경3348</v>
      </c>
      <c r="E859" s="89" t="s">
        <v>6223</v>
      </c>
      <c r="F859" s="90">
        <v>45998.38815972222</v>
      </c>
      <c r="G859" s="88" t="s">
        <v>4805</v>
      </c>
      <c r="H859" s="88" t="s">
        <v>5433</v>
      </c>
      <c r="I859" s="90">
        <v>45998.722974537035</v>
      </c>
    </row>
    <row r="860" ht="14.25" customHeight="1">
      <c r="A860" s="87">
        <v>859.0</v>
      </c>
      <c r="B860" s="88" t="s">
        <v>5940</v>
      </c>
      <c r="C860" s="89">
        <v>1.038534478E9</v>
      </c>
      <c r="D860" s="89" t="str">
        <f t="shared" si="1"/>
        <v>정태호4478</v>
      </c>
      <c r="E860" s="89" t="s">
        <v>6224</v>
      </c>
      <c r="F860" s="90">
        <v>45998.38815972222</v>
      </c>
      <c r="G860" s="88" t="s">
        <v>4805</v>
      </c>
      <c r="H860" s="88" t="s">
        <v>6225</v>
      </c>
      <c r="I860" s="90">
        <v>45998.83920138889</v>
      </c>
    </row>
    <row r="861" ht="14.25" customHeight="1">
      <c r="A861" s="87">
        <v>860.0</v>
      </c>
      <c r="B861" s="88" t="s">
        <v>2911</v>
      </c>
      <c r="C861" s="89">
        <v>1.063405101E9</v>
      </c>
      <c r="D861" s="89" t="str">
        <f t="shared" si="1"/>
        <v>조경자5101</v>
      </c>
      <c r="E861" s="89" t="s">
        <v>6226</v>
      </c>
      <c r="F861" s="90">
        <v>45998.38814814815</v>
      </c>
      <c r="G861" s="88" t="s">
        <v>4805</v>
      </c>
      <c r="H861" s="88" t="s">
        <v>5966</v>
      </c>
      <c r="I861" s="90">
        <v>45998.670752314814</v>
      </c>
    </row>
    <row r="862" ht="14.25" customHeight="1">
      <c r="A862" s="87">
        <v>861.0</v>
      </c>
      <c r="B862" s="88" t="s">
        <v>3190</v>
      </c>
      <c r="C862" s="89">
        <v>1.037340296E9</v>
      </c>
      <c r="D862" s="89" t="str">
        <f t="shared" si="1"/>
        <v>맹태만0296</v>
      </c>
      <c r="E862" s="89" t="s">
        <v>6227</v>
      </c>
      <c r="F862" s="90">
        <v>45998.388090277775</v>
      </c>
      <c r="G862" s="88" t="s">
        <v>4805</v>
      </c>
      <c r="H862" s="88" t="s">
        <v>6228</v>
      </c>
      <c r="I862" s="90">
        <v>45998.670115740744</v>
      </c>
    </row>
    <row r="863" ht="14.25" customHeight="1">
      <c r="A863" s="87">
        <v>862.0</v>
      </c>
      <c r="B863" s="88" t="s">
        <v>4511</v>
      </c>
      <c r="C863" s="89">
        <v>1.041466876E9</v>
      </c>
      <c r="D863" s="89" t="str">
        <f t="shared" si="1"/>
        <v>홍예원6876</v>
      </c>
      <c r="E863" s="89" t="s">
        <v>6229</v>
      </c>
      <c r="F863" s="90">
        <v>45998.388078703705</v>
      </c>
      <c r="G863" s="88" t="s">
        <v>4805</v>
      </c>
      <c r="H863" s="88" t="s">
        <v>6018</v>
      </c>
      <c r="I863" s="90">
        <v>45998.72268518519</v>
      </c>
    </row>
    <row r="864" ht="14.25" customHeight="1">
      <c r="A864" s="87">
        <v>863.0</v>
      </c>
      <c r="B864" s="88" t="s">
        <v>2418</v>
      </c>
      <c r="C864" s="89">
        <v>1.030347953E9</v>
      </c>
      <c r="D864" s="89" t="str">
        <f t="shared" si="1"/>
        <v>장현정7953</v>
      </c>
      <c r="E864" s="89" t="s">
        <v>6230</v>
      </c>
      <c r="F864" s="90">
        <v>45998.38805555556</v>
      </c>
      <c r="G864" s="88" t="s">
        <v>4805</v>
      </c>
      <c r="H864" s="88" t="s">
        <v>6182</v>
      </c>
      <c r="I864" s="90">
        <v>45998.66847222222</v>
      </c>
    </row>
    <row r="865" ht="14.25" customHeight="1">
      <c r="A865" s="87">
        <v>864.0</v>
      </c>
      <c r="B865" s="88" t="s">
        <v>5778</v>
      </c>
      <c r="C865" s="89">
        <v>1.086869945E9</v>
      </c>
      <c r="D865" s="89" t="str">
        <f t="shared" si="1"/>
        <v>양정희9945</v>
      </c>
      <c r="E865" s="89" t="s">
        <v>6231</v>
      </c>
      <c r="F865" s="90">
        <v>45998.38799768518</v>
      </c>
      <c r="G865" s="88" t="s">
        <v>4805</v>
      </c>
      <c r="H865" s="88" t="s">
        <v>5433</v>
      </c>
      <c r="I865" s="90">
        <v>45998.72236111111</v>
      </c>
    </row>
    <row r="866" ht="14.25" customHeight="1">
      <c r="A866" s="87">
        <v>865.0</v>
      </c>
      <c r="B866" s="88" t="s">
        <v>2091</v>
      </c>
      <c r="C866" s="89">
        <v>1.05217748E9</v>
      </c>
      <c r="D866" s="89" t="str">
        <f t="shared" si="1"/>
        <v>전춘옥7480</v>
      </c>
      <c r="E866" s="89" t="s">
        <v>6232</v>
      </c>
      <c r="F866" s="90">
        <v>45998.38796296297</v>
      </c>
      <c r="G866" s="88" t="s">
        <v>4805</v>
      </c>
      <c r="H866" s="88" t="s">
        <v>6233</v>
      </c>
      <c r="I866" s="90">
        <v>45998.72201388889</v>
      </c>
    </row>
    <row r="867" ht="14.25" customHeight="1">
      <c r="A867" s="87">
        <v>866.0</v>
      </c>
      <c r="B867" s="88" t="s">
        <v>3774</v>
      </c>
      <c r="C867" s="89">
        <v>1.043266443E9</v>
      </c>
      <c r="D867" s="89" t="str">
        <f t="shared" si="1"/>
        <v>허정수6443</v>
      </c>
      <c r="E867" s="89" t="s">
        <v>6234</v>
      </c>
      <c r="F867" s="90">
        <v>45998.38795138889</v>
      </c>
      <c r="G867" s="88" t="s">
        <v>4805</v>
      </c>
      <c r="H867" s="88" t="s">
        <v>6182</v>
      </c>
      <c r="I867" s="90">
        <v>45998.66811342593</v>
      </c>
    </row>
    <row r="868" ht="14.25" customHeight="1">
      <c r="A868" s="87">
        <v>867.0</v>
      </c>
      <c r="B868" s="88" t="s">
        <v>3481</v>
      </c>
      <c r="C868" s="89">
        <v>1.025959828E9</v>
      </c>
      <c r="D868" s="89" t="str">
        <f t="shared" si="1"/>
        <v>이서경9828</v>
      </c>
      <c r="E868" s="89" t="s">
        <v>6235</v>
      </c>
      <c r="F868" s="90">
        <v>45998.38793981481</v>
      </c>
      <c r="G868" s="88" t="s">
        <v>4805</v>
      </c>
      <c r="H868" s="88" t="s">
        <v>6236</v>
      </c>
      <c r="I868" s="90">
        <v>45998.80537037037</v>
      </c>
    </row>
    <row r="869" ht="14.25" customHeight="1">
      <c r="A869" s="87">
        <v>868.0</v>
      </c>
      <c r="B869" s="88" t="s">
        <v>1363</v>
      </c>
      <c r="C869" s="89">
        <v>1.077135056E9</v>
      </c>
      <c r="D869" s="89" t="str">
        <f t="shared" si="1"/>
        <v>박복숙5056</v>
      </c>
      <c r="E869" s="89" t="s">
        <v>6237</v>
      </c>
      <c r="F869" s="90">
        <v>45998.38788194444</v>
      </c>
      <c r="G869" s="88" t="s">
        <v>4805</v>
      </c>
      <c r="H869" s="88" t="s">
        <v>6182</v>
      </c>
      <c r="I869" s="90">
        <v>45998.66784722222</v>
      </c>
    </row>
    <row r="870" ht="14.25" customHeight="1">
      <c r="A870" s="87">
        <v>869.0</v>
      </c>
      <c r="B870" s="88" t="s">
        <v>3046</v>
      </c>
      <c r="C870" s="89">
        <v>1.066085236E9</v>
      </c>
      <c r="D870" s="89" t="str">
        <f t="shared" si="1"/>
        <v>김민선5236</v>
      </c>
      <c r="E870" s="89" t="s">
        <v>6238</v>
      </c>
      <c r="F870" s="90">
        <v>45998.387824074074</v>
      </c>
      <c r="G870" s="88" t="s">
        <v>4805</v>
      </c>
      <c r="H870" s="88" t="s">
        <v>6136</v>
      </c>
      <c r="I870" s="90">
        <v>45998.72122685185</v>
      </c>
    </row>
    <row r="871" ht="14.25" customHeight="1">
      <c r="A871" s="87">
        <v>870.0</v>
      </c>
      <c r="B871" s="88" t="s">
        <v>6239</v>
      </c>
      <c r="C871" s="89">
        <v>1.063530479E9</v>
      </c>
      <c r="D871" s="89" t="str">
        <f t="shared" si="1"/>
        <v>오경순0479</v>
      </c>
      <c r="E871" s="89" t="s">
        <v>6240</v>
      </c>
      <c r="F871" s="90">
        <v>45998.3878125</v>
      </c>
      <c r="G871" s="88" t="s">
        <v>4805</v>
      </c>
      <c r="H871" s="88" t="s">
        <v>6126</v>
      </c>
      <c r="I871" s="90">
        <v>45998.66747685185</v>
      </c>
    </row>
    <row r="872" ht="14.25" customHeight="1">
      <c r="A872" s="87">
        <v>871.0</v>
      </c>
      <c r="B872" s="88" t="s">
        <v>3080</v>
      </c>
      <c r="C872" s="89">
        <v>1.05347121E9</v>
      </c>
      <c r="D872" s="89" t="str">
        <f t="shared" si="1"/>
        <v>김수진1210</v>
      </c>
      <c r="E872" s="89" t="s">
        <v>6241</v>
      </c>
      <c r="F872" s="90">
        <v>45998.38778935185</v>
      </c>
      <c r="G872" s="88" t="s">
        <v>4805</v>
      </c>
      <c r="H872" s="88" t="s">
        <v>6242</v>
      </c>
      <c r="I872" s="90">
        <v>45998.79201388889</v>
      </c>
    </row>
    <row r="873" ht="14.25" customHeight="1">
      <c r="A873" s="87">
        <v>872.0</v>
      </c>
      <c r="B873" s="88" t="s">
        <v>1519</v>
      </c>
      <c r="C873" s="89">
        <v>1.071219809E9</v>
      </c>
      <c r="D873" s="89" t="str">
        <f t="shared" si="1"/>
        <v>조선미9809</v>
      </c>
      <c r="E873" s="89" t="s">
        <v>6243</v>
      </c>
      <c r="F873" s="90">
        <v>45998.387777777774</v>
      </c>
      <c r="G873" s="88" t="s">
        <v>4805</v>
      </c>
      <c r="H873" s="88" t="s">
        <v>6244</v>
      </c>
      <c r="I873" s="90">
        <v>45998.720289351855</v>
      </c>
    </row>
    <row r="874" ht="14.25" customHeight="1">
      <c r="A874" s="87">
        <v>873.0</v>
      </c>
      <c r="B874" s="88" t="s">
        <v>2037</v>
      </c>
      <c r="C874" s="89">
        <v>1.023185681E9</v>
      </c>
      <c r="D874" s="89" t="str">
        <f t="shared" si="1"/>
        <v>송영희5681</v>
      </c>
      <c r="E874" s="89" t="s">
        <v>6245</v>
      </c>
      <c r="F874" s="90">
        <v>45998.38775462963</v>
      </c>
      <c r="G874" s="88" t="s">
        <v>4805</v>
      </c>
      <c r="H874" s="88" t="s">
        <v>6246</v>
      </c>
      <c r="I874" s="90">
        <v>45998.66658564815</v>
      </c>
    </row>
    <row r="875" ht="14.25" customHeight="1">
      <c r="A875" s="87">
        <v>874.0</v>
      </c>
      <c r="B875" s="88" t="s">
        <v>6247</v>
      </c>
      <c r="C875" s="89">
        <v>1.064354316E9</v>
      </c>
      <c r="D875" s="89" t="str">
        <f t="shared" si="1"/>
        <v>김시형4316</v>
      </c>
      <c r="E875" s="89" t="s">
        <v>6248</v>
      </c>
      <c r="F875" s="90">
        <v>45998.38763888889</v>
      </c>
      <c r="G875" s="88" t="s">
        <v>4805</v>
      </c>
      <c r="H875" s="88" t="s">
        <v>6249</v>
      </c>
      <c r="I875" s="90">
        <v>45998.90893518519</v>
      </c>
    </row>
    <row r="876" ht="14.25" customHeight="1">
      <c r="A876" s="87">
        <v>875.0</v>
      </c>
      <c r="B876" s="88" t="s">
        <v>6250</v>
      </c>
      <c r="C876" s="89">
        <v>1.084094602E9</v>
      </c>
      <c r="D876" s="89" t="str">
        <f t="shared" si="1"/>
        <v>박창숙4602</v>
      </c>
      <c r="E876" s="89" t="s">
        <v>6251</v>
      </c>
      <c r="F876" s="90">
        <v>45998.38761574074</v>
      </c>
      <c r="G876" s="88" t="s">
        <v>4805</v>
      </c>
      <c r="H876" s="88" t="s">
        <v>5600</v>
      </c>
      <c r="I876" s="90">
        <v>45998.664768518516</v>
      </c>
    </row>
    <row r="877" ht="14.25" customHeight="1">
      <c r="A877" s="87">
        <v>876.0</v>
      </c>
      <c r="B877" s="88" t="s">
        <v>1804</v>
      </c>
      <c r="C877" s="89">
        <v>1.073365442E9</v>
      </c>
      <c r="D877" s="89" t="str">
        <f t="shared" si="1"/>
        <v>김혜영5442</v>
      </c>
      <c r="E877" s="89" t="s">
        <v>6252</v>
      </c>
      <c r="F877" s="90">
        <v>45998.38759259259</v>
      </c>
      <c r="G877" s="88" t="s">
        <v>4805</v>
      </c>
      <c r="H877" s="88" t="s">
        <v>5921</v>
      </c>
      <c r="I877" s="90">
        <v>45998.66439814815</v>
      </c>
    </row>
    <row r="878" ht="14.25" customHeight="1">
      <c r="A878" s="87">
        <v>877.0</v>
      </c>
      <c r="B878" s="88" t="s">
        <v>2643</v>
      </c>
      <c r="C878" s="89">
        <v>1.08817374E9</v>
      </c>
      <c r="D878" s="89" t="str">
        <f t="shared" si="1"/>
        <v>조소현3740</v>
      </c>
      <c r="E878" s="89" t="s">
        <v>6253</v>
      </c>
      <c r="F878" s="90">
        <v>45998.38758101852</v>
      </c>
      <c r="G878" s="88" t="s">
        <v>4805</v>
      </c>
      <c r="H878" s="88" t="s">
        <v>5645</v>
      </c>
      <c r="I878" s="90">
        <v>45998.44634259259</v>
      </c>
    </row>
    <row r="879" ht="14.25" customHeight="1">
      <c r="A879" s="87">
        <v>878.0</v>
      </c>
      <c r="B879" s="88" t="s">
        <v>3351</v>
      </c>
      <c r="C879" s="89">
        <v>1.037149091E9</v>
      </c>
      <c r="D879" s="89" t="str">
        <f t="shared" si="1"/>
        <v>신동건9091</v>
      </c>
      <c r="E879" s="89" t="s">
        <v>6254</v>
      </c>
      <c r="F879" s="90">
        <v>45998.387557870374</v>
      </c>
      <c r="G879" s="88" t="s">
        <v>4805</v>
      </c>
      <c r="H879" s="88" t="s">
        <v>6255</v>
      </c>
      <c r="I879" s="90">
        <v>45998.71885416667</v>
      </c>
    </row>
    <row r="880" ht="14.25" customHeight="1">
      <c r="A880" s="87">
        <v>879.0</v>
      </c>
      <c r="B880" s="88" t="s">
        <v>2921</v>
      </c>
      <c r="C880" s="89">
        <v>1.093975082E9</v>
      </c>
      <c r="D880" s="89" t="str">
        <f t="shared" si="1"/>
        <v>최은영5082</v>
      </c>
      <c r="E880" s="89" t="s">
        <v>6256</v>
      </c>
      <c r="F880" s="90">
        <v>45998.387557870374</v>
      </c>
      <c r="G880" s="88" t="s">
        <v>4805</v>
      </c>
      <c r="H880" s="88" t="s">
        <v>5645</v>
      </c>
      <c r="I880" s="90">
        <v>45998.446238425924</v>
      </c>
    </row>
    <row r="881" ht="14.25" customHeight="1">
      <c r="A881" s="87">
        <v>880.0</v>
      </c>
      <c r="B881" s="88" t="s">
        <v>2941</v>
      </c>
      <c r="C881" s="89">
        <v>1.039475635E9</v>
      </c>
      <c r="D881" s="89" t="str">
        <f t="shared" si="1"/>
        <v>황경미5635</v>
      </c>
      <c r="E881" s="89" t="s">
        <v>6257</v>
      </c>
      <c r="F881" s="90">
        <v>45998.38752314815</v>
      </c>
      <c r="G881" s="88" t="s">
        <v>4805</v>
      </c>
      <c r="H881" s="88" t="s">
        <v>5921</v>
      </c>
      <c r="I881" s="90">
        <v>45998.66318287037</v>
      </c>
    </row>
    <row r="882" ht="14.25" customHeight="1">
      <c r="A882" s="87">
        <v>881.0</v>
      </c>
      <c r="B882" s="88" t="s">
        <v>3889</v>
      </c>
      <c r="C882" s="89">
        <v>1.093368291E9</v>
      </c>
      <c r="D882" s="89" t="str">
        <f t="shared" si="1"/>
        <v>정옥녀8291</v>
      </c>
      <c r="E882" s="89" t="s">
        <v>6258</v>
      </c>
      <c r="F882" s="90">
        <v>45998.387511574074</v>
      </c>
      <c r="G882" s="88" t="s">
        <v>4805</v>
      </c>
      <c r="H882" s="88" t="s">
        <v>6259</v>
      </c>
      <c r="I882" s="90">
        <v>45998.66265046296</v>
      </c>
    </row>
    <row r="883" ht="14.25" customHeight="1">
      <c r="A883" s="87">
        <v>882.0</v>
      </c>
      <c r="B883" s="88" t="s">
        <v>2289</v>
      </c>
      <c r="C883" s="89">
        <v>1.087443275E9</v>
      </c>
      <c r="D883" s="89" t="str">
        <f t="shared" si="1"/>
        <v>박경순3275</v>
      </c>
      <c r="E883" s="89" t="s">
        <v>6260</v>
      </c>
      <c r="F883" s="90">
        <v>45998.38748842593</v>
      </c>
      <c r="G883" s="88" t="s">
        <v>4805</v>
      </c>
      <c r="H883" s="88" t="s">
        <v>6182</v>
      </c>
      <c r="I883" s="90">
        <v>45998.66232638889</v>
      </c>
    </row>
    <row r="884" ht="14.25" customHeight="1">
      <c r="A884" s="87">
        <v>883.0</v>
      </c>
      <c r="B884" s="88" t="s">
        <v>2925</v>
      </c>
      <c r="C884" s="89">
        <v>1.054506524E9</v>
      </c>
      <c r="D884" s="89" t="str">
        <f t="shared" si="1"/>
        <v>탁춘련6524</v>
      </c>
      <c r="E884" s="89" t="s">
        <v>6261</v>
      </c>
      <c r="F884" s="90">
        <v>45998.38747685185</v>
      </c>
      <c r="G884" s="88" t="s">
        <v>4805</v>
      </c>
      <c r="H884" s="88" t="s">
        <v>6182</v>
      </c>
      <c r="I884" s="90">
        <v>45998.66210648148</v>
      </c>
    </row>
    <row r="885" ht="14.25" customHeight="1">
      <c r="A885" s="87">
        <v>884.0</v>
      </c>
      <c r="B885" s="88" t="s">
        <v>2774</v>
      </c>
      <c r="C885" s="89">
        <v>1.042671446E9</v>
      </c>
      <c r="D885" s="89" t="str">
        <f t="shared" si="1"/>
        <v>김정임1446</v>
      </c>
      <c r="E885" s="89" t="s">
        <v>6262</v>
      </c>
      <c r="F885" s="90">
        <v>45998.387395833335</v>
      </c>
      <c r="G885" s="88" t="s">
        <v>4805</v>
      </c>
      <c r="H885" s="88" t="s">
        <v>6018</v>
      </c>
      <c r="I885" s="90">
        <v>45998.71832175926</v>
      </c>
    </row>
    <row r="886" ht="14.25" customHeight="1">
      <c r="A886" s="87">
        <v>885.0</v>
      </c>
      <c r="B886" s="88" t="s">
        <v>5940</v>
      </c>
      <c r="C886" s="89">
        <v>1.038534778E9</v>
      </c>
      <c r="D886" s="89" t="str">
        <f t="shared" si="1"/>
        <v>정태호4778</v>
      </c>
      <c r="E886" s="89" t="s">
        <v>6263</v>
      </c>
      <c r="F886" s="90">
        <v>45998.387395833335</v>
      </c>
      <c r="G886" s="88" t="s">
        <v>4805</v>
      </c>
      <c r="H886" s="88" t="s">
        <v>6264</v>
      </c>
      <c r="I886" s="90">
        <v>45998.82925925926</v>
      </c>
    </row>
    <row r="887" ht="14.25" customHeight="1">
      <c r="A887" s="87">
        <v>886.0</v>
      </c>
      <c r="B887" s="88" t="s">
        <v>1709</v>
      </c>
      <c r="C887" s="89">
        <v>1.031946748E9</v>
      </c>
      <c r="D887" s="89" t="str">
        <f t="shared" si="1"/>
        <v>이미화6748</v>
      </c>
      <c r="E887" s="89" t="s">
        <v>6265</v>
      </c>
      <c r="F887" s="90">
        <v>45998.38736111111</v>
      </c>
      <c r="G887" s="88" t="s">
        <v>4805</v>
      </c>
      <c r="H887" s="88" t="s">
        <v>6266</v>
      </c>
      <c r="I887" s="90">
        <v>45998.718148148146</v>
      </c>
    </row>
    <row r="888" ht="14.25" customHeight="1">
      <c r="A888" s="87">
        <v>887.0</v>
      </c>
      <c r="B888" s="88" t="s">
        <v>3543</v>
      </c>
      <c r="C888" s="89">
        <v>1.05219496E9</v>
      </c>
      <c r="D888" s="89" t="str">
        <f t="shared" si="1"/>
        <v>임묘순4960</v>
      </c>
      <c r="E888" s="89" t="s">
        <v>6267</v>
      </c>
      <c r="F888" s="90">
        <v>45998.387349537035</v>
      </c>
      <c r="G888" s="88" t="s">
        <v>4805</v>
      </c>
      <c r="H888" s="88" t="s">
        <v>6182</v>
      </c>
      <c r="I888" s="90">
        <v>45998.661631944444</v>
      </c>
    </row>
    <row r="889" ht="14.25" customHeight="1">
      <c r="A889" s="87">
        <v>888.0</v>
      </c>
      <c r="B889" s="88" t="s">
        <v>6268</v>
      </c>
      <c r="C889" s="89">
        <v>1.041884497E9</v>
      </c>
      <c r="D889" s="89" t="str">
        <f t="shared" si="1"/>
        <v>정애자4497</v>
      </c>
      <c r="E889" s="89" t="s">
        <v>6269</v>
      </c>
      <c r="F889" s="90">
        <v>45998.38730324074</v>
      </c>
      <c r="G889" s="88" t="s">
        <v>4805</v>
      </c>
      <c r="H889" s="88" t="s">
        <v>5935</v>
      </c>
      <c r="I889" s="90">
        <v>45998.660833333335</v>
      </c>
    </row>
    <row r="890" ht="14.25" customHeight="1">
      <c r="A890" s="87">
        <v>889.0</v>
      </c>
      <c r="B890" s="88" t="s">
        <v>6239</v>
      </c>
      <c r="C890" s="89">
        <v>1.063530479E9</v>
      </c>
      <c r="D890" s="89" t="str">
        <f t="shared" si="1"/>
        <v>오경순0479</v>
      </c>
      <c r="E890" s="89" t="s">
        <v>6270</v>
      </c>
      <c r="F890" s="90">
        <v>45998.38730324074</v>
      </c>
      <c r="G890" s="88" t="s">
        <v>4805</v>
      </c>
      <c r="H890" s="88" t="s">
        <v>6271</v>
      </c>
      <c r="I890" s="90">
        <v>45998.44587962963</v>
      </c>
    </row>
    <row r="891" ht="14.25" customHeight="1">
      <c r="A891" s="87">
        <v>890.0</v>
      </c>
      <c r="B891" s="88" t="s">
        <v>2805</v>
      </c>
      <c r="C891" s="89">
        <v>1.04140919E9</v>
      </c>
      <c r="D891" s="89" t="str">
        <f t="shared" si="1"/>
        <v>김두리9190</v>
      </c>
      <c r="E891" s="89" t="s">
        <v>6272</v>
      </c>
      <c r="F891" s="90">
        <v>45998.38726851852</v>
      </c>
      <c r="G891" s="88" t="s">
        <v>4805</v>
      </c>
      <c r="H891" s="88" t="s">
        <v>6273</v>
      </c>
      <c r="I891" s="90">
        <v>45998.79032407407</v>
      </c>
    </row>
    <row r="892" ht="14.25" customHeight="1">
      <c r="A892" s="87">
        <v>891.0</v>
      </c>
      <c r="B892" s="88" t="s">
        <v>6274</v>
      </c>
      <c r="C892" s="89">
        <v>1.037526464E9</v>
      </c>
      <c r="D892" s="89" t="str">
        <f t="shared" si="1"/>
        <v>정수연6464</v>
      </c>
      <c r="E892" s="89" t="s">
        <v>6275</v>
      </c>
      <c r="F892" s="90">
        <v>45998.38722222222</v>
      </c>
      <c r="G892" s="88" t="s">
        <v>4805</v>
      </c>
      <c r="H892" s="88" t="s">
        <v>6276</v>
      </c>
      <c r="I892" s="90">
        <v>45998.786574074074</v>
      </c>
    </row>
    <row r="893" ht="14.25" customHeight="1">
      <c r="A893" s="87">
        <v>892.0</v>
      </c>
      <c r="B893" s="88" t="s">
        <v>2247</v>
      </c>
      <c r="C893" s="89">
        <v>1.072759788E9</v>
      </c>
      <c r="D893" s="89" t="str">
        <f t="shared" si="1"/>
        <v>김미정9788</v>
      </c>
      <c r="E893" s="89" t="s">
        <v>6277</v>
      </c>
      <c r="F893" s="90">
        <v>45998.38722222222</v>
      </c>
      <c r="G893" s="88" t="s">
        <v>4805</v>
      </c>
      <c r="H893" s="88" t="s">
        <v>5667</v>
      </c>
      <c r="I893" s="90">
        <v>45998.44540509259</v>
      </c>
    </row>
    <row r="894" ht="14.25" customHeight="1">
      <c r="A894" s="87">
        <v>893.0</v>
      </c>
      <c r="B894" s="88" t="s">
        <v>1210</v>
      </c>
      <c r="C894" s="89">
        <v>1.0931142E9</v>
      </c>
      <c r="D894" s="89" t="str">
        <f t="shared" si="1"/>
        <v>이길선4200</v>
      </c>
      <c r="E894" s="89" t="s">
        <v>6278</v>
      </c>
      <c r="F894" s="90">
        <v>45998.38722222222</v>
      </c>
      <c r="G894" s="88" t="s">
        <v>4805</v>
      </c>
      <c r="H894" s="88" t="s">
        <v>5921</v>
      </c>
      <c r="I894" s="90">
        <v>45998.66017361111</v>
      </c>
    </row>
    <row r="895" ht="14.25" customHeight="1">
      <c r="A895" s="87">
        <v>894.0</v>
      </c>
      <c r="B895" s="88" t="s">
        <v>1543</v>
      </c>
      <c r="C895" s="89">
        <v>1.032062739E9</v>
      </c>
      <c r="D895" s="89" t="str">
        <f t="shared" si="1"/>
        <v>송효석2739</v>
      </c>
      <c r="E895" s="89" t="s">
        <v>6279</v>
      </c>
      <c r="F895" s="90">
        <v>45998.3871875</v>
      </c>
      <c r="G895" s="88" t="s">
        <v>4805</v>
      </c>
      <c r="H895" s="88" t="s">
        <v>6280</v>
      </c>
      <c r="I895" s="90">
        <v>45998.44530092592</v>
      </c>
    </row>
    <row r="896" ht="14.25" customHeight="1">
      <c r="A896" s="87">
        <v>895.0</v>
      </c>
      <c r="B896" s="88" t="s">
        <v>2107</v>
      </c>
      <c r="C896" s="89">
        <v>1.026108235E9</v>
      </c>
      <c r="D896" s="89" t="str">
        <f t="shared" si="1"/>
        <v>류선균8235</v>
      </c>
      <c r="E896" s="89" t="s">
        <v>6281</v>
      </c>
      <c r="F896" s="90">
        <v>45998.387083333335</v>
      </c>
      <c r="G896" s="88" t="s">
        <v>4805</v>
      </c>
      <c r="H896" s="88" t="s">
        <v>6282</v>
      </c>
      <c r="I896" s="90">
        <v>45998.71739583334</v>
      </c>
    </row>
    <row r="897" ht="14.25" customHeight="1">
      <c r="A897" s="87">
        <v>896.0</v>
      </c>
      <c r="B897" s="88" t="s">
        <v>2984</v>
      </c>
      <c r="C897" s="89">
        <v>1.090374559E9</v>
      </c>
      <c r="D897" s="89" t="str">
        <f t="shared" si="1"/>
        <v>곽순영4559</v>
      </c>
      <c r="E897" s="89" t="s">
        <v>6283</v>
      </c>
      <c r="F897" s="90">
        <v>45998.38707175926</v>
      </c>
      <c r="G897" s="88" t="s">
        <v>4805</v>
      </c>
      <c r="H897" s="88" t="s">
        <v>5645</v>
      </c>
      <c r="I897" s="90">
        <v>45998.44497685185</v>
      </c>
    </row>
    <row r="898" ht="14.25" customHeight="1">
      <c r="A898" s="87">
        <v>897.0</v>
      </c>
      <c r="B898" s="88" t="s">
        <v>1152</v>
      </c>
      <c r="C898" s="89">
        <v>1.091709318E9</v>
      </c>
      <c r="D898" s="89" t="str">
        <f t="shared" si="1"/>
        <v>김경아9318</v>
      </c>
      <c r="E898" s="89" t="s">
        <v>6284</v>
      </c>
      <c r="F898" s="90">
        <v>45998.38699074074</v>
      </c>
      <c r="G898" s="88" t="s">
        <v>4805</v>
      </c>
      <c r="H898" s="88" t="s">
        <v>5645</v>
      </c>
      <c r="I898" s="90">
        <v>45998.444699074076</v>
      </c>
    </row>
    <row r="899" ht="14.25" customHeight="1">
      <c r="A899" s="87">
        <v>898.0</v>
      </c>
      <c r="B899" s="88" t="s">
        <v>2563</v>
      </c>
      <c r="C899" s="89">
        <v>1.087057968E9</v>
      </c>
      <c r="D899" s="89" t="str">
        <f t="shared" si="1"/>
        <v>안영란7968</v>
      </c>
      <c r="E899" s="89" t="s">
        <v>6285</v>
      </c>
      <c r="F899" s="90">
        <v>45998.386979166666</v>
      </c>
      <c r="G899" s="88" t="s">
        <v>4805</v>
      </c>
      <c r="H899" s="88" t="s">
        <v>5645</v>
      </c>
      <c r="I899" s="90">
        <v>45998.444652777776</v>
      </c>
    </row>
    <row r="900" ht="14.25" customHeight="1">
      <c r="A900" s="87">
        <v>899.0</v>
      </c>
      <c r="B900" s="88" t="s">
        <v>1305</v>
      </c>
      <c r="C900" s="89">
        <v>1.039760398E9</v>
      </c>
      <c r="D900" s="89" t="str">
        <f t="shared" si="1"/>
        <v>조성훈0398</v>
      </c>
      <c r="E900" s="89" t="s">
        <v>6286</v>
      </c>
      <c r="F900" s="90">
        <v>45998.386967592596</v>
      </c>
      <c r="G900" s="88" t="s">
        <v>4805</v>
      </c>
      <c r="H900" s="88" t="s">
        <v>5629</v>
      </c>
      <c r="I900" s="90">
        <v>45998.45988425926</v>
      </c>
    </row>
    <row r="901" ht="14.25" customHeight="1">
      <c r="A901" s="87">
        <v>900.0</v>
      </c>
      <c r="B901" s="88" t="s">
        <v>1873</v>
      </c>
      <c r="C901" s="89">
        <v>1.091639758E9</v>
      </c>
      <c r="D901" s="89" t="str">
        <f t="shared" si="1"/>
        <v>박진영9758</v>
      </c>
      <c r="E901" s="89" t="s">
        <v>6287</v>
      </c>
      <c r="F901" s="90">
        <v>45998.38694444444</v>
      </c>
      <c r="G901" s="88" t="s">
        <v>4805</v>
      </c>
      <c r="H901" s="88" t="s">
        <v>5645</v>
      </c>
      <c r="I901" s="90">
        <v>45998.44445601852</v>
      </c>
    </row>
    <row r="902" ht="14.25" customHeight="1">
      <c r="A902" s="87">
        <v>901.0</v>
      </c>
      <c r="B902" s="88" t="s">
        <v>1977</v>
      </c>
      <c r="C902" s="89">
        <v>1.022236413E9</v>
      </c>
      <c r="D902" s="89" t="str">
        <f t="shared" si="1"/>
        <v>가재연6413</v>
      </c>
      <c r="E902" s="89" t="s">
        <v>6288</v>
      </c>
      <c r="F902" s="90">
        <v>45998.38694444444</v>
      </c>
      <c r="G902" s="88" t="s">
        <v>4805</v>
      </c>
      <c r="H902" s="88" t="s">
        <v>6280</v>
      </c>
      <c r="I902" s="90">
        <v>45998.44440972222</v>
      </c>
    </row>
    <row r="903" ht="14.25" customHeight="1">
      <c r="A903" s="87">
        <v>902.0</v>
      </c>
      <c r="B903" s="88" t="s">
        <v>3247</v>
      </c>
      <c r="C903" s="89">
        <v>1.0914833E9</v>
      </c>
      <c r="D903" s="89" t="str">
        <f t="shared" si="1"/>
        <v>박승진3300</v>
      </c>
      <c r="E903" s="89" t="s">
        <v>6289</v>
      </c>
      <c r="F903" s="90">
        <v>45998.38688657407</v>
      </c>
      <c r="G903" s="88" t="s">
        <v>4805</v>
      </c>
      <c r="H903" s="88" t="s">
        <v>5645</v>
      </c>
      <c r="I903" s="90">
        <v>45998.44429398148</v>
      </c>
    </row>
    <row r="904" ht="14.25" customHeight="1">
      <c r="A904" s="87">
        <v>903.0</v>
      </c>
      <c r="B904" s="88" t="s">
        <v>4424</v>
      </c>
      <c r="C904" s="89">
        <v>1.045798636E9</v>
      </c>
      <c r="D904" s="89" t="str">
        <f t="shared" si="1"/>
        <v>곽진희8636</v>
      </c>
      <c r="E904" s="89" t="s">
        <v>6290</v>
      </c>
      <c r="F904" s="90">
        <v>45998.386655092596</v>
      </c>
      <c r="G904" s="88" t="s">
        <v>4805</v>
      </c>
      <c r="H904" s="88" t="s">
        <v>6291</v>
      </c>
      <c r="I904" s="90">
        <v>45998.78758101852</v>
      </c>
    </row>
    <row r="905" ht="14.25" customHeight="1">
      <c r="A905" s="87">
        <v>904.0</v>
      </c>
      <c r="B905" s="88" t="s">
        <v>2299</v>
      </c>
      <c r="C905" s="89">
        <v>1.048991423E9</v>
      </c>
      <c r="D905" s="89" t="str">
        <f t="shared" si="1"/>
        <v>이소희1423</v>
      </c>
      <c r="E905" s="89" t="s">
        <v>6292</v>
      </c>
      <c r="F905" s="90">
        <v>45998.386655092596</v>
      </c>
      <c r="G905" s="88" t="s">
        <v>4805</v>
      </c>
      <c r="H905" s="88" t="s">
        <v>5433</v>
      </c>
      <c r="I905" s="90">
        <v>45998.7121412037</v>
      </c>
    </row>
    <row r="906" ht="14.25" customHeight="1">
      <c r="A906" s="87">
        <v>905.0</v>
      </c>
      <c r="B906" s="88" t="s">
        <v>2763</v>
      </c>
      <c r="C906" s="89">
        <v>1.055313799E9</v>
      </c>
      <c r="D906" s="89" t="str">
        <f t="shared" si="1"/>
        <v>지은아3799</v>
      </c>
      <c r="E906" s="89" t="s">
        <v>6293</v>
      </c>
      <c r="F906" s="90">
        <v>45998.3865625</v>
      </c>
      <c r="G906" s="88" t="s">
        <v>4805</v>
      </c>
      <c r="H906" s="89" t="s">
        <v>6294</v>
      </c>
      <c r="I906" s="90">
        <v>45998.71192129629</v>
      </c>
    </row>
    <row r="907" ht="14.25" customHeight="1">
      <c r="A907" s="87">
        <v>906.0</v>
      </c>
      <c r="B907" s="88" t="s">
        <v>1171</v>
      </c>
      <c r="C907" s="89">
        <v>1.072791346E9</v>
      </c>
      <c r="D907" s="89" t="str">
        <f t="shared" si="1"/>
        <v>이미영1346</v>
      </c>
      <c r="E907" s="89" t="s">
        <v>6295</v>
      </c>
      <c r="F907" s="90">
        <v>45998.386516203704</v>
      </c>
      <c r="G907" s="88" t="s">
        <v>4805</v>
      </c>
      <c r="H907" s="88" t="s">
        <v>6296</v>
      </c>
      <c r="I907" s="90">
        <v>45998.711168981485</v>
      </c>
    </row>
    <row r="908" ht="14.25" customHeight="1">
      <c r="A908" s="87">
        <v>907.0</v>
      </c>
      <c r="B908" s="88" t="s">
        <v>1274</v>
      </c>
      <c r="C908" s="89">
        <v>1.076405585E9</v>
      </c>
      <c r="D908" s="89" t="str">
        <f t="shared" si="1"/>
        <v>최귀선5585</v>
      </c>
      <c r="E908" s="89" t="s">
        <v>6297</v>
      </c>
      <c r="F908" s="90">
        <v>45998.386469907404</v>
      </c>
      <c r="G908" s="88" t="s">
        <v>4805</v>
      </c>
      <c r="H908" s="88" t="s">
        <v>6298</v>
      </c>
      <c r="I908" s="90">
        <v>45998.7109375</v>
      </c>
    </row>
    <row r="909" ht="14.25" customHeight="1">
      <c r="A909" s="87">
        <v>908.0</v>
      </c>
      <c r="B909" s="88" t="s">
        <v>2196</v>
      </c>
      <c r="C909" s="89">
        <v>1.039991894E9</v>
      </c>
      <c r="D909" s="89" t="str">
        <f t="shared" si="1"/>
        <v>김민희1894</v>
      </c>
      <c r="E909" s="89" t="s">
        <v>6299</v>
      </c>
      <c r="F909" s="90">
        <v>45998.386400462965</v>
      </c>
      <c r="G909" s="88" t="s">
        <v>4805</v>
      </c>
      <c r="H909" s="88" t="s">
        <v>6280</v>
      </c>
      <c r="I909" s="90">
        <v>45998.443877314814</v>
      </c>
    </row>
    <row r="910" ht="14.25" customHeight="1">
      <c r="A910" s="87">
        <v>909.0</v>
      </c>
      <c r="B910" s="88" t="s">
        <v>2315</v>
      </c>
      <c r="C910" s="89">
        <v>1.051674334E9</v>
      </c>
      <c r="D910" s="89" t="str">
        <f t="shared" si="1"/>
        <v>채경숙4334</v>
      </c>
      <c r="E910" s="89" t="s">
        <v>6300</v>
      </c>
      <c r="F910" s="90">
        <v>45998.386342592596</v>
      </c>
      <c r="G910" s="88" t="s">
        <v>4805</v>
      </c>
      <c r="H910" s="88" t="s">
        <v>5645</v>
      </c>
      <c r="I910" s="90">
        <v>45998.443773148145</v>
      </c>
    </row>
    <row r="911" ht="14.25" customHeight="1">
      <c r="A911" s="87">
        <v>910.0</v>
      </c>
      <c r="B911" s="88" t="s">
        <v>2873</v>
      </c>
      <c r="C911" s="89">
        <v>1.057296733E9</v>
      </c>
      <c r="D911" s="89" t="str">
        <f t="shared" si="1"/>
        <v>양세린6733</v>
      </c>
      <c r="E911" s="89" t="s">
        <v>6301</v>
      </c>
      <c r="F911" s="90">
        <v>45998.38628472222</v>
      </c>
      <c r="G911" s="88" t="s">
        <v>4805</v>
      </c>
      <c r="H911" s="88" t="s">
        <v>5921</v>
      </c>
      <c r="I911" s="90">
        <v>45998.658472222225</v>
      </c>
    </row>
    <row r="912" ht="14.25" customHeight="1">
      <c r="A912" s="87">
        <v>911.0</v>
      </c>
      <c r="B912" s="88" t="s">
        <v>4557</v>
      </c>
      <c r="C912" s="89">
        <v>1.038936285E9</v>
      </c>
      <c r="D912" s="89" t="str">
        <f t="shared" si="1"/>
        <v>한훈6285</v>
      </c>
      <c r="E912" s="89" t="s">
        <v>6302</v>
      </c>
      <c r="F912" s="90">
        <v>45998.38627314815</v>
      </c>
      <c r="G912" s="88" t="s">
        <v>4805</v>
      </c>
      <c r="H912" s="88" t="s">
        <v>6303</v>
      </c>
      <c r="I912" s="90">
        <v>45998.710694444446</v>
      </c>
    </row>
    <row r="913" ht="14.25" customHeight="1">
      <c r="A913" s="87">
        <v>912.0</v>
      </c>
      <c r="B913" s="88" t="s">
        <v>2847</v>
      </c>
      <c r="C913" s="89">
        <v>1.075923233E9</v>
      </c>
      <c r="D913" s="89" t="str">
        <f t="shared" si="1"/>
        <v>박선영3233</v>
      </c>
      <c r="E913" s="89" t="s">
        <v>6304</v>
      </c>
      <c r="F913" s="90">
        <v>45998.38626157407</v>
      </c>
      <c r="G913" s="88" t="s">
        <v>4805</v>
      </c>
      <c r="H913" s="88" t="s">
        <v>5921</v>
      </c>
      <c r="I913" s="90">
        <v>45998.6578125</v>
      </c>
    </row>
    <row r="914" ht="14.25" customHeight="1">
      <c r="A914" s="87">
        <v>913.0</v>
      </c>
      <c r="B914" s="88" t="s">
        <v>6305</v>
      </c>
      <c r="C914" s="89">
        <v>1.073589131E9</v>
      </c>
      <c r="D914" s="89" t="str">
        <f t="shared" si="1"/>
        <v>윤명희9131</v>
      </c>
      <c r="E914" s="89" t="s">
        <v>6306</v>
      </c>
      <c r="F914" s="90">
        <v>45998.38625</v>
      </c>
      <c r="G914" s="88" t="s">
        <v>4805</v>
      </c>
      <c r="H914" s="88" t="s">
        <v>6307</v>
      </c>
      <c r="I914" s="90">
        <v>45998.70991898148</v>
      </c>
    </row>
    <row r="915" ht="14.25" customHeight="1">
      <c r="A915" s="87">
        <v>914.0</v>
      </c>
      <c r="B915" s="88" t="s">
        <v>5744</v>
      </c>
      <c r="C915" s="89">
        <v>1.051227552E9</v>
      </c>
      <c r="D915" s="89" t="str">
        <f t="shared" si="1"/>
        <v>오서연7552</v>
      </c>
      <c r="E915" s="89" t="s">
        <v>6308</v>
      </c>
      <c r="F915" s="90">
        <v>45998.38622685185</v>
      </c>
      <c r="G915" s="88" t="s">
        <v>4805</v>
      </c>
      <c r="H915" s="88" t="s">
        <v>6126</v>
      </c>
      <c r="I915" s="90">
        <v>45998.65699074074</v>
      </c>
    </row>
    <row r="916" ht="14.25" customHeight="1">
      <c r="A916" s="87">
        <v>915.0</v>
      </c>
      <c r="B916" s="88" t="s">
        <v>4581</v>
      </c>
      <c r="C916" s="89">
        <v>1.089068371E9</v>
      </c>
      <c r="D916" s="89" t="str">
        <f t="shared" si="1"/>
        <v>이형순8371</v>
      </c>
      <c r="E916" s="89" t="s">
        <v>6309</v>
      </c>
      <c r="F916" s="90">
        <v>45998.386030092595</v>
      </c>
      <c r="G916" s="88" t="s">
        <v>4805</v>
      </c>
      <c r="H916" s="88" t="s">
        <v>6280</v>
      </c>
      <c r="I916" s="90">
        <v>45998.44347222222</v>
      </c>
    </row>
    <row r="917" ht="14.25" customHeight="1">
      <c r="A917" s="87">
        <v>916.0</v>
      </c>
      <c r="B917" s="88" t="s">
        <v>2887</v>
      </c>
      <c r="C917" s="89">
        <v>1.089842377E9</v>
      </c>
      <c r="D917" s="89" t="str">
        <f t="shared" si="1"/>
        <v>이세현2377</v>
      </c>
      <c r="E917" s="89" t="s">
        <v>6310</v>
      </c>
      <c r="F917" s="90">
        <v>45998.3859375</v>
      </c>
      <c r="G917" s="88" t="s">
        <v>4805</v>
      </c>
      <c r="H917" s="88" t="s">
        <v>6311</v>
      </c>
      <c r="I917" s="90">
        <v>45998.70957175926</v>
      </c>
    </row>
    <row r="918" ht="14.25" customHeight="1">
      <c r="A918" s="87">
        <v>917.0</v>
      </c>
      <c r="B918" s="88" t="s">
        <v>1934</v>
      </c>
      <c r="C918" s="89">
        <v>1.096237244E9</v>
      </c>
      <c r="D918" s="89" t="str">
        <f t="shared" si="1"/>
        <v>장신영7244</v>
      </c>
      <c r="E918" s="89" t="s">
        <v>6312</v>
      </c>
      <c r="F918" s="90">
        <v>45998.385925925926</v>
      </c>
      <c r="G918" s="88" t="s">
        <v>4805</v>
      </c>
      <c r="H918" s="88" t="s">
        <v>5645</v>
      </c>
      <c r="I918" s="90">
        <v>45998.443333333336</v>
      </c>
    </row>
    <row r="919" ht="14.25" customHeight="1">
      <c r="A919" s="87">
        <v>918.0</v>
      </c>
      <c r="B919" s="88" t="s">
        <v>3014</v>
      </c>
      <c r="C919" s="89">
        <v>1.057726312E9</v>
      </c>
      <c r="D919" s="89" t="str">
        <f t="shared" si="1"/>
        <v>김경란6312</v>
      </c>
      <c r="E919" s="89" t="s">
        <v>6313</v>
      </c>
      <c r="F919" s="90">
        <v>45998.385879629626</v>
      </c>
      <c r="G919" s="88" t="s">
        <v>4805</v>
      </c>
      <c r="H919" s="88" t="s">
        <v>5645</v>
      </c>
      <c r="I919" s="90">
        <v>45998.44327546296</v>
      </c>
    </row>
    <row r="920" ht="14.25" customHeight="1">
      <c r="A920" s="87">
        <v>919.0</v>
      </c>
      <c r="B920" s="88" t="s">
        <v>2582</v>
      </c>
      <c r="C920" s="89">
        <v>1.036853686E9</v>
      </c>
      <c r="D920" s="89" t="str">
        <f t="shared" si="1"/>
        <v>임조경3686</v>
      </c>
      <c r="E920" s="89" t="s">
        <v>6314</v>
      </c>
      <c r="F920" s="90">
        <v>45998.38586805556</v>
      </c>
      <c r="G920" s="88" t="s">
        <v>4805</v>
      </c>
      <c r="H920" s="88" t="s">
        <v>5645</v>
      </c>
      <c r="I920" s="90">
        <v>45998.44322916667</v>
      </c>
    </row>
    <row r="921" ht="14.25" customHeight="1">
      <c r="A921" s="87">
        <v>920.0</v>
      </c>
      <c r="B921" s="88" t="s">
        <v>1038</v>
      </c>
      <c r="C921" s="89">
        <v>1.049375295E9</v>
      </c>
      <c r="D921" s="89" t="str">
        <f t="shared" si="1"/>
        <v>지은자5295</v>
      </c>
      <c r="E921" s="89" t="s">
        <v>6315</v>
      </c>
      <c r="F921" s="90">
        <v>45998.38585648148</v>
      </c>
      <c r="G921" s="88" t="s">
        <v>4805</v>
      </c>
      <c r="H921" s="88" t="s">
        <v>5645</v>
      </c>
      <c r="I921" s="90">
        <v>45998.44318287037</v>
      </c>
    </row>
    <row r="922" ht="14.25" customHeight="1">
      <c r="A922" s="87">
        <v>921.0</v>
      </c>
      <c r="B922" s="88" t="s">
        <v>1288</v>
      </c>
      <c r="C922" s="89">
        <v>1.098802304E9</v>
      </c>
      <c r="D922" s="89" t="str">
        <f t="shared" si="1"/>
        <v>김경애2304</v>
      </c>
      <c r="E922" s="89" t="s">
        <v>6316</v>
      </c>
      <c r="F922" s="90">
        <v>45998.38584490741</v>
      </c>
      <c r="G922" s="88" t="s">
        <v>4805</v>
      </c>
      <c r="H922" s="88" t="s">
        <v>6317</v>
      </c>
      <c r="I922" s="90">
        <v>45998.70923611111</v>
      </c>
    </row>
    <row r="923" ht="14.25" customHeight="1">
      <c r="A923" s="87">
        <v>922.0</v>
      </c>
      <c r="B923" s="88" t="s">
        <v>6318</v>
      </c>
      <c r="C923" s="89">
        <v>1.09345246E9</v>
      </c>
      <c r="D923" s="89" t="str">
        <f t="shared" si="1"/>
        <v>김서영2460</v>
      </c>
      <c r="E923" s="89" t="s">
        <v>6319</v>
      </c>
      <c r="F923" s="90">
        <v>45998.38579861111</v>
      </c>
      <c r="G923" s="88" t="s">
        <v>4805</v>
      </c>
      <c r="H923" s="88" t="s">
        <v>5433</v>
      </c>
      <c r="I923" s="90">
        <v>45998.70862268518</v>
      </c>
    </row>
    <row r="924" ht="14.25" customHeight="1">
      <c r="A924" s="87">
        <v>923.0</v>
      </c>
      <c r="B924" s="88" t="s">
        <v>1087</v>
      </c>
      <c r="C924" s="89">
        <v>1.064735908E9</v>
      </c>
      <c r="D924" s="89" t="str">
        <f t="shared" si="1"/>
        <v>안예림5908</v>
      </c>
      <c r="E924" s="89" t="s">
        <v>6320</v>
      </c>
      <c r="F924" s="90">
        <v>45998.38579861111</v>
      </c>
      <c r="G924" s="88" t="s">
        <v>4805</v>
      </c>
      <c r="H924" s="88" t="s">
        <v>5645</v>
      </c>
      <c r="I924" s="90">
        <v>45998.442974537036</v>
      </c>
    </row>
    <row r="925" ht="14.25" customHeight="1">
      <c r="A925" s="87">
        <v>924.0</v>
      </c>
      <c r="B925" s="88" t="s">
        <v>5803</v>
      </c>
      <c r="C925" s="89">
        <v>1.087467778E9</v>
      </c>
      <c r="D925" s="89" t="str">
        <f t="shared" si="1"/>
        <v>채지영7778</v>
      </c>
      <c r="E925" s="89" t="s">
        <v>6321</v>
      </c>
      <c r="F925" s="90">
        <v>45998.385775462964</v>
      </c>
      <c r="G925" s="88" t="s">
        <v>4805</v>
      </c>
      <c r="H925" s="88" t="s">
        <v>5433</v>
      </c>
      <c r="I925" s="90">
        <v>45998.70842592593</v>
      </c>
    </row>
    <row r="926" ht="14.25" customHeight="1">
      <c r="A926" s="87">
        <v>925.0</v>
      </c>
      <c r="B926" s="88" t="s">
        <v>2817</v>
      </c>
      <c r="C926" s="89">
        <v>1.038971544E9</v>
      </c>
      <c r="D926" s="89" t="str">
        <f t="shared" si="1"/>
        <v>김선미1544</v>
      </c>
      <c r="E926" s="89" t="s">
        <v>6322</v>
      </c>
      <c r="F926" s="90">
        <v>45998.385729166665</v>
      </c>
      <c r="G926" s="88" t="s">
        <v>4805</v>
      </c>
      <c r="H926" s="88" t="s">
        <v>6323</v>
      </c>
      <c r="I926" s="90">
        <v>45998.70819444444</v>
      </c>
    </row>
    <row r="927" ht="14.25" customHeight="1">
      <c r="A927" s="87">
        <v>926.0</v>
      </c>
      <c r="B927" s="88" t="s">
        <v>6324</v>
      </c>
      <c r="C927" s="89">
        <v>1.028576343E9</v>
      </c>
      <c r="D927" s="89" t="str">
        <f t="shared" si="1"/>
        <v>정다운6343</v>
      </c>
      <c r="E927" s="89" t="s">
        <v>6325</v>
      </c>
      <c r="F927" s="90">
        <v>45998.385729166665</v>
      </c>
      <c r="G927" s="88" t="s">
        <v>4805</v>
      </c>
      <c r="H927" s="88" t="s">
        <v>5433</v>
      </c>
      <c r="I927" s="90">
        <v>45998.70788194444</v>
      </c>
    </row>
    <row r="928" ht="14.25" customHeight="1">
      <c r="A928" s="87">
        <v>927.0</v>
      </c>
      <c r="B928" s="88" t="s">
        <v>1700</v>
      </c>
      <c r="C928" s="89">
        <v>1.037114338E9</v>
      </c>
      <c r="D928" s="89" t="str">
        <f t="shared" si="1"/>
        <v>이을선4338</v>
      </c>
      <c r="E928" s="89" t="s">
        <v>6326</v>
      </c>
      <c r="F928" s="90">
        <v>45998.38570601852</v>
      </c>
      <c r="G928" s="88" t="s">
        <v>4805</v>
      </c>
      <c r="H928" s="88" t="s">
        <v>5645</v>
      </c>
      <c r="I928" s="90">
        <v>45998.442662037036</v>
      </c>
    </row>
    <row r="929" ht="14.25" customHeight="1">
      <c r="A929" s="87">
        <v>928.0</v>
      </c>
      <c r="B929" s="88" t="s">
        <v>3790</v>
      </c>
      <c r="C929" s="89">
        <v>1.073400197E9</v>
      </c>
      <c r="D929" s="89" t="str">
        <f t="shared" si="1"/>
        <v>홍현녀0197</v>
      </c>
      <c r="E929" s="89" t="s">
        <v>6327</v>
      </c>
      <c r="F929" s="90">
        <v>45998.3855787037</v>
      </c>
      <c r="G929" s="88" t="s">
        <v>4805</v>
      </c>
      <c r="H929" s="88" t="s">
        <v>6280</v>
      </c>
      <c r="I929" s="90">
        <v>45998.44259259259</v>
      </c>
    </row>
    <row r="930" ht="14.25" customHeight="1">
      <c r="A930" s="87">
        <v>929.0</v>
      </c>
      <c r="B930" s="88" t="s">
        <v>1740</v>
      </c>
      <c r="C930" s="89">
        <v>1.08932345E9</v>
      </c>
      <c r="D930" s="89" t="str">
        <f t="shared" si="1"/>
        <v>류혜림3450</v>
      </c>
      <c r="E930" s="89" t="s">
        <v>6328</v>
      </c>
      <c r="F930" s="90">
        <v>45998.3855787037</v>
      </c>
      <c r="G930" s="88" t="s">
        <v>4805</v>
      </c>
      <c r="H930" s="88" t="s">
        <v>6303</v>
      </c>
      <c r="I930" s="90">
        <v>45998.70763888889</v>
      </c>
    </row>
    <row r="931" ht="14.25" customHeight="1">
      <c r="A931" s="87">
        <v>930.0</v>
      </c>
      <c r="B931" s="88" t="s">
        <v>1320</v>
      </c>
      <c r="C931" s="89">
        <v>1.079799896E9</v>
      </c>
      <c r="D931" s="89" t="str">
        <f t="shared" si="1"/>
        <v>황선영9896</v>
      </c>
      <c r="E931" s="89" t="s">
        <v>6329</v>
      </c>
      <c r="F931" s="90">
        <v>45998.38554398148</v>
      </c>
      <c r="G931" s="88" t="s">
        <v>4805</v>
      </c>
      <c r="H931" s="88" t="s">
        <v>6330</v>
      </c>
      <c r="I931" s="90">
        <v>45998.828368055554</v>
      </c>
    </row>
    <row r="932" ht="14.25" customHeight="1">
      <c r="A932" s="87">
        <v>931.0</v>
      </c>
      <c r="B932" s="88" t="s">
        <v>1823</v>
      </c>
      <c r="C932" s="89">
        <v>1.047436042E9</v>
      </c>
      <c r="D932" s="89" t="str">
        <f t="shared" si="1"/>
        <v>이명옥6042</v>
      </c>
      <c r="E932" s="89" t="s">
        <v>6331</v>
      </c>
      <c r="F932" s="90">
        <v>45998.38553240741</v>
      </c>
      <c r="G932" s="88" t="s">
        <v>4805</v>
      </c>
      <c r="H932" s="89" t="s">
        <v>6332</v>
      </c>
      <c r="I932" s="90">
        <v>45998.44238425926</v>
      </c>
    </row>
    <row r="933" ht="14.25" customHeight="1">
      <c r="A933" s="87">
        <v>932.0</v>
      </c>
      <c r="B933" s="88" t="s">
        <v>3097</v>
      </c>
      <c r="C933" s="89">
        <v>1.071966527E9</v>
      </c>
      <c r="D933" s="89" t="str">
        <f t="shared" si="1"/>
        <v>김애숙6527</v>
      </c>
      <c r="E933" s="89" t="s">
        <v>6333</v>
      </c>
      <c r="F933" s="90">
        <v>45998.38553240741</v>
      </c>
      <c r="G933" s="88" t="s">
        <v>4805</v>
      </c>
      <c r="H933" s="88" t="s">
        <v>5645</v>
      </c>
      <c r="I933" s="90">
        <v>45998.44222222222</v>
      </c>
    </row>
    <row r="934" ht="14.25" customHeight="1">
      <c r="A934" s="87">
        <v>933.0</v>
      </c>
      <c r="B934" s="88" t="s">
        <v>1091</v>
      </c>
      <c r="C934" s="89">
        <v>1.084799993E9</v>
      </c>
      <c r="D934" s="89" t="str">
        <f t="shared" si="1"/>
        <v>박용준9993</v>
      </c>
      <c r="E934" s="89" t="s">
        <v>6334</v>
      </c>
      <c r="F934" s="90">
        <v>45998.38552083333</v>
      </c>
      <c r="G934" s="88" t="s">
        <v>4805</v>
      </c>
      <c r="H934" s="88" t="s">
        <v>6018</v>
      </c>
      <c r="I934" s="90">
        <v>45998.707349537035</v>
      </c>
    </row>
    <row r="935" ht="14.25" customHeight="1">
      <c r="A935" s="87">
        <v>934.0</v>
      </c>
      <c r="B935" s="88" t="s">
        <v>3794</v>
      </c>
      <c r="C935" s="89">
        <v>1.025147657E9</v>
      </c>
      <c r="D935" s="89" t="str">
        <f t="shared" si="1"/>
        <v>황명숙7657</v>
      </c>
      <c r="E935" s="89" t="s">
        <v>6335</v>
      </c>
      <c r="F935" s="90">
        <v>45998.38549768519</v>
      </c>
      <c r="G935" s="88" t="s">
        <v>4805</v>
      </c>
      <c r="H935" s="88" t="s">
        <v>5645</v>
      </c>
      <c r="I935" s="90">
        <v>45998.44216435185</v>
      </c>
    </row>
    <row r="936" ht="14.25" customHeight="1">
      <c r="A936" s="87">
        <v>935.0</v>
      </c>
      <c r="B936" s="88" t="s">
        <v>6336</v>
      </c>
      <c r="C936" s="89">
        <v>1.032397251E9</v>
      </c>
      <c r="D936" s="89" t="str">
        <f t="shared" si="1"/>
        <v>김데니스호7251</v>
      </c>
      <c r="E936" s="89" t="s">
        <v>6337</v>
      </c>
      <c r="F936" s="90">
        <v>45998.38543981482</v>
      </c>
      <c r="G936" s="88" t="s">
        <v>4805</v>
      </c>
      <c r="H936" s="88" t="s">
        <v>6303</v>
      </c>
      <c r="I936" s="90">
        <v>45998.70699074074</v>
      </c>
    </row>
    <row r="937" ht="14.25" customHeight="1">
      <c r="A937" s="87">
        <v>936.0</v>
      </c>
      <c r="B937" s="88" t="s">
        <v>3592</v>
      </c>
      <c r="C937" s="89">
        <v>1.092647208E9</v>
      </c>
      <c r="D937" s="89" t="str">
        <f t="shared" si="1"/>
        <v>전현숙7208</v>
      </c>
      <c r="E937" s="89" t="s">
        <v>6338</v>
      </c>
      <c r="F937" s="90">
        <v>45998.385416666664</v>
      </c>
      <c r="G937" s="88" t="s">
        <v>4805</v>
      </c>
      <c r="H937" s="88" t="s">
        <v>5645</v>
      </c>
      <c r="I937" s="90">
        <v>45998.442083333335</v>
      </c>
    </row>
    <row r="938" ht="14.25" customHeight="1">
      <c r="A938" s="87">
        <v>937.0</v>
      </c>
      <c r="B938" s="88" t="s">
        <v>1990</v>
      </c>
      <c r="C938" s="89">
        <v>1.058808398E9</v>
      </c>
      <c r="D938" s="89" t="str">
        <f t="shared" si="1"/>
        <v>조원석8398</v>
      </c>
      <c r="E938" s="89" t="s">
        <v>6339</v>
      </c>
      <c r="F938" s="90">
        <v>45998.385300925926</v>
      </c>
      <c r="G938" s="88" t="s">
        <v>4805</v>
      </c>
      <c r="H938" s="88" t="s">
        <v>5645</v>
      </c>
      <c r="I938" s="90">
        <v>45998.44201388889</v>
      </c>
    </row>
    <row r="939" ht="14.25" customHeight="1">
      <c r="A939" s="87">
        <v>938.0</v>
      </c>
      <c r="B939" s="88" t="s">
        <v>2407</v>
      </c>
      <c r="C939" s="89">
        <v>1.090028171E9</v>
      </c>
      <c r="D939" s="89" t="str">
        <f t="shared" si="1"/>
        <v>임은정8171</v>
      </c>
      <c r="E939" s="89" t="s">
        <v>6340</v>
      </c>
      <c r="F939" s="90">
        <v>45998.38523148148</v>
      </c>
      <c r="G939" s="88" t="s">
        <v>4805</v>
      </c>
      <c r="H939" s="88" t="s">
        <v>6341</v>
      </c>
      <c r="I939" s="90">
        <v>45998.44196759259</v>
      </c>
    </row>
    <row r="940" ht="14.25" customHeight="1">
      <c r="A940" s="87">
        <v>939.0</v>
      </c>
      <c r="B940" s="88" t="s">
        <v>2798</v>
      </c>
      <c r="C940" s="89">
        <v>1.079062689E9</v>
      </c>
      <c r="D940" s="89" t="str">
        <f t="shared" si="1"/>
        <v>권민주2689</v>
      </c>
      <c r="E940" s="89" t="s">
        <v>6342</v>
      </c>
      <c r="F940" s="90">
        <v>45998.38517361111</v>
      </c>
      <c r="G940" s="88" t="s">
        <v>4805</v>
      </c>
      <c r="H940" s="88" t="s">
        <v>6343</v>
      </c>
      <c r="I940" s="90">
        <v>45998.70616898148</v>
      </c>
    </row>
    <row r="941" ht="14.25" customHeight="1">
      <c r="A941" s="87">
        <v>940.0</v>
      </c>
      <c r="B941" s="88" t="s">
        <v>4797</v>
      </c>
      <c r="C941" s="89">
        <v>1.062666306E9</v>
      </c>
      <c r="D941" s="89" t="str">
        <f t="shared" si="1"/>
        <v>손병기6306</v>
      </c>
      <c r="E941" s="89" t="s">
        <v>6344</v>
      </c>
      <c r="F941" s="90">
        <v>45998.38516203704</v>
      </c>
      <c r="G941" s="88" t="s">
        <v>4805</v>
      </c>
      <c r="H941" s="88" t="s">
        <v>6264</v>
      </c>
      <c r="I941" s="90">
        <v>45998.83212962963</v>
      </c>
    </row>
    <row r="942" ht="14.25" customHeight="1">
      <c r="A942" s="87">
        <v>941.0</v>
      </c>
      <c r="B942" s="88" t="s">
        <v>3856</v>
      </c>
      <c r="C942" s="89">
        <v>1.086430619E9</v>
      </c>
      <c r="D942" s="89" t="str">
        <f t="shared" si="1"/>
        <v>이희옥0619</v>
      </c>
      <c r="E942" s="89" t="s">
        <v>6345</v>
      </c>
      <c r="F942" s="90">
        <v>45998.38512731482</v>
      </c>
      <c r="G942" s="88" t="s">
        <v>4805</v>
      </c>
      <c r="H942" s="88" t="s">
        <v>6346</v>
      </c>
      <c r="I942" s="90">
        <v>45998.705104166664</v>
      </c>
    </row>
    <row r="943" ht="14.25" customHeight="1">
      <c r="A943" s="87">
        <v>942.0</v>
      </c>
      <c r="B943" s="88" t="s">
        <v>2612</v>
      </c>
      <c r="C943" s="89">
        <v>1.024381161E9</v>
      </c>
      <c r="D943" s="89" t="str">
        <f t="shared" si="1"/>
        <v>이수미1161</v>
      </c>
      <c r="E943" s="89" t="s">
        <v>6347</v>
      </c>
      <c r="F943" s="90">
        <v>45998.385046296295</v>
      </c>
      <c r="G943" s="88" t="s">
        <v>4805</v>
      </c>
      <c r="H943" s="88" t="s">
        <v>5645</v>
      </c>
      <c r="I943" s="90">
        <v>45998.44152777778</v>
      </c>
    </row>
    <row r="944" ht="14.25" customHeight="1">
      <c r="A944" s="87">
        <v>943.0</v>
      </c>
      <c r="B944" s="88" t="s">
        <v>2869</v>
      </c>
      <c r="C944" s="89">
        <v>1.066864166E9</v>
      </c>
      <c r="D944" s="89" t="str">
        <f t="shared" si="1"/>
        <v>안영규4166</v>
      </c>
      <c r="E944" s="89" t="s">
        <v>6348</v>
      </c>
      <c r="F944" s="90">
        <v>45998.38501157407</v>
      </c>
      <c r="G944" s="88" t="s">
        <v>4805</v>
      </c>
      <c r="H944" s="88" t="s">
        <v>5645</v>
      </c>
      <c r="I944" s="90">
        <v>45998.44143518519</v>
      </c>
    </row>
    <row r="945" ht="14.25" customHeight="1">
      <c r="A945" s="87">
        <v>944.0</v>
      </c>
      <c r="B945" s="88" t="s">
        <v>2813</v>
      </c>
      <c r="C945" s="89">
        <v>1.031199582E9</v>
      </c>
      <c r="D945" s="89" t="str">
        <f t="shared" si="1"/>
        <v>김미숙9582</v>
      </c>
      <c r="E945" s="89" t="s">
        <v>6349</v>
      </c>
      <c r="F945" s="90">
        <v>45998.38494212963</v>
      </c>
      <c r="G945" s="88" t="s">
        <v>4805</v>
      </c>
      <c r="H945" s="88" t="s">
        <v>6350</v>
      </c>
      <c r="I945" s="90">
        <v>45998.70446759259</v>
      </c>
    </row>
    <row r="946" ht="14.25" customHeight="1">
      <c r="A946" s="87">
        <v>945.0</v>
      </c>
      <c r="B946" s="88" t="s">
        <v>2284</v>
      </c>
      <c r="C946" s="89">
        <v>1.071658428E9</v>
      </c>
      <c r="D946" s="89" t="str">
        <f t="shared" si="1"/>
        <v>박찬영8428</v>
      </c>
      <c r="E946" s="89" t="s">
        <v>6351</v>
      </c>
      <c r="F946" s="90">
        <v>45998.38490740741</v>
      </c>
      <c r="G946" s="88" t="s">
        <v>4805</v>
      </c>
      <c r="H946" s="88" t="s">
        <v>5645</v>
      </c>
      <c r="I946" s="90">
        <v>45998.44137731481</v>
      </c>
    </row>
    <row r="947" ht="14.25" customHeight="1">
      <c r="A947" s="87">
        <v>946.0</v>
      </c>
      <c r="B947" s="88" t="s">
        <v>3427</v>
      </c>
      <c r="C947" s="89">
        <v>1.082361319E9</v>
      </c>
      <c r="D947" s="89" t="str">
        <f t="shared" si="1"/>
        <v>원종순1319</v>
      </c>
      <c r="E947" s="89" t="s">
        <v>6352</v>
      </c>
      <c r="F947" s="90">
        <v>45998.38486111111</v>
      </c>
      <c r="G947" s="88" t="s">
        <v>4805</v>
      </c>
      <c r="H947" s="88" t="s">
        <v>5645</v>
      </c>
      <c r="I947" s="90">
        <v>45998.44130787037</v>
      </c>
    </row>
    <row r="948" ht="14.25" customHeight="1">
      <c r="A948" s="87">
        <v>947.0</v>
      </c>
      <c r="B948" s="88" t="s">
        <v>2875</v>
      </c>
      <c r="C948" s="89">
        <v>1.04763668E9</v>
      </c>
      <c r="D948" s="89" t="str">
        <f t="shared" si="1"/>
        <v>우진희6680</v>
      </c>
      <c r="E948" s="89" t="s">
        <v>6353</v>
      </c>
      <c r="F948" s="90">
        <v>45998.38486111111</v>
      </c>
      <c r="G948" s="88" t="s">
        <v>4805</v>
      </c>
      <c r="H948" s="88" t="s">
        <v>5921</v>
      </c>
      <c r="I948" s="90">
        <v>45998.654131944444</v>
      </c>
    </row>
    <row r="949" ht="14.25" customHeight="1">
      <c r="A949" s="87">
        <v>948.0</v>
      </c>
      <c r="B949" s="88" t="s">
        <v>2794</v>
      </c>
      <c r="C949" s="89">
        <v>1.062775423E9</v>
      </c>
      <c r="D949" s="89" t="str">
        <f t="shared" si="1"/>
        <v>강계순5423</v>
      </c>
      <c r="E949" s="89" t="s">
        <v>6354</v>
      </c>
      <c r="F949" s="90">
        <v>45998.38460648148</v>
      </c>
      <c r="G949" s="88" t="s">
        <v>4805</v>
      </c>
      <c r="H949" s="88" t="s">
        <v>5645</v>
      </c>
      <c r="I949" s="90">
        <v>45998.44121527778</v>
      </c>
    </row>
    <row r="950" ht="14.25" customHeight="1">
      <c r="A950" s="87">
        <v>949.0</v>
      </c>
      <c r="B950" s="88" t="s">
        <v>6355</v>
      </c>
      <c r="C950" s="89">
        <v>1.090041854E9</v>
      </c>
      <c r="D950" s="89" t="str">
        <f t="shared" si="1"/>
        <v>유형우1854</v>
      </c>
      <c r="E950" s="89" t="s">
        <v>6356</v>
      </c>
      <c r="F950" s="90">
        <v>45998.38459490741</v>
      </c>
      <c r="G950" s="88" t="s">
        <v>4805</v>
      </c>
      <c r="H950" s="88" t="s">
        <v>5321</v>
      </c>
      <c r="I950" s="90">
        <v>45998.83193287037</v>
      </c>
    </row>
    <row r="951" ht="14.25" customHeight="1">
      <c r="A951" s="87">
        <v>950.0</v>
      </c>
      <c r="B951" s="88" t="s">
        <v>2901</v>
      </c>
      <c r="C951" s="89">
        <v>1.07937263E9</v>
      </c>
      <c r="D951" s="89" t="str">
        <f t="shared" si="1"/>
        <v>임주연2630</v>
      </c>
      <c r="E951" s="89" t="s">
        <v>6357</v>
      </c>
      <c r="F951" s="90">
        <v>45998.38454861111</v>
      </c>
      <c r="G951" s="88" t="s">
        <v>4805</v>
      </c>
      <c r="H951" s="88" t="s">
        <v>5645</v>
      </c>
      <c r="I951" s="90">
        <v>45998.44113425926</v>
      </c>
    </row>
    <row r="952" ht="14.25" customHeight="1">
      <c r="A952" s="87">
        <v>951.0</v>
      </c>
      <c r="B952" s="88" t="s">
        <v>1183</v>
      </c>
      <c r="C952" s="89">
        <v>1.031847393E9</v>
      </c>
      <c r="D952" s="89" t="str">
        <f t="shared" si="1"/>
        <v>김현애7393</v>
      </c>
      <c r="E952" s="89" t="s">
        <v>6358</v>
      </c>
      <c r="F952" s="90">
        <v>45998.38449074074</v>
      </c>
      <c r="G952" s="88" t="s">
        <v>4805</v>
      </c>
      <c r="H952" s="88" t="s">
        <v>5921</v>
      </c>
      <c r="I952" s="90">
        <v>45998.65354166667</v>
      </c>
    </row>
    <row r="953" ht="14.25" customHeight="1">
      <c r="A953" s="87">
        <v>952.0</v>
      </c>
      <c r="B953" s="88" t="s">
        <v>6359</v>
      </c>
      <c r="C953" s="89">
        <v>1.077703717E9</v>
      </c>
      <c r="D953" s="89" t="str">
        <f t="shared" si="1"/>
        <v>이다빈3717</v>
      </c>
      <c r="E953" s="89" t="s">
        <v>6360</v>
      </c>
      <c r="F953" s="90">
        <v>45998.384467592594</v>
      </c>
      <c r="G953" s="88" t="s">
        <v>4805</v>
      </c>
      <c r="H953" s="88" t="s">
        <v>5645</v>
      </c>
      <c r="I953" s="90">
        <v>45998.441030092596</v>
      </c>
    </row>
    <row r="954" ht="14.25" customHeight="1">
      <c r="A954" s="87">
        <v>953.0</v>
      </c>
      <c r="B954" s="88" t="s">
        <v>5369</v>
      </c>
      <c r="C954" s="89">
        <v>1.03396479E9</v>
      </c>
      <c r="D954" s="89" t="str">
        <f t="shared" si="1"/>
        <v>최광자4790</v>
      </c>
      <c r="E954" s="89" t="s">
        <v>6361</v>
      </c>
      <c r="F954" s="90">
        <v>45998.384305555555</v>
      </c>
      <c r="G954" s="88" t="s">
        <v>4805</v>
      </c>
      <c r="H954" s="88" t="s">
        <v>6126</v>
      </c>
      <c r="I954" s="90">
        <v>45998.65287037037</v>
      </c>
    </row>
    <row r="955" ht="14.25" customHeight="1">
      <c r="A955" s="87">
        <v>954.0</v>
      </c>
      <c r="B955" s="88" t="s">
        <v>3431</v>
      </c>
      <c r="C955" s="89">
        <v>1.097710455E9</v>
      </c>
      <c r="D955" s="89" t="str">
        <f t="shared" si="1"/>
        <v>유연선0455</v>
      </c>
      <c r="E955" s="89" t="s">
        <v>6362</v>
      </c>
      <c r="F955" s="90">
        <v>45998.38427083333</v>
      </c>
      <c r="G955" s="88" t="s">
        <v>4805</v>
      </c>
      <c r="H955" s="88" t="s">
        <v>5645</v>
      </c>
      <c r="I955" s="90">
        <v>45998.44090277778</v>
      </c>
    </row>
    <row r="956" ht="14.25" customHeight="1">
      <c r="A956" s="87">
        <v>955.0</v>
      </c>
      <c r="B956" s="88" t="s">
        <v>2891</v>
      </c>
      <c r="C956" s="89">
        <v>1.096087595E9</v>
      </c>
      <c r="D956" s="89" t="str">
        <f t="shared" si="1"/>
        <v>이은령7595</v>
      </c>
      <c r="E956" s="89" t="s">
        <v>6363</v>
      </c>
      <c r="F956" s="90">
        <v>45998.38427083333</v>
      </c>
      <c r="G956" s="88" t="s">
        <v>4805</v>
      </c>
      <c r="H956" s="88" t="s">
        <v>6364</v>
      </c>
      <c r="I956" s="90">
        <v>45998.703125</v>
      </c>
    </row>
    <row r="957" ht="14.25" customHeight="1">
      <c r="A957" s="87">
        <v>956.0</v>
      </c>
      <c r="B957" s="88" t="s">
        <v>1043</v>
      </c>
      <c r="C957" s="89">
        <v>1.028045404E9</v>
      </c>
      <c r="D957" s="89" t="str">
        <f t="shared" si="1"/>
        <v>안은숙5404</v>
      </c>
      <c r="E957" s="89" t="s">
        <v>6365</v>
      </c>
      <c r="F957" s="90">
        <v>45998.38425925926</v>
      </c>
      <c r="G957" s="88" t="s">
        <v>4805</v>
      </c>
      <c r="H957" s="88" t="s">
        <v>6366</v>
      </c>
      <c r="I957" s="90">
        <v>45998.702581018515</v>
      </c>
    </row>
    <row r="958" ht="14.25" customHeight="1">
      <c r="A958" s="87">
        <v>957.0</v>
      </c>
      <c r="B958" s="88" t="s">
        <v>2958</v>
      </c>
      <c r="C958" s="89">
        <v>1.05644362E9</v>
      </c>
      <c r="D958" s="89" t="str">
        <f t="shared" si="1"/>
        <v>강윤진3620</v>
      </c>
      <c r="E958" s="89" t="s">
        <v>6367</v>
      </c>
      <c r="F958" s="90">
        <v>45998.38423611111</v>
      </c>
      <c r="G958" s="88" t="s">
        <v>4805</v>
      </c>
      <c r="H958" s="88" t="s">
        <v>5457</v>
      </c>
      <c r="I958" s="90">
        <v>45998.65225694444</v>
      </c>
    </row>
    <row r="959" ht="14.25" customHeight="1">
      <c r="A959" s="87">
        <v>958.0</v>
      </c>
      <c r="B959" s="88" t="s">
        <v>6368</v>
      </c>
      <c r="C959" s="89">
        <v>1.02975214E9</v>
      </c>
      <c r="D959" s="89" t="str">
        <f t="shared" si="1"/>
        <v>함영희2140</v>
      </c>
      <c r="E959" s="89" t="s">
        <v>6369</v>
      </c>
      <c r="F959" s="90">
        <v>45998.384201388886</v>
      </c>
      <c r="G959" s="88" t="s">
        <v>4805</v>
      </c>
      <c r="H959" s="89" t="s">
        <v>6370</v>
      </c>
      <c r="I959" s="90">
        <v>45998.440775462965</v>
      </c>
    </row>
    <row r="960" ht="14.25" customHeight="1">
      <c r="A960" s="87">
        <v>959.0</v>
      </c>
      <c r="B960" s="88" t="s">
        <v>1320</v>
      </c>
      <c r="C960" s="89">
        <v>1.079799896E9</v>
      </c>
      <c r="D960" s="89" t="str">
        <f t="shared" si="1"/>
        <v>황선영9896</v>
      </c>
      <c r="E960" s="89" t="s">
        <v>6371</v>
      </c>
      <c r="F960" s="90">
        <v>45998.38415509259</v>
      </c>
      <c r="G960" s="88" t="s">
        <v>4805</v>
      </c>
      <c r="H960" s="88" t="s">
        <v>6372</v>
      </c>
      <c r="I960" s="90">
        <v>45998.702002314814</v>
      </c>
    </row>
    <row r="961" ht="14.25" customHeight="1">
      <c r="A961" s="87">
        <v>960.0</v>
      </c>
      <c r="B961" s="88" t="s">
        <v>2612</v>
      </c>
      <c r="C961" s="89">
        <v>1.024381161E9</v>
      </c>
      <c r="D961" s="89" t="str">
        <f t="shared" si="1"/>
        <v>이수미1161</v>
      </c>
      <c r="E961" s="89" t="s">
        <v>6373</v>
      </c>
      <c r="F961" s="90">
        <v>45998.38415509259</v>
      </c>
      <c r="G961" s="88" t="s">
        <v>4805</v>
      </c>
      <c r="H961" s="88" t="s">
        <v>5645</v>
      </c>
      <c r="I961" s="90">
        <v>45998.44</v>
      </c>
    </row>
    <row r="962" ht="14.25" customHeight="1">
      <c r="A962" s="87">
        <v>961.0</v>
      </c>
      <c r="B962" s="88" t="s">
        <v>2895</v>
      </c>
      <c r="C962" s="89">
        <v>1.072464461E9</v>
      </c>
      <c r="D962" s="89" t="str">
        <f t="shared" si="1"/>
        <v>이정숙4461</v>
      </c>
      <c r="E962" s="89" t="s">
        <v>6374</v>
      </c>
      <c r="F962" s="90">
        <v>45998.38413194445</v>
      </c>
      <c r="G962" s="88" t="s">
        <v>4805</v>
      </c>
      <c r="H962" s="88" t="s">
        <v>5645</v>
      </c>
      <c r="I962" s="90">
        <v>45998.43990740741</v>
      </c>
    </row>
    <row r="963" ht="14.25" customHeight="1">
      <c r="A963" s="87">
        <v>962.0</v>
      </c>
      <c r="B963" s="88" t="s">
        <v>4553</v>
      </c>
      <c r="C963" s="89">
        <v>1.077761142E9</v>
      </c>
      <c r="D963" s="89" t="str">
        <f t="shared" si="1"/>
        <v>황우건1142</v>
      </c>
      <c r="E963" s="89" t="s">
        <v>6375</v>
      </c>
      <c r="F963" s="90">
        <v>45998.38412037037</v>
      </c>
      <c r="G963" s="88" t="s">
        <v>4805</v>
      </c>
      <c r="H963" s="88" t="s">
        <v>6376</v>
      </c>
      <c r="I963" s="90">
        <v>45998.70034722222</v>
      </c>
    </row>
    <row r="964" ht="14.25" customHeight="1">
      <c r="A964" s="87">
        <v>963.0</v>
      </c>
      <c r="B964" s="88" t="s">
        <v>1168</v>
      </c>
      <c r="C964" s="89">
        <v>1.040234973E9</v>
      </c>
      <c r="D964" s="89" t="str">
        <f t="shared" si="1"/>
        <v>서우주4973</v>
      </c>
      <c r="E964" s="89" t="s">
        <v>6377</v>
      </c>
      <c r="F964" s="90">
        <v>45998.38412037037</v>
      </c>
      <c r="G964" s="88" t="s">
        <v>4805</v>
      </c>
      <c r="H964" s="88" t="s">
        <v>6378</v>
      </c>
      <c r="I964" s="90">
        <v>45998.82776620371</v>
      </c>
    </row>
    <row r="965" ht="14.25" customHeight="1">
      <c r="A965" s="87">
        <v>964.0</v>
      </c>
      <c r="B965" s="88" t="s">
        <v>2847</v>
      </c>
      <c r="C965" s="89">
        <v>1.075923233E9</v>
      </c>
      <c r="D965" s="89" t="str">
        <f t="shared" si="1"/>
        <v>박선영3233</v>
      </c>
      <c r="E965" s="89" t="s">
        <v>6379</v>
      </c>
      <c r="F965" s="90">
        <v>45998.3840625</v>
      </c>
      <c r="G965" s="88" t="s">
        <v>4805</v>
      </c>
      <c r="H965" s="88" t="s">
        <v>5645</v>
      </c>
      <c r="I965" s="90">
        <v>45998.439780092594</v>
      </c>
    </row>
    <row r="966" ht="14.25" customHeight="1">
      <c r="A966" s="87">
        <v>965.0</v>
      </c>
      <c r="B966" s="88" t="s">
        <v>4583</v>
      </c>
      <c r="C966" s="89">
        <v>1.063976446E9</v>
      </c>
      <c r="D966" s="89" t="str">
        <f t="shared" si="1"/>
        <v>장시아6446</v>
      </c>
      <c r="E966" s="89" t="s">
        <v>6380</v>
      </c>
      <c r="F966" s="90">
        <v>45998.384039351855</v>
      </c>
      <c r="G966" s="88" t="s">
        <v>4805</v>
      </c>
      <c r="H966" s="88" t="s">
        <v>5457</v>
      </c>
      <c r="I966" s="90">
        <v>45998.651342592595</v>
      </c>
    </row>
    <row r="967" ht="14.25" customHeight="1">
      <c r="A967" s="87">
        <v>966.0</v>
      </c>
      <c r="B967" s="88" t="s">
        <v>5744</v>
      </c>
      <c r="C967" s="89">
        <v>1.051227552E9</v>
      </c>
      <c r="D967" s="89" t="str">
        <f t="shared" si="1"/>
        <v>오서연7552</v>
      </c>
      <c r="E967" s="89" t="s">
        <v>6381</v>
      </c>
      <c r="F967" s="90">
        <v>45998.38402777778</v>
      </c>
      <c r="G967" s="88" t="s">
        <v>4805</v>
      </c>
      <c r="H967" s="88" t="s">
        <v>5433</v>
      </c>
      <c r="I967" s="90">
        <v>45998.702199074076</v>
      </c>
    </row>
    <row r="968" ht="14.25" customHeight="1">
      <c r="A968" s="87">
        <v>967.0</v>
      </c>
      <c r="B968" s="88" t="s">
        <v>6382</v>
      </c>
      <c r="C968" s="89">
        <v>1.045010208E9</v>
      </c>
      <c r="D968" s="89" t="str">
        <f t="shared" si="1"/>
        <v>신수경0208</v>
      </c>
      <c r="E968" s="89" t="s">
        <v>6383</v>
      </c>
      <c r="F968" s="90">
        <v>45998.38400462963</v>
      </c>
      <c r="G968" s="88" t="s">
        <v>4805</v>
      </c>
      <c r="H968" s="88" t="s">
        <v>6384</v>
      </c>
      <c r="I968" s="90">
        <v>45998.651192129626</v>
      </c>
    </row>
    <row r="969" ht="14.25" customHeight="1">
      <c r="A969" s="87">
        <v>968.0</v>
      </c>
      <c r="B969" s="88" t="s">
        <v>2917</v>
      </c>
      <c r="C969" s="89">
        <v>1.063195117E9</v>
      </c>
      <c r="D969" s="89" t="str">
        <f t="shared" si="1"/>
        <v>최문희5117</v>
      </c>
      <c r="E969" s="89" t="s">
        <v>6385</v>
      </c>
      <c r="F969" s="90">
        <v>45998.383993055555</v>
      </c>
      <c r="G969" s="88" t="s">
        <v>4805</v>
      </c>
      <c r="H969" s="88" t="s">
        <v>5457</v>
      </c>
      <c r="I969" s="90">
        <v>45998.650972222225</v>
      </c>
    </row>
    <row r="970" ht="14.25" customHeight="1">
      <c r="A970" s="87">
        <v>969.0</v>
      </c>
      <c r="B970" s="88" t="s">
        <v>4641</v>
      </c>
      <c r="C970" s="89">
        <v>1.041504541E9</v>
      </c>
      <c r="D970" s="89" t="str">
        <f t="shared" si="1"/>
        <v>정선화4541</v>
      </c>
      <c r="E970" s="89" t="s">
        <v>6386</v>
      </c>
      <c r="F970" s="90">
        <v>45998.38392361111</v>
      </c>
      <c r="G970" s="88" t="s">
        <v>4805</v>
      </c>
      <c r="H970" s="88" t="s">
        <v>5433</v>
      </c>
      <c r="I970" s="90">
        <v>45998.69962962963</v>
      </c>
    </row>
    <row r="971" ht="14.25" customHeight="1">
      <c r="A971" s="87">
        <v>970.0</v>
      </c>
      <c r="B971" s="88" t="s">
        <v>2612</v>
      </c>
      <c r="C971" s="89">
        <v>1.024381161E9</v>
      </c>
      <c r="D971" s="89" t="str">
        <f t="shared" si="1"/>
        <v>이수미1161</v>
      </c>
      <c r="E971" s="89" t="s">
        <v>6387</v>
      </c>
      <c r="F971" s="90">
        <v>45998.38392361111</v>
      </c>
      <c r="G971" s="88" t="s">
        <v>4805</v>
      </c>
      <c r="H971" s="88" t="s">
        <v>6388</v>
      </c>
      <c r="I971" s="90">
        <v>45998.650717592594</v>
      </c>
    </row>
    <row r="972" ht="14.25" customHeight="1">
      <c r="A972" s="87">
        <v>971.0</v>
      </c>
      <c r="B972" s="88" t="s">
        <v>1959</v>
      </c>
      <c r="C972" s="89">
        <v>1.07773336E9</v>
      </c>
      <c r="D972" s="89" t="str">
        <f t="shared" si="1"/>
        <v>정명지3360</v>
      </c>
      <c r="E972" s="89" t="s">
        <v>6389</v>
      </c>
      <c r="F972" s="90">
        <v>45998.383888888886</v>
      </c>
      <c r="G972" s="88" t="s">
        <v>4805</v>
      </c>
      <c r="H972" s="88" t="s">
        <v>6390</v>
      </c>
      <c r="I972" s="90">
        <v>45998.69914351852</v>
      </c>
    </row>
    <row r="973" ht="14.25" customHeight="1">
      <c r="A973" s="87">
        <v>972.0</v>
      </c>
      <c r="B973" s="88" t="s">
        <v>3839</v>
      </c>
      <c r="C973" s="89">
        <v>1.029786549E9</v>
      </c>
      <c r="D973" s="89" t="str">
        <f t="shared" si="1"/>
        <v>양영주6549</v>
      </c>
      <c r="E973" s="89" t="s">
        <v>6391</v>
      </c>
      <c r="F973" s="90">
        <v>45998.38366898148</v>
      </c>
      <c r="G973" s="88" t="s">
        <v>4805</v>
      </c>
      <c r="H973" s="88" t="s">
        <v>6392</v>
      </c>
      <c r="I973" s="90">
        <v>45998.69883101852</v>
      </c>
    </row>
    <row r="974" ht="14.25" customHeight="1">
      <c r="A974" s="87">
        <v>973.0</v>
      </c>
      <c r="B974" s="88" t="s">
        <v>2571</v>
      </c>
      <c r="C974" s="89">
        <v>1.048525715E9</v>
      </c>
      <c r="D974" s="89" t="str">
        <f t="shared" si="1"/>
        <v>손근현5715</v>
      </c>
      <c r="E974" s="89" t="s">
        <v>6393</v>
      </c>
      <c r="F974" s="90">
        <v>45998.38361111111</v>
      </c>
      <c r="G974" s="88" t="s">
        <v>4805</v>
      </c>
      <c r="H974" s="88" t="s">
        <v>6394</v>
      </c>
      <c r="I974" s="90">
        <v>45998.46028935185</v>
      </c>
    </row>
    <row r="975" ht="14.25" customHeight="1">
      <c r="A975" s="87">
        <v>974.0</v>
      </c>
      <c r="B975" s="88" t="s">
        <v>6395</v>
      </c>
      <c r="C975" s="89">
        <v>1.079143325E9</v>
      </c>
      <c r="D975" s="89" t="str">
        <f t="shared" si="1"/>
        <v>민성원3325</v>
      </c>
      <c r="E975" s="89" t="s">
        <v>6396</v>
      </c>
      <c r="F975" s="90">
        <v>45998.38358796296</v>
      </c>
      <c r="G975" s="88" t="s">
        <v>4805</v>
      </c>
      <c r="H975" s="89" t="s">
        <v>6397</v>
      </c>
      <c r="I975" s="90">
        <v>45998.439050925925</v>
      </c>
    </row>
    <row r="976" ht="14.25" customHeight="1">
      <c r="A976" s="87">
        <v>975.0</v>
      </c>
      <c r="B976" s="88" t="s">
        <v>1539</v>
      </c>
      <c r="C976" s="89">
        <v>1.039004585E9</v>
      </c>
      <c r="D976" s="89" t="str">
        <f t="shared" si="1"/>
        <v>정경희4585</v>
      </c>
      <c r="E976" s="89" t="s">
        <v>6398</v>
      </c>
      <c r="F976" s="90">
        <v>45998.383564814816</v>
      </c>
      <c r="G976" s="88" t="s">
        <v>4805</v>
      </c>
      <c r="H976" s="88" t="s">
        <v>5645</v>
      </c>
      <c r="I976" s="90">
        <v>45998.43881944445</v>
      </c>
    </row>
    <row r="977" ht="14.25" customHeight="1">
      <c r="A977" s="87">
        <v>976.0</v>
      </c>
      <c r="B977" s="88" t="s">
        <v>2913</v>
      </c>
      <c r="C977" s="89">
        <v>1.045227299E9</v>
      </c>
      <c r="D977" s="89" t="str">
        <f t="shared" si="1"/>
        <v>조유진7299</v>
      </c>
      <c r="E977" s="89" t="s">
        <v>6399</v>
      </c>
      <c r="F977" s="90">
        <v>45998.38354166667</v>
      </c>
      <c r="G977" s="88" t="s">
        <v>4805</v>
      </c>
      <c r="H977" s="88" t="s">
        <v>5457</v>
      </c>
      <c r="I977" s="90">
        <v>45998.6502662037</v>
      </c>
    </row>
    <row r="978" ht="14.25" customHeight="1">
      <c r="A978" s="87">
        <v>977.0</v>
      </c>
      <c r="B978" s="88" t="s">
        <v>1439</v>
      </c>
      <c r="C978" s="89">
        <v>1.062214246E9</v>
      </c>
      <c r="D978" s="89" t="str">
        <f t="shared" si="1"/>
        <v>김종환4246</v>
      </c>
      <c r="E978" s="89" t="s">
        <v>6400</v>
      </c>
      <c r="F978" s="90">
        <v>45998.38353009259</v>
      </c>
      <c r="G978" s="88" t="s">
        <v>4805</v>
      </c>
      <c r="H978" s="88" t="s">
        <v>6401</v>
      </c>
      <c r="I978" s="90">
        <v>45998.80196759259</v>
      </c>
    </row>
    <row r="979" ht="14.25" customHeight="1">
      <c r="A979" s="87">
        <v>978.0</v>
      </c>
      <c r="B979" s="88" t="s">
        <v>6402</v>
      </c>
      <c r="C979" s="89">
        <v>1.041941645E9</v>
      </c>
      <c r="D979" s="89" t="str">
        <f t="shared" si="1"/>
        <v>민충식1645</v>
      </c>
      <c r="E979" s="89" t="s">
        <v>6403</v>
      </c>
      <c r="F979" s="90">
        <v>45998.38349537037</v>
      </c>
      <c r="G979" s="88" t="s">
        <v>4805</v>
      </c>
      <c r="H979" s="88" t="s">
        <v>6378</v>
      </c>
      <c r="I979" s="90">
        <v>45998.827685185184</v>
      </c>
    </row>
    <row r="980" ht="14.25" customHeight="1">
      <c r="A980" s="87">
        <v>979.0</v>
      </c>
      <c r="B980" s="88" t="s">
        <v>2124</v>
      </c>
      <c r="C980" s="89">
        <v>1.098430715E9</v>
      </c>
      <c r="D980" s="89" t="str">
        <f t="shared" si="1"/>
        <v>배희수0715</v>
      </c>
      <c r="E980" s="89" t="s">
        <v>6404</v>
      </c>
      <c r="F980" s="90">
        <v>45998.38348379629</v>
      </c>
      <c r="G980" s="88" t="s">
        <v>4805</v>
      </c>
      <c r="H980" s="88" t="s">
        <v>6405</v>
      </c>
      <c r="I980" s="90">
        <v>45998.64197916666</v>
      </c>
    </row>
    <row r="981" ht="14.25" customHeight="1">
      <c r="A981" s="87">
        <v>980.0</v>
      </c>
      <c r="B981" s="88" t="s">
        <v>3537</v>
      </c>
      <c r="C981" s="89">
        <v>1.084067067E9</v>
      </c>
      <c r="D981" s="89" t="str">
        <f t="shared" si="1"/>
        <v>이혜옥7067</v>
      </c>
      <c r="E981" s="89" t="s">
        <v>6406</v>
      </c>
      <c r="F981" s="90">
        <v>45998.3834375</v>
      </c>
      <c r="G981" s="88" t="s">
        <v>4805</v>
      </c>
      <c r="H981" s="88" t="s">
        <v>6407</v>
      </c>
      <c r="I981" s="90">
        <v>45998.64152777778</v>
      </c>
    </row>
    <row r="982" ht="14.25" customHeight="1">
      <c r="A982" s="87">
        <v>981.0</v>
      </c>
      <c r="B982" s="88" t="s">
        <v>5744</v>
      </c>
      <c r="C982" s="89">
        <v>1.051227552E9</v>
      </c>
      <c r="D982" s="89" t="str">
        <f t="shared" si="1"/>
        <v>오서연7552</v>
      </c>
      <c r="E982" s="89" t="s">
        <v>6408</v>
      </c>
      <c r="F982" s="90">
        <v>45998.383425925924</v>
      </c>
      <c r="G982" s="88" t="s">
        <v>4805</v>
      </c>
      <c r="H982" s="88" t="s">
        <v>6409</v>
      </c>
      <c r="I982" s="90">
        <v>45998.697916666664</v>
      </c>
    </row>
    <row r="983" ht="14.25" customHeight="1">
      <c r="A983" s="87">
        <v>982.0</v>
      </c>
      <c r="B983" s="88" t="s">
        <v>6239</v>
      </c>
      <c r="C983" s="89">
        <v>1.063530479E9</v>
      </c>
      <c r="D983" s="89" t="str">
        <f t="shared" si="1"/>
        <v>오경순0479</v>
      </c>
      <c r="E983" s="89" t="s">
        <v>6410</v>
      </c>
      <c r="F983" s="90">
        <v>45998.38340277778</v>
      </c>
      <c r="G983" s="88" t="s">
        <v>4805</v>
      </c>
      <c r="H983" s="88" t="s">
        <v>6411</v>
      </c>
      <c r="I983" s="90">
        <v>45998.69613425926</v>
      </c>
    </row>
    <row r="984" ht="14.25" customHeight="1">
      <c r="A984" s="87">
        <v>983.0</v>
      </c>
      <c r="B984" s="88" t="s">
        <v>4389</v>
      </c>
      <c r="C984" s="89">
        <v>1.056712676E9</v>
      </c>
      <c r="D984" s="89" t="str">
        <f t="shared" si="1"/>
        <v>서민정2676</v>
      </c>
      <c r="E984" s="89" t="s">
        <v>6412</v>
      </c>
      <c r="F984" s="90">
        <v>45998.383368055554</v>
      </c>
      <c r="G984" s="88" t="s">
        <v>4805</v>
      </c>
      <c r="H984" s="88" t="s">
        <v>5815</v>
      </c>
      <c r="I984" s="90">
        <v>45998.64119212963</v>
      </c>
    </row>
    <row r="985" ht="14.25" customHeight="1">
      <c r="A985" s="87">
        <v>984.0</v>
      </c>
      <c r="B985" s="88" t="s">
        <v>3554</v>
      </c>
      <c r="C985" s="89">
        <v>1.03738709E9</v>
      </c>
      <c r="D985" s="89" t="str">
        <f t="shared" si="1"/>
        <v>임영희7090</v>
      </c>
      <c r="E985" s="89" t="s">
        <v>6413</v>
      </c>
      <c r="F985" s="90">
        <v>45998.383356481485</v>
      </c>
      <c r="G985" s="88" t="s">
        <v>4805</v>
      </c>
      <c r="H985" s="88" t="s">
        <v>6414</v>
      </c>
      <c r="I985" s="90">
        <v>45998.63962962963</v>
      </c>
    </row>
    <row r="986" ht="14.25" customHeight="1">
      <c r="A986" s="87">
        <v>985.0</v>
      </c>
      <c r="B986" s="88" t="s">
        <v>2939</v>
      </c>
      <c r="C986" s="89">
        <v>1.091067413E9</v>
      </c>
      <c r="D986" s="89" t="str">
        <f t="shared" si="1"/>
        <v>홍유식7413</v>
      </c>
      <c r="E986" s="89" t="s">
        <v>6415</v>
      </c>
      <c r="F986" s="90">
        <v>45998.38334490741</v>
      </c>
      <c r="G986" s="88" t="s">
        <v>4805</v>
      </c>
      <c r="H986" s="88" t="s">
        <v>6416</v>
      </c>
      <c r="I986" s="90">
        <v>45998.63885416667</v>
      </c>
    </row>
    <row r="987" ht="14.25" customHeight="1">
      <c r="A987" s="87">
        <v>986.0</v>
      </c>
      <c r="B987" s="88" t="s">
        <v>6417</v>
      </c>
      <c r="C987" s="89">
        <v>1.094294876E9</v>
      </c>
      <c r="D987" s="89" t="str">
        <f t="shared" si="1"/>
        <v>권순영4876</v>
      </c>
      <c r="E987" s="89" t="s">
        <v>6418</v>
      </c>
      <c r="F987" s="90">
        <v>45998.38319444445</v>
      </c>
      <c r="G987" s="88" t="s">
        <v>4805</v>
      </c>
      <c r="H987" s="88" t="s">
        <v>6419</v>
      </c>
      <c r="I987" s="90">
        <v>45998.69578703704</v>
      </c>
    </row>
    <row r="988" ht="14.25" customHeight="1">
      <c r="A988" s="87">
        <v>987.0</v>
      </c>
      <c r="B988" s="88" t="s">
        <v>3598</v>
      </c>
      <c r="C988" s="89">
        <v>1.022567722E9</v>
      </c>
      <c r="D988" s="89" t="str">
        <f t="shared" si="1"/>
        <v>정경숙7722</v>
      </c>
      <c r="E988" s="89" t="s">
        <v>6420</v>
      </c>
      <c r="F988" s="90">
        <v>45998.38315972222</v>
      </c>
      <c r="G988" s="88" t="s">
        <v>4805</v>
      </c>
      <c r="H988" s="88" t="s">
        <v>6409</v>
      </c>
      <c r="I988" s="90">
        <v>45998.697384259256</v>
      </c>
    </row>
    <row r="989" ht="14.25" customHeight="1">
      <c r="A989" s="87">
        <v>988.0</v>
      </c>
      <c r="B989" s="88" t="s">
        <v>6421</v>
      </c>
      <c r="C989" s="89">
        <v>1.089554511E9</v>
      </c>
      <c r="D989" s="89" t="str">
        <f t="shared" si="1"/>
        <v>김점순4511</v>
      </c>
      <c r="E989" s="89" t="s">
        <v>6422</v>
      </c>
      <c r="F989" s="90">
        <v>45998.38314814815</v>
      </c>
      <c r="G989" s="88" t="s">
        <v>4805</v>
      </c>
      <c r="H989" s="88" t="s">
        <v>6423</v>
      </c>
      <c r="I989" s="90">
        <v>45998.63827546296</v>
      </c>
    </row>
    <row r="990" ht="14.25" customHeight="1">
      <c r="A990" s="87">
        <v>989.0</v>
      </c>
      <c r="B990" s="88" t="s">
        <v>6424</v>
      </c>
      <c r="C990" s="89">
        <v>1.090713775E9</v>
      </c>
      <c r="D990" s="89" t="str">
        <f t="shared" si="1"/>
        <v>서영3775</v>
      </c>
      <c r="E990" s="89" t="s">
        <v>6425</v>
      </c>
      <c r="F990" s="90">
        <v>45998.38300925926</v>
      </c>
      <c r="G990" s="88" t="s">
        <v>4805</v>
      </c>
      <c r="H990" s="88" t="s">
        <v>6426</v>
      </c>
      <c r="I990" s="90">
        <v>45998.69541666667</v>
      </c>
    </row>
    <row r="991" ht="14.25" customHeight="1">
      <c r="A991" s="87">
        <v>990.0</v>
      </c>
      <c r="B991" s="88" t="s">
        <v>6427</v>
      </c>
      <c r="C991" s="89">
        <v>1.036135974E9</v>
      </c>
      <c r="D991" s="89" t="str">
        <f t="shared" si="1"/>
        <v>노근아5974</v>
      </c>
      <c r="E991" s="89" t="s">
        <v>6428</v>
      </c>
      <c r="F991" s="90">
        <v>45998.38297453704</v>
      </c>
      <c r="G991" s="88" t="s">
        <v>4805</v>
      </c>
      <c r="H991" s="88" t="s">
        <v>6419</v>
      </c>
      <c r="I991" s="90">
        <v>45998.69495370371</v>
      </c>
    </row>
    <row r="992" ht="14.25" customHeight="1">
      <c r="A992" s="87">
        <v>991.0</v>
      </c>
      <c r="B992" s="88" t="s">
        <v>2784</v>
      </c>
      <c r="C992" s="89">
        <v>1.080199889E9</v>
      </c>
      <c r="D992" s="89" t="str">
        <f t="shared" si="1"/>
        <v>이미희9889</v>
      </c>
      <c r="E992" s="89" t="s">
        <v>6429</v>
      </c>
      <c r="F992" s="90">
        <v>45998.38297453704</v>
      </c>
      <c r="G992" s="88" t="s">
        <v>4805</v>
      </c>
      <c r="H992" s="88" t="s">
        <v>6430</v>
      </c>
      <c r="I992" s="90">
        <v>45998.6947337963</v>
      </c>
    </row>
    <row r="993" ht="14.25" customHeight="1">
      <c r="A993" s="87">
        <v>992.0</v>
      </c>
      <c r="B993" s="88" t="s">
        <v>6431</v>
      </c>
      <c r="C993" s="89">
        <v>1.055313799E9</v>
      </c>
      <c r="D993" s="89" t="str">
        <f t="shared" si="1"/>
        <v>지은으3799</v>
      </c>
      <c r="E993" s="89" t="s">
        <v>6432</v>
      </c>
      <c r="F993" s="90">
        <v>45998.3828587963</v>
      </c>
      <c r="G993" s="88" t="s">
        <v>4805</v>
      </c>
      <c r="H993" s="88" t="s">
        <v>6419</v>
      </c>
      <c r="I993" s="90">
        <v>45998.69342592593</v>
      </c>
    </row>
    <row r="994" ht="14.25" customHeight="1">
      <c r="A994" s="87">
        <v>993.0</v>
      </c>
      <c r="B994" s="88" t="s">
        <v>2315</v>
      </c>
      <c r="C994" s="89">
        <v>1.051674334E9</v>
      </c>
      <c r="D994" s="89" t="str">
        <f t="shared" si="1"/>
        <v>채경숙4334</v>
      </c>
      <c r="E994" s="89" t="s">
        <v>6433</v>
      </c>
      <c r="F994" s="90">
        <v>45998.38284722222</v>
      </c>
      <c r="G994" s="88" t="s">
        <v>4805</v>
      </c>
      <c r="H994" s="88" t="s">
        <v>6154</v>
      </c>
      <c r="I994" s="90">
        <v>45998.63753472222</v>
      </c>
    </row>
    <row r="995" ht="14.25" customHeight="1">
      <c r="A995" s="87">
        <v>994.0</v>
      </c>
      <c r="B995" s="88" t="s">
        <v>1780</v>
      </c>
      <c r="C995" s="89">
        <v>1.057893936E9</v>
      </c>
      <c r="D995" s="89" t="str">
        <f t="shared" si="1"/>
        <v>김지원3936</v>
      </c>
      <c r="E995" s="89" t="s">
        <v>6434</v>
      </c>
      <c r="F995" s="90">
        <v>45998.382789351854</v>
      </c>
      <c r="G995" s="88" t="s">
        <v>4805</v>
      </c>
      <c r="H995" s="88" t="s">
        <v>6419</v>
      </c>
      <c r="I995" s="90">
        <v>45998.69306712963</v>
      </c>
    </row>
    <row r="996" ht="14.25" customHeight="1">
      <c r="A996" s="87">
        <v>995.0</v>
      </c>
      <c r="B996" s="88" t="s">
        <v>6435</v>
      </c>
      <c r="C996" s="89">
        <v>1.075072242E9</v>
      </c>
      <c r="D996" s="89" t="str">
        <f t="shared" si="1"/>
        <v>손미경2242</v>
      </c>
      <c r="E996" s="89" t="s">
        <v>6436</v>
      </c>
      <c r="F996" s="90">
        <v>45998.38275462963</v>
      </c>
      <c r="G996" s="88" t="s">
        <v>4805</v>
      </c>
      <c r="H996" s="88" t="s">
        <v>6409</v>
      </c>
      <c r="I996" s="90">
        <v>45998.68952546296</v>
      </c>
    </row>
    <row r="997" ht="14.25" customHeight="1">
      <c r="A997" s="87">
        <v>996.0</v>
      </c>
      <c r="B997" s="88" t="s">
        <v>5061</v>
      </c>
      <c r="C997" s="89">
        <v>1.076625506E9</v>
      </c>
      <c r="D997" s="89" t="str">
        <f t="shared" si="1"/>
        <v>박규순5506</v>
      </c>
      <c r="E997" s="89" t="s">
        <v>6437</v>
      </c>
      <c r="F997" s="90">
        <v>45998.382685185185</v>
      </c>
      <c r="G997" s="88" t="s">
        <v>4805</v>
      </c>
      <c r="H997" s="88" t="s">
        <v>6419</v>
      </c>
      <c r="I997" s="90">
        <v>45998.689039351855</v>
      </c>
    </row>
    <row r="998" ht="14.25" customHeight="1">
      <c r="A998" s="87">
        <v>997.0</v>
      </c>
      <c r="B998" s="88" t="s">
        <v>3120</v>
      </c>
      <c r="C998" s="89">
        <v>1.026189663E9</v>
      </c>
      <c r="D998" s="89" t="str">
        <f t="shared" si="1"/>
        <v>김원모9663</v>
      </c>
      <c r="E998" s="89" t="s">
        <v>6438</v>
      </c>
      <c r="F998" s="90">
        <v>45998.382685185185</v>
      </c>
      <c r="G998" s="88" t="s">
        <v>4805</v>
      </c>
      <c r="H998" s="88" t="s">
        <v>6439</v>
      </c>
      <c r="I998" s="90">
        <v>45998.63663194444</v>
      </c>
    </row>
    <row r="999" ht="14.25" customHeight="1">
      <c r="A999" s="87">
        <v>998.0</v>
      </c>
      <c r="B999" s="88" t="s">
        <v>2253</v>
      </c>
      <c r="C999" s="89">
        <v>1.033384297E9</v>
      </c>
      <c r="D999" s="89" t="str">
        <f t="shared" si="1"/>
        <v>박민경4297</v>
      </c>
      <c r="E999" s="89" t="s">
        <v>6440</v>
      </c>
      <c r="F999" s="90">
        <v>45998.38253472222</v>
      </c>
      <c r="G999" s="88" t="s">
        <v>4805</v>
      </c>
      <c r="H999" s="88" t="s">
        <v>6441</v>
      </c>
      <c r="I999" s="90">
        <v>45998.82425925926</v>
      </c>
    </row>
    <row r="1000" ht="14.25" customHeight="1">
      <c r="A1000" s="87">
        <v>999.0</v>
      </c>
      <c r="B1000" s="88" t="s">
        <v>1934</v>
      </c>
      <c r="C1000" s="89">
        <v>1.096237244E9</v>
      </c>
      <c r="D1000" s="89" t="str">
        <f t="shared" si="1"/>
        <v>장신영7244</v>
      </c>
      <c r="E1000" s="89" t="s">
        <v>6442</v>
      </c>
      <c r="F1000" s="90">
        <v>45998.382523148146</v>
      </c>
      <c r="G1000" s="88" t="s">
        <v>4805</v>
      </c>
      <c r="H1000" s="88" t="s">
        <v>5645</v>
      </c>
      <c r="I1000" s="90">
        <v>45998.43697916667</v>
      </c>
    </row>
    <row r="1001" ht="14.25" customHeight="1">
      <c r="A1001" s="87">
        <v>1000.0</v>
      </c>
      <c r="B1001" s="88" t="s">
        <v>5677</v>
      </c>
      <c r="C1001" s="89">
        <v>1.065742562E9</v>
      </c>
      <c r="D1001" s="89" t="str">
        <f t="shared" si="1"/>
        <v>이숙자2562</v>
      </c>
      <c r="E1001" s="89" t="s">
        <v>6443</v>
      </c>
      <c r="F1001" s="90">
        <v>45998.382106481484</v>
      </c>
      <c r="G1001" s="88" t="s">
        <v>4805</v>
      </c>
      <c r="H1001" s="88" t="s">
        <v>6444</v>
      </c>
      <c r="I1001" s="90">
        <v>45998.68846064815</v>
      </c>
    </row>
    <row r="1002" ht="14.25" customHeight="1">
      <c r="A1002" s="87">
        <v>1001.0</v>
      </c>
      <c r="B1002" s="88" t="s">
        <v>6445</v>
      </c>
      <c r="C1002" s="89">
        <v>1.06213649E9</v>
      </c>
      <c r="D1002" s="89" t="str">
        <f t="shared" si="1"/>
        <v>김은영6490</v>
      </c>
      <c r="E1002" s="89" t="s">
        <v>6446</v>
      </c>
      <c r="F1002" s="90">
        <v>45998.38209490741</v>
      </c>
      <c r="G1002" s="88" t="s">
        <v>4805</v>
      </c>
      <c r="H1002" s="88" t="s">
        <v>6447</v>
      </c>
      <c r="I1002" s="90">
        <v>45998.68800925926</v>
      </c>
    </row>
    <row r="1003" ht="14.25" customHeight="1">
      <c r="A1003" s="87">
        <v>1002.0</v>
      </c>
      <c r="B1003" s="88" t="s">
        <v>6448</v>
      </c>
      <c r="C1003" s="89">
        <v>1.099587978E9</v>
      </c>
      <c r="D1003" s="89" t="str">
        <f t="shared" si="1"/>
        <v>권기정7978</v>
      </c>
      <c r="E1003" s="89" t="s">
        <v>6449</v>
      </c>
      <c r="F1003" s="90">
        <v>45998.381944444445</v>
      </c>
      <c r="G1003" s="88" t="s">
        <v>4805</v>
      </c>
      <c r="H1003" s="88" t="s">
        <v>6450</v>
      </c>
      <c r="I1003" s="90">
        <v>45998.68736111111</v>
      </c>
    </row>
    <row r="1004" ht="14.25" customHeight="1">
      <c r="A1004" s="87">
        <v>1003.0</v>
      </c>
      <c r="B1004" s="88" t="s">
        <v>2923</v>
      </c>
      <c r="C1004" s="89">
        <v>1.077368663E9</v>
      </c>
      <c r="D1004" s="89" t="str">
        <f t="shared" si="1"/>
        <v>추민지8663</v>
      </c>
      <c r="E1004" s="89" t="s">
        <v>6451</v>
      </c>
      <c r="F1004" s="90">
        <v>45998.38186342592</v>
      </c>
      <c r="G1004" s="88" t="s">
        <v>4805</v>
      </c>
      <c r="H1004" s="88" t="s">
        <v>6452</v>
      </c>
      <c r="I1004" s="90">
        <v>45998.63575231482</v>
      </c>
    </row>
    <row r="1005" ht="14.25" customHeight="1">
      <c r="A1005" s="87">
        <v>1004.0</v>
      </c>
      <c r="B1005" s="88" t="s">
        <v>2897</v>
      </c>
      <c r="C1005" s="89">
        <v>1.022144522E9</v>
      </c>
      <c r="D1005" s="89" t="str">
        <f t="shared" si="1"/>
        <v>이현자4522</v>
      </c>
      <c r="E1005" s="89" t="s">
        <v>6453</v>
      </c>
      <c r="F1005" s="90">
        <v>45998.381840277776</v>
      </c>
      <c r="G1005" s="88" t="s">
        <v>4805</v>
      </c>
      <c r="H1005" s="88" t="s">
        <v>6423</v>
      </c>
      <c r="I1005" s="90">
        <v>45998.6349537037</v>
      </c>
    </row>
    <row r="1006" ht="14.25" customHeight="1">
      <c r="A1006" s="87">
        <v>1005.0</v>
      </c>
      <c r="B1006" s="88" t="s">
        <v>5767</v>
      </c>
      <c r="C1006" s="89">
        <v>1.06513458E9</v>
      </c>
      <c r="D1006" s="89" t="str">
        <f t="shared" si="1"/>
        <v>이연옥4580</v>
      </c>
      <c r="E1006" s="89" t="s">
        <v>6454</v>
      </c>
      <c r="F1006" s="90">
        <v>45998.38165509259</v>
      </c>
      <c r="G1006" s="88" t="s">
        <v>4805</v>
      </c>
      <c r="H1006" s="88" t="s">
        <v>6455</v>
      </c>
      <c r="I1006" s="90">
        <v>45998.90689814815</v>
      </c>
    </row>
    <row r="1007" ht="14.25" customHeight="1">
      <c r="A1007" s="87">
        <v>1006.0</v>
      </c>
      <c r="B1007" s="88" t="s">
        <v>1804</v>
      </c>
      <c r="C1007" s="89">
        <v>1.073665442E9</v>
      </c>
      <c r="D1007" s="89" t="str">
        <f t="shared" si="1"/>
        <v>김혜영5442</v>
      </c>
      <c r="E1007" s="89" t="s">
        <v>6456</v>
      </c>
      <c r="F1007" s="90">
        <v>45998.38153935185</v>
      </c>
      <c r="G1007" s="88" t="s">
        <v>4805</v>
      </c>
      <c r="H1007" s="88" t="s">
        <v>6457</v>
      </c>
      <c r="I1007" s="90">
        <v>45998.63662037037</v>
      </c>
    </row>
    <row r="1008" ht="14.25" customHeight="1">
      <c r="A1008" s="87">
        <v>1007.0</v>
      </c>
      <c r="B1008" s="88" t="s">
        <v>6458</v>
      </c>
      <c r="C1008" s="89">
        <v>1.065537179E9</v>
      </c>
      <c r="D1008" s="89" t="str">
        <f t="shared" si="1"/>
        <v>방수정7179</v>
      </c>
      <c r="E1008" s="89" t="s">
        <v>6459</v>
      </c>
      <c r="F1008" s="90">
        <v>45998.38140046296</v>
      </c>
      <c r="G1008" s="88" t="s">
        <v>4805</v>
      </c>
      <c r="H1008" s="88" t="s">
        <v>6460</v>
      </c>
      <c r="I1008" s="90">
        <v>45998.60241898148</v>
      </c>
    </row>
    <row r="1009" ht="14.25" customHeight="1">
      <c r="A1009" s="87">
        <v>1008.0</v>
      </c>
      <c r="B1009" s="88" t="s">
        <v>1744</v>
      </c>
      <c r="C1009" s="89">
        <v>1.030906361E9</v>
      </c>
      <c r="D1009" s="89" t="str">
        <f t="shared" si="1"/>
        <v>양종원6361</v>
      </c>
      <c r="E1009" s="89" t="s">
        <v>6461</v>
      </c>
      <c r="F1009" s="90">
        <v>45998.380636574075</v>
      </c>
      <c r="G1009" s="88" t="s">
        <v>4805</v>
      </c>
      <c r="H1009" s="88" t="s">
        <v>6462</v>
      </c>
      <c r="I1009" s="90">
        <v>45998.6018287037</v>
      </c>
    </row>
    <row r="1010" ht="14.25" customHeight="1">
      <c r="A1010" s="87">
        <v>1009.0</v>
      </c>
      <c r="B1010" s="88" t="s">
        <v>6463</v>
      </c>
      <c r="C1010" s="89">
        <v>1.086854698E9</v>
      </c>
      <c r="D1010" s="89" t="str">
        <f t="shared" si="1"/>
        <v>정아네스4698</v>
      </c>
      <c r="E1010" s="89" t="s">
        <v>6464</v>
      </c>
      <c r="F1010" s="90">
        <v>45998.380474537036</v>
      </c>
      <c r="G1010" s="88" t="s">
        <v>4805</v>
      </c>
      <c r="H1010" s="88" t="s">
        <v>6465</v>
      </c>
      <c r="I1010" s="90">
        <v>45998.60157407408</v>
      </c>
    </row>
    <row r="1011" ht="14.25" customHeight="1">
      <c r="A1011" s="87">
        <v>1010.0</v>
      </c>
      <c r="B1011" s="88" t="s">
        <v>6466</v>
      </c>
      <c r="C1011" s="89">
        <v>1.099564192E9</v>
      </c>
      <c r="D1011" s="89" t="str">
        <f t="shared" si="1"/>
        <v>조동현4192</v>
      </c>
      <c r="E1011" s="89" t="s">
        <v>6467</v>
      </c>
      <c r="F1011" s="90">
        <v>45998.3803587963</v>
      </c>
      <c r="G1011" s="88" t="s">
        <v>4805</v>
      </c>
      <c r="H1011" s="88" t="s">
        <v>6468</v>
      </c>
      <c r="I1011" s="90">
        <v>45998.601435185185</v>
      </c>
    </row>
    <row r="1012" ht="14.25" customHeight="1">
      <c r="A1012" s="87">
        <v>1011.0</v>
      </c>
      <c r="B1012" s="88" t="s">
        <v>6469</v>
      </c>
      <c r="C1012" s="89">
        <v>1.059530543E9</v>
      </c>
      <c r="D1012" s="89" t="str">
        <f t="shared" si="1"/>
        <v>조광근0543</v>
      </c>
      <c r="E1012" s="89" t="s">
        <v>6470</v>
      </c>
      <c r="F1012" s="90">
        <v>45998.380057870374</v>
      </c>
      <c r="G1012" s="88" t="s">
        <v>4805</v>
      </c>
      <c r="H1012" s="88" t="s">
        <v>6465</v>
      </c>
      <c r="I1012" s="90">
        <v>45998.60123842592</v>
      </c>
    </row>
    <row r="1013" ht="14.25" customHeight="1">
      <c r="A1013" s="87">
        <v>1012.0</v>
      </c>
      <c r="B1013" s="88" t="s">
        <v>6471</v>
      </c>
      <c r="C1013" s="89">
        <v>1.085550129E9</v>
      </c>
      <c r="D1013" s="89" t="str">
        <f t="shared" si="1"/>
        <v>한재균0129</v>
      </c>
      <c r="E1013" s="89" t="s">
        <v>6472</v>
      </c>
      <c r="F1013" s="90">
        <v>45998.38003472222</v>
      </c>
      <c r="G1013" s="88" t="s">
        <v>4805</v>
      </c>
      <c r="H1013" s="88" t="s">
        <v>6473</v>
      </c>
      <c r="I1013" s="90">
        <v>45998.600694444445</v>
      </c>
    </row>
    <row r="1014" ht="14.25" customHeight="1">
      <c r="A1014" s="87">
        <v>1013.0</v>
      </c>
      <c r="B1014" s="88" t="s">
        <v>6474</v>
      </c>
      <c r="C1014" s="89">
        <v>1.093970623E9</v>
      </c>
      <c r="D1014" s="89" t="str">
        <f t="shared" si="1"/>
        <v>김철수0623</v>
      </c>
      <c r="E1014" s="89" t="s">
        <v>6475</v>
      </c>
      <c r="F1014" s="90">
        <v>45998.37981481481</v>
      </c>
      <c r="G1014" s="88" t="s">
        <v>4805</v>
      </c>
      <c r="H1014" s="88" t="s">
        <v>6465</v>
      </c>
      <c r="I1014" s="90">
        <v>45998.602106481485</v>
      </c>
    </row>
    <row r="1015" ht="14.25" customHeight="1">
      <c r="A1015" s="87">
        <v>1014.0</v>
      </c>
      <c r="B1015" s="88" t="s">
        <v>1627</v>
      </c>
      <c r="C1015" s="89">
        <v>1.080220409E9</v>
      </c>
      <c r="D1015" s="89" t="str">
        <f t="shared" si="1"/>
        <v>김미0409</v>
      </c>
      <c r="E1015" s="89" t="s">
        <v>6476</v>
      </c>
      <c r="F1015" s="90">
        <v>45998.37231481481</v>
      </c>
      <c r="G1015" s="88" t="s">
        <v>4805</v>
      </c>
      <c r="H1015" s="88" t="s">
        <v>6477</v>
      </c>
      <c r="I1015" s="90">
        <v>45998.83113425926</v>
      </c>
    </row>
    <row r="1016" ht="14.25" customHeight="1">
      <c r="A1016" s="87">
        <v>1015.0</v>
      </c>
      <c r="B1016" s="88" t="s">
        <v>3800</v>
      </c>
      <c r="C1016" s="89">
        <v>1.085880255E9</v>
      </c>
      <c r="D1016" s="89" t="str">
        <f t="shared" si="1"/>
        <v>황은영0255</v>
      </c>
      <c r="E1016" s="89" t="s">
        <v>6478</v>
      </c>
      <c r="F1016" s="90">
        <v>45998.37094907407</v>
      </c>
      <c r="G1016" s="88" t="s">
        <v>4805</v>
      </c>
      <c r="H1016" s="88" t="s">
        <v>6479</v>
      </c>
      <c r="I1016" s="90">
        <v>45998.63381944445</v>
      </c>
    </row>
    <row r="1017" ht="14.25" customHeight="1">
      <c r="A1017" s="87">
        <v>1016.0</v>
      </c>
      <c r="B1017" s="88" t="s">
        <v>1305</v>
      </c>
      <c r="C1017" s="89">
        <v>1.039760398E9</v>
      </c>
      <c r="D1017" s="89" t="str">
        <f t="shared" si="1"/>
        <v>조성훈0398</v>
      </c>
      <c r="E1017" s="89" t="s">
        <v>6480</v>
      </c>
      <c r="F1017" s="90">
        <v>45998.36765046296</v>
      </c>
      <c r="G1017" s="88" t="s">
        <v>4805</v>
      </c>
      <c r="H1017" s="89" t="s">
        <v>6481</v>
      </c>
      <c r="I1017" s="90">
        <v>45998.68641203704</v>
      </c>
    </row>
    <row r="1018" ht="14.25" customHeight="1">
      <c r="A1018" s="87">
        <v>1017.0</v>
      </c>
      <c r="B1018" s="88" t="s">
        <v>6482</v>
      </c>
      <c r="C1018" s="89">
        <v>1.0731207E9</v>
      </c>
      <c r="D1018" s="89" t="str">
        <f t="shared" si="1"/>
        <v>박병수0700</v>
      </c>
      <c r="E1018" s="89" t="s">
        <v>6483</v>
      </c>
      <c r="F1018" s="90">
        <v>45998.35696759259</v>
      </c>
      <c r="G1018" s="88" t="s">
        <v>4805</v>
      </c>
      <c r="H1018" s="89" t="s">
        <v>6484</v>
      </c>
      <c r="I1018" s="90">
        <v>45998.36104166666</v>
      </c>
    </row>
    <row r="1019" ht="14.25" customHeight="1">
      <c r="A1019" s="87">
        <v>1018.0</v>
      </c>
      <c r="B1019" s="88" t="s">
        <v>3407</v>
      </c>
      <c r="C1019" s="89">
        <v>1.054547118E9</v>
      </c>
      <c r="D1019" s="89" t="str">
        <f t="shared" si="1"/>
        <v>오금자7118</v>
      </c>
      <c r="E1019" s="89" t="s">
        <v>6485</v>
      </c>
      <c r="F1019" s="90">
        <v>45998.35335648148</v>
      </c>
      <c r="G1019" s="88" t="s">
        <v>4805</v>
      </c>
      <c r="H1019" s="88" t="s">
        <v>6486</v>
      </c>
      <c r="I1019" s="90">
        <v>45998.36115740741</v>
      </c>
    </row>
    <row r="1020" ht="14.25" customHeight="1">
      <c r="A1020" s="87">
        <v>1019.0</v>
      </c>
      <c r="B1020" s="88" t="s">
        <v>1198</v>
      </c>
      <c r="C1020" s="89">
        <v>1.092756185E9</v>
      </c>
      <c r="D1020" s="89" t="str">
        <f t="shared" si="1"/>
        <v>남궁미6185</v>
      </c>
      <c r="E1020" s="89" t="s">
        <v>6487</v>
      </c>
      <c r="F1020" s="90">
        <v>45997.57969907407</v>
      </c>
      <c r="G1020" s="88" t="s">
        <v>4805</v>
      </c>
      <c r="H1020" s="88" t="s">
        <v>6488</v>
      </c>
      <c r="I1020" s="90">
        <v>45997.59488425926</v>
      </c>
    </row>
    <row r="1021" ht="14.25" customHeight="1">
      <c r="A1021" s="87">
        <v>1020.0</v>
      </c>
      <c r="B1021" s="88" t="s">
        <v>6489</v>
      </c>
      <c r="C1021" s="89">
        <v>1.097741331E9</v>
      </c>
      <c r="D1021" s="89" t="str">
        <f t="shared" si="1"/>
        <v>정순환1331</v>
      </c>
      <c r="E1021" s="89" t="s">
        <v>6490</v>
      </c>
      <c r="F1021" s="90">
        <v>45997.46540509259</v>
      </c>
      <c r="G1021" s="88" t="s">
        <v>4805</v>
      </c>
      <c r="H1021" s="88" t="s">
        <v>6491</v>
      </c>
      <c r="I1021" s="90">
        <v>45997.556597222225</v>
      </c>
    </row>
    <row r="1022" ht="14.25" customHeight="1">
      <c r="A1022" s="87">
        <v>1021.0</v>
      </c>
      <c r="B1022" s="88" t="s">
        <v>6492</v>
      </c>
      <c r="C1022" s="89">
        <v>1.063830455E9</v>
      </c>
      <c r="D1022" s="89" t="str">
        <f t="shared" si="1"/>
        <v>송성녀0455</v>
      </c>
      <c r="E1022" s="89" t="s">
        <v>6493</v>
      </c>
      <c r="F1022" s="90">
        <v>45997.445127314815</v>
      </c>
      <c r="G1022" s="88" t="s">
        <v>4805</v>
      </c>
      <c r="H1022" s="88" t="s">
        <v>6494</v>
      </c>
      <c r="I1022" s="90">
        <v>45997.59471064815</v>
      </c>
    </row>
    <row r="1023" ht="14.25" customHeight="1">
      <c r="A1023" s="87">
        <v>1022.0</v>
      </c>
      <c r="B1023" s="88" t="s">
        <v>4800</v>
      </c>
      <c r="C1023" s="89">
        <v>1.055119963E9</v>
      </c>
      <c r="D1023" s="89" t="str">
        <f t="shared" si="1"/>
        <v>이미연9963</v>
      </c>
      <c r="E1023" s="89" t="s">
        <v>6495</v>
      </c>
      <c r="F1023" s="90">
        <v>45997.43048611111</v>
      </c>
      <c r="G1023" s="88" t="s">
        <v>4805</v>
      </c>
      <c r="H1023" s="88" t="s">
        <v>6496</v>
      </c>
      <c r="I1023" s="90">
        <v>45997.43104166666</v>
      </c>
    </row>
    <row r="1024" ht="14.25" customHeight="1">
      <c r="A1024" s="87">
        <v>1023.0</v>
      </c>
      <c r="B1024" s="88" t="s">
        <v>3814</v>
      </c>
      <c r="C1024" s="89">
        <v>1.092371224E9</v>
      </c>
      <c r="D1024" s="89" t="str">
        <f t="shared" si="1"/>
        <v>차수진1224</v>
      </c>
      <c r="E1024" s="89" t="s">
        <v>6497</v>
      </c>
      <c r="F1024" s="90">
        <v>45997.41787037037</v>
      </c>
      <c r="G1024" s="88" t="s">
        <v>4805</v>
      </c>
      <c r="H1024" s="88" t="s">
        <v>6498</v>
      </c>
      <c r="I1024" s="90">
        <v>45997.42732638889</v>
      </c>
    </row>
    <row r="1025" ht="14.25" customHeight="1">
      <c r="A1025" s="87">
        <v>1024.0</v>
      </c>
      <c r="B1025" s="88" t="s">
        <v>1541</v>
      </c>
      <c r="C1025" s="89">
        <v>1.099984952E9</v>
      </c>
      <c r="D1025" s="89" t="str">
        <f t="shared" si="1"/>
        <v>조규희4952</v>
      </c>
      <c r="E1025" s="89" t="s">
        <v>6499</v>
      </c>
      <c r="F1025" s="90">
        <v>45997.386400462965</v>
      </c>
      <c r="G1025" s="88" t="s">
        <v>4805</v>
      </c>
      <c r="H1025" s="88" t="s">
        <v>6500</v>
      </c>
      <c r="I1025" s="90">
        <v>45997.42747685185</v>
      </c>
    </row>
    <row r="1026" ht="14.25" customHeight="1">
      <c r="A1026" s="87">
        <v>1025.0</v>
      </c>
      <c r="B1026" s="88" t="s">
        <v>2393</v>
      </c>
      <c r="C1026" s="89">
        <v>1.03359263E9</v>
      </c>
      <c r="D1026" s="89" t="str">
        <f t="shared" si="1"/>
        <v>김현정2630</v>
      </c>
      <c r="E1026" s="89" t="s">
        <v>6501</v>
      </c>
      <c r="F1026" s="90">
        <v>45997.339733796296</v>
      </c>
      <c r="G1026" s="88" t="s">
        <v>4805</v>
      </c>
      <c r="H1026" s="88" t="s">
        <v>6502</v>
      </c>
      <c r="I1026" s="90">
        <v>45997.42789351852</v>
      </c>
    </row>
    <row r="1027" ht="14.25" customHeight="1">
      <c r="A1027" s="87">
        <v>1026.0</v>
      </c>
      <c r="B1027" s="88" t="s">
        <v>5341</v>
      </c>
      <c r="C1027" s="89">
        <v>1.090901122E9</v>
      </c>
      <c r="D1027" s="89" t="str">
        <f t="shared" si="1"/>
        <v>차옥경1122</v>
      </c>
      <c r="E1027" s="89" t="s">
        <v>6503</v>
      </c>
      <c r="F1027" s="90">
        <v>45996.914375</v>
      </c>
      <c r="G1027" s="88" t="s">
        <v>4805</v>
      </c>
      <c r="H1027" s="88" t="s">
        <v>6504</v>
      </c>
      <c r="I1027" s="90">
        <v>45997.42806712963</v>
      </c>
    </row>
    <row r="1028" ht="14.25" customHeight="1">
      <c r="A1028" s="87">
        <v>1027.0</v>
      </c>
      <c r="B1028" s="88" t="s">
        <v>6505</v>
      </c>
      <c r="C1028" s="89">
        <v>1.062433573E9</v>
      </c>
      <c r="D1028" s="89" t="str">
        <f t="shared" si="1"/>
        <v>강현순3573</v>
      </c>
      <c r="E1028" s="89" t="s">
        <v>6506</v>
      </c>
      <c r="F1028" s="90">
        <v>45996.760405092595</v>
      </c>
      <c r="G1028" s="88" t="s">
        <v>4805</v>
      </c>
      <c r="H1028" s="88" t="s">
        <v>6502</v>
      </c>
      <c r="I1028" s="90">
        <v>45997.428136574075</v>
      </c>
    </row>
    <row r="1029" ht="14.25" customHeight="1">
      <c r="A1029" s="87">
        <v>1028.0</v>
      </c>
      <c r="B1029" s="88" t="s">
        <v>5785</v>
      </c>
      <c r="C1029" s="89">
        <v>1.020007579E9</v>
      </c>
      <c r="D1029" s="89" t="str">
        <f t="shared" si="1"/>
        <v>박소은7579</v>
      </c>
      <c r="E1029" s="89" t="s">
        <v>6507</v>
      </c>
      <c r="F1029" s="90">
        <v>45996.740219907406</v>
      </c>
      <c r="G1029" s="88" t="s">
        <v>4805</v>
      </c>
      <c r="H1029" s="88" t="s">
        <v>6502</v>
      </c>
      <c r="I1029" s="90">
        <v>45997.42824074074</v>
      </c>
    </row>
    <row r="1030" ht="14.25" customHeight="1">
      <c r="A1030" s="87">
        <v>1029.0</v>
      </c>
      <c r="B1030" s="88" t="s">
        <v>5785</v>
      </c>
      <c r="C1030" s="89">
        <v>1.020007579E9</v>
      </c>
      <c r="D1030" s="89" t="str">
        <f t="shared" si="1"/>
        <v>박소은7579</v>
      </c>
      <c r="E1030" s="89" t="s">
        <v>6508</v>
      </c>
      <c r="F1030" s="90">
        <v>45996.73768518519</v>
      </c>
      <c r="G1030" s="88" t="s">
        <v>4805</v>
      </c>
      <c r="H1030" s="88" t="s">
        <v>6509</v>
      </c>
      <c r="I1030" s="90">
        <v>45997.42847222222</v>
      </c>
    </row>
    <row r="1031" ht="14.25" customHeight="1">
      <c r="A1031" s="87">
        <v>1030.0</v>
      </c>
      <c r="B1031" s="88" t="s">
        <v>6510</v>
      </c>
      <c r="C1031" s="89">
        <v>1.093536448E9</v>
      </c>
      <c r="D1031" s="89" t="str">
        <f t="shared" si="1"/>
        <v>전경희6448</v>
      </c>
      <c r="E1031" s="89" t="s">
        <v>6511</v>
      </c>
      <c r="F1031" s="90">
        <v>45996.71880787037</v>
      </c>
      <c r="G1031" s="88" t="s">
        <v>4805</v>
      </c>
      <c r="H1031" s="88" t="s">
        <v>6502</v>
      </c>
      <c r="I1031" s="90">
        <v>45997.42863425926</v>
      </c>
    </row>
    <row r="1032" ht="14.25" customHeight="1">
      <c r="A1032" s="87">
        <v>1031.0</v>
      </c>
      <c r="B1032" s="88" t="s">
        <v>6512</v>
      </c>
      <c r="C1032" s="89">
        <v>1.023057314E9</v>
      </c>
      <c r="D1032" s="89" t="str">
        <f t="shared" si="1"/>
        <v>김효원7314</v>
      </c>
      <c r="E1032" s="89" t="s">
        <v>6513</v>
      </c>
      <c r="F1032" s="90">
        <v>45996.65957175926</v>
      </c>
      <c r="G1032" s="88" t="s">
        <v>4805</v>
      </c>
      <c r="H1032" s="88" t="s">
        <v>6514</v>
      </c>
      <c r="I1032" s="90">
        <v>45997.428877314815</v>
      </c>
    </row>
    <row r="1033" ht="14.25" customHeight="1">
      <c r="A1033" s="87">
        <v>1032.0</v>
      </c>
      <c r="B1033" s="88" t="s">
        <v>5341</v>
      </c>
      <c r="C1033" s="89">
        <v>1.090901122E9</v>
      </c>
      <c r="D1033" s="89" t="str">
        <f t="shared" si="1"/>
        <v>차옥경1122</v>
      </c>
      <c r="E1033" s="89" t="s">
        <v>6515</v>
      </c>
      <c r="F1033" s="90">
        <v>45996.649039351854</v>
      </c>
      <c r="G1033" s="88" t="s">
        <v>4805</v>
      </c>
      <c r="H1033" s="88" t="s">
        <v>6516</v>
      </c>
      <c r="I1033" s="90">
        <v>45997.42895833333</v>
      </c>
    </row>
    <row r="1034" ht="14.25" customHeight="1">
      <c r="A1034" s="87">
        <v>1033.0</v>
      </c>
      <c r="B1034" s="88" t="s">
        <v>6492</v>
      </c>
      <c r="C1034" s="89">
        <v>1.063830455E9</v>
      </c>
      <c r="D1034" s="89" t="str">
        <f t="shared" si="1"/>
        <v>송성녀0455</v>
      </c>
      <c r="E1034" s="89" t="s">
        <v>6517</v>
      </c>
      <c r="F1034" s="90">
        <v>45996.62505787037</v>
      </c>
      <c r="G1034" s="88" t="s">
        <v>4805</v>
      </c>
      <c r="H1034" s="88" t="s">
        <v>6518</v>
      </c>
      <c r="I1034" s="90">
        <v>45997.42940972222</v>
      </c>
    </row>
    <row r="1035" ht="14.25" customHeight="1">
      <c r="A1035" s="87">
        <v>1034.0</v>
      </c>
      <c r="B1035" s="88" t="s">
        <v>3632</v>
      </c>
      <c r="C1035" s="89">
        <v>1.057656282E9</v>
      </c>
      <c r="D1035" s="89" t="str">
        <f t="shared" si="1"/>
        <v>정우석6282</v>
      </c>
      <c r="E1035" s="89" t="s">
        <v>6519</v>
      </c>
      <c r="F1035" s="90">
        <v>45996.623935185184</v>
      </c>
      <c r="G1035" s="88" t="s">
        <v>4805</v>
      </c>
      <c r="H1035" s="88" t="s">
        <v>6520</v>
      </c>
      <c r="I1035" s="90">
        <v>45998.82947916666</v>
      </c>
    </row>
    <row r="1036" ht="14.25" customHeight="1">
      <c r="A1036" s="87">
        <v>1035.0</v>
      </c>
      <c r="B1036" s="88" t="s">
        <v>6521</v>
      </c>
      <c r="C1036" s="89">
        <v>1.048997157E9</v>
      </c>
      <c r="D1036" s="89" t="str">
        <f t="shared" si="1"/>
        <v>오순자7157</v>
      </c>
      <c r="E1036" s="89" t="s">
        <v>6522</v>
      </c>
      <c r="F1036" s="90">
        <v>45996.62333333334</v>
      </c>
      <c r="G1036" s="88" t="s">
        <v>4805</v>
      </c>
      <c r="H1036" s="88" t="s">
        <v>6523</v>
      </c>
      <c r="I1036" s="90">
        <v>45997.429976851854</v>
      </c>
    </row>
    <row r="1037" ht="14.25" customHeight="1">
      <c r="A1037" s="87">
        <v>1036.0</v>
      </c>
      <c r="B1037" s="88" t="s">
        <v>6524</v>
      </c>
      <c r="C1037" s="89">
        <v>1.093997079E9</v>
      </c>
      <c r="D1037" s="89" t="str">
        <f t="shared" si="1"/>
        <v>이상욱7079</v>
      </c>
      <c r="E1037" s="89" t="s">
        <v>6525</v>
      </c>
      <c r="F1037" s="90">
        <v>45996.618252314816</v>
      </c>
      <c r="G1037" s="88" t="s">
        <v>4805</v>
      </c>
      <c r="H1037" s="88" t="s">
        <v>6502</v>
      </c>
      <c r="I1037" s="90">
        <v>45997.43032407408</v>
      </c>
    </row>
    <row r="1038" ht="14.25" customHeight="1">
      <c r="A1038" s="87">
        <v>1037.0</v>
      </c>
      <c r="B1038" s="88" t="s">
        <v>6526</v>
      </c>
      <c r="C1038" s="89">
        <v>1.088603225E9</v>
      </c>
      <c r="D1038" s="89" t="str">
        <f t="shared" si="1"/>
        <v>정혜은3225</v>
      </c>
      <c r="E1038" s="89" t="s">
        <v>6527</v>
      </c>
      <c r="F1038" s="90">
        <v>45996.616689814815</v>
      </c>
      <c r="G1038" s="88" t="s">
        <v>4805</v>
      </c>
      <c r="H1038" s="88" t="s">
        <v>6528</v>
      </c>
      <c r="I1038" s="90">
        <v>45999.06731481481</v>
      </c>
    </row>
    <row r="1039" ht="14.25" customHeight="1">
      <c r="A1039" s="87">
        <v>1038.0</v>
      </c>
      <c r="B1039" s="88" t="s">
        <v>6529</v>
      </c>
      <c r="C1039" s="89">
        <v>1.071116102E9</v>
      </c>
      <c r="D1039" s="89" t="str">
        <f t="shared" si="1"/>
        <v>홍영분6102</v>
      </c>
      <c r="E1039" s="89" t="s">
        <v>6530</v>
      </c>
      <c r="F1039" s="90">
        <v>45996.61460648148</v>
      </c>
      <c r="G1039" s="88" t="s">
        <v>4805</v>
      </c>
      <c r="H1039" s="88" t="s">
        <v>6531</v>
      </c>
      <c r="I1039" s="90">
        <v>45997.43199074074</v>
      </c>
    </row>
    <row r="1040" ht="14.25" customHeight="1">
      <c r="A1040" s="87">
        <v>1039.0</v>
      </c>
      <c r="B1040" s="88" t="s">
        <v>6532</v>
      </c>
      <c r="C1040" s="89">
        <v>1.087414565E9</v>
      </c>
      <c r="D1040" s="89" t="str">
        <f t="shared" si="1"/>
        <v>송현주4565</v>
      </c>
      <c r="E1040" s="89" t="s">
        <v>6533</v>
      </c>
      <c r="F1040" s="90">
        <v>45996.61251157407</v>
      </c>
      <c r="G1040" s="88" t="s">
        <v>4805</v>
      </c>
      <c r="H1040" s="88" t="s">
        <v>6534</v>
      </c>
      <c r="I1040" s="90">
        <v>45997.435162037036</v>
      </c>
    </row>
    <row r="1041" ht="14.25" customHeight="1">
      <c r="A1041" s="87">
        <v>1040.0</v>
      </c>
      <c r="B1041" s="88" t="s">
        <v>1258</v>
      </c>
      <c r="C1041" s="89">
        <v>1.024262076E9</v>
      </c>
      <c r="D1041" s="89" t="str">
        <f t="shared" si="1"/>
        <v>강영숙2076</v>
      </c>
      <c r="E1041" s="89" t="s">
        <v>6535</v>
      </c>
      <c r="F1041" s="90">
        <v>45996.6090625</v>
      </c>
      <c r="G1041" s="88" t="s">
        <v>4805</v>
      </c>
      <c r="H1041" s="88" t="s">
        <v>6536</v>
      </c>
      <c r="I1041" s="90">
        <v>45998.7143287037</v>
      </c>
    </row>
    <row r="1042" ht="14.25" customHeight="1">
      <c r="A1042" s="87">
        <v>1041.0</v>
      </c>
      <c r="B1042" s="88" t="s">
        <v>6537</v>
      </c>
      <c r="C1042" s="89">
        <v>1.05051006E9</v>
      </c>
      <c r="D1042" s="89" t="str">
        <f t="shared" si="1"/>
        <v>김보람0060</v>
      </c>
      <c r="E1042" s="89" t="s">
        <v>6538</v>
      </c>
      <c r="F1042" s="90">
        <v>45996.607766203706</v>
      </c>
      <c r="G1042" s="88" t="s">
        <v>4805</v>
      </c>
      <c r="H1042" s="88" t="s">
        <v>6539</v>
      </c>
      <c r="I1042" s="90">
        <v>45997.434594907405</v>
      </c>
    </row>
    <row r="1043" ht="14.25" customHeight="1">
      <c r="A1043" s="87">
        <v>1042.0</v>
      </c>
      <c r="B1043" s="88" t="s">
        <v>2716</v>
      </c>
      <c r="C1043" s="89">
        <v>1.083073974E9</v>
      </c>
      <c r="D1043" s="89" t="str">
        <f t="shared" si="1"/>
        <v>강지한3974</v>
      </c>
      <c r="E1043" s="89" t="s">
        <v>6540</v>
      </c>
      <c r="F1043" s="90">
        <v>45996.605729166666</v>
      </c>
      <c r="G1043" s="88" t="s">
        <v>4805</v>
      </c>
      <c r="H1043" s="88" t="s">
        <v>6502</v>
      </c>
      <c r="I1043" s="90">
        <v>45997.4324537037</v>
      </c>
    </row>
    <row r="1044" ht="14.25" customHeight="1">
      <c r="A1044" s="87">
        <v>1043.0</v>
      </c>
      <c r="B1044" s="88" t="s">
        <v>6541</v>
      </c>
      <c r="C1044" s="89">
        <v>1.089102492E9</v>
      </c>
      <c r="D1044" s="89" t="str">
        <f t="shared" si="1"/>
        <v>정혜원2492</v>
      </c>
      <c r="E1044" s="89" t="s">
        <v>6542</v>
      </c>
      <c r="F1044" s="90">
        <v>45996.6049537037</v>
      </c>
      <c r="G1044" s="88" t="s">
        <v>4805</v>
      </c>
      <c r="H1044" s="88" t="s">
        <v>6543</v>
      </c>
      <c r="I1044" s="90">
        <v>45998.80027777778</v>
      </c>
    </row>
    <row r="1045" ht="14.25" customHeight="1">
      <c r="A1045" s="87">
        <v>1044.0</v>
      </c>
      <c r="B1045" s="88" t="s">
        <v>6544</v>
      </c>
      <c r="C1045" s="89">
        <v>1.096115761E9</v>
      </c>
      <c r="D1045" s="89" t="str">
        <f t="shared" si="1"/>
        <v>우혜미5761</v>
      </c>
      <c r="E1045" s="89" t="s">
        <v>6545</v>
      </c>
      <c r="F1045" s="90">
        <v>45996.6025</v>
      </c>
      <c r="G1045" s="88" t="s">
        <v>4805</v>
      </c>
      <c r="H1045" s="88" t="s">
        <v>6546</v>
      </c>
      <c r="I1045" s="90">
        <v>45998.71409722222</v>
      </c>
    </row>
    <row r="1046" ht="14.25" customHeight="1">
      <c r="A1046" s="87">
        <v>1045.0</v>
      </c>
      <c r="B1046" s="88" t="s">
        <v>6547</v>
      </c>
      <c r="C1046" s="89">
        <v>1.039417073E9</v>
      </c>
      <c r="D1046" s="89" t="str">
        <f t="shared" si="1"/>
        <v>이도현7073</v>
      </c>
      <c r="E1046" s="89" t="s">
        <v>6548</v>
      </c>
      <c r="F1046" s="90">
        <v>45996.60166666667</v>
      </c>
      <c r="G1046" s="88" t="s">
        <v>4805</v>
      </c>
      <c r="H1046" s="88" t="s">
        <v>6549</v>
      </c>
      <c r="I1046" s="90">
        <v>45998.71387731482</v>
      </c>
    </row>
    <row r="1047" ht="14.25" customHeight="1">
      <c r="A1047" s="87">
        <v>1046.0</v>
      </c>
      <c r="B1047" s="88" t="s">
        <v>6550</v>
      </c>
      <c r="C1047" s="89">
        <v>1.064959319E9</v>
      </c>
      <c r="D1047" s="89" t="str">
        <f t="shared" si="1"/>
        <v>김희진9319</v>
      </c>
      <c r="E1047" s="89" t="s">
        <v>6551</v>
      </c>
      <c r="F1047" s="90">
        <v>45996.60104166667</v>
      </c>
      <c r="G1047" s="88" t="s">
        <v>4805</v>
      </c>
      <c r="H1047" s="88" t="s">
        <v>6552</v>
      </c>
      <c r="I1047" s="90">
        <v>45998.829675925925</v>
      </c>
    </row>
    <row r="1048" ht="14.25" customHeight="1">
      <c r="A1048" s="87">
        <v>1047.0</v>
      </c>
      <c r="B1048" s="88" t="s">
        <v>6526</v>
      </c>
      <c r="C1048" s="89">
        <v>1.088603225E9</v>
      </c>
      <c r="D1048" s="89" t="str">
        <f t="shared" si="1"/>
        <v>정혜은3225</v>
      </c>
      <c r="E1048" s="89" t="s">
        <v>6553</v>
      </c>
      <c r="F1048" s="90">
        <v>45996.60042824074</v>
      </c>
      <c r="G1048" s="88" t="s">
        <v>4805</v>
      </c>
      <c r="H1048" s="88" t="s">
        <v>6554</v>
      </c>
      <c r="I1048" s="90">
        <v>45999.068020833336</v>
      </c>
    </row>
  </sheetData>
  <autoFilter ref="$A$1:$I$848"/>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7.63"/>
  </cols>
  <sheetData>
    <row r="1">
      <c r="A1" s="3" t="s">
        <v>982</v>
      </c>
      <c r="B1" s="3" t="s">
        <v>983</v>
      </c>
      <c r="C1" s="3" t="s">
        <v>984</v>
      </c>
      <c r="D1" s="3" t="s">
        <v>985</v>
      </c>
      <c r="E1" s="3"/>
      <c r="F1" s="3" t="s">
        <v>986</v>
      </c>
      <c r="G1" s="3" t="s">
        <v>987</v>
      </c>
      <c r="H1" s="3" t="s">
        <v>988</v>
      </c>
      <c r="I1" s="3" t="s">
        <v>989</v>
      </c>
      <c r="J1" s="3" t="s">
        <v>6555</v>
      </c>
      <c r="K1" s="3" t="s">
        <v>6556</v>
      </c>
      <c r="L1" s="3" t="s">
        <v>6557</v>
      </c>
      <c r="M1" s="3" t="s">
        <v>6558</v>
      </c>
      <c r="N1" s="3" t="s">
        <v>6559</v>
      </c>
      <c r="O1" s="3" t="s">
        <v>3928</v>
      </c>
      <c r="P1" s="3" t="s">
        <v>3929</v>
      </c>
      <c r="Q1" s="3" t="s">
        <v>3930</v>
      </c>
    </row>
    <row r="2">
      <c r="A2" s="95">
        <v>1182.0</v>
      </c>
      <c r="B2" s="96" t="s">
        <v>1471</v>
      </c>
      <c r="C2" s="96" t="s">
        <v>3848</v>
      </c>
      <c r="D2" s="96" t="s">
        <v>3849</v>
      </c>
      <c r="E2" s="96" t="str">
        <f t="shared" ref="E2:E57" si="1">concatenate(C2,right(D2,4))</f>
        <v>손영숙5896</v>
      </c>
      <c r="F2" s="96">
        <v>620515.0</v>
      </c>
      <c r="G2" s="95">
        <v>1.0</v>
      </c>
      <c r="H2" s="96" t="s">
        <v>1021</v>
      </c>
      <c r="I2" s="96" t="s">
        <v>1021</v>
      </c>
      <c r="J2" s="96" t="s">
        <v>6560</v>
      </c>
      <c r="K2" s="96" t="s">
        <v>6561</v>
      </c>
      <c r="L2" s="96" t="s">
        <v>1021</v>
      </c>
      <c r="M2" s="96" t="s">
        <v>1021</v>
      </c>
      <c r="N2" s="96" t="s">
        <v>1021</v>
      </c>
      <c r="O2" s="96" t="s">
        <v>1021</v>
      </c>
      <c r="P2" s="96" t="s">
        <v>1021</v>
      </c>
      <c r="Q2" s="96" t="s">
        <v>1021</v>
      </c>
    </row>
    <row r="3">
      <c r="A3" s="95">
        <v>1009.0</v>
      </c>
      <c r="B3" s="96" t="s">
        <v>1269</v>
      </c>
      <c r="C3" s="96" t="s">
        <v>1691</v>
      </c>
      <c r="D3" s="96" t="s">
        <v>6562</v>
      </c>
      <c r="E3" s="96" t="str">
        <f t="shared" si="1"/>
        <v>진라희3388</v>
      </c>
      <c r="F3" s="96">
        <v>691026.0</v>
      </c>
      <c r="G3" s="95">
        <v>2.0</v>
      </c>
      <c r="H3" s="96" t="s">
        <v>1693</v>
      </c>
      <c r="I3" s="96" t="s">
        <v>1694</v>
      </c>
      <c r="J3" s="96" t="s">
        <v>6560</v>
      </c>
      <c r="K3" s="96" t="s">
        <v>6563</v>
      </c>
      <c r="L3" s="96" t="s">
        <v>6564</v>
      </c>
      <c r="M3" s="96" t="s">
        <v>1021</v>
      </c>
      <c r="N3" s="96" t="s">
        <v>1021</v>
      </c>
      <c r="O3" s="96" t="s">
        <v>1021</v>
      </c>
      <c r="P3" s="96" t="s">
        <v>1021</v>
      </c>
      <c r="Q3" s="96" t="s">
        <v>1021</v>
      </c>
    </row>
    <row r="4">
      <c r="A4" s="95">
        <v>898.0</v>
      </c>
      <c r="B4" s="96" t="s">
        <v>1872</v>
      </c>
      <c r="C4" s="96" t="s">
        <v>1177</v>
      </c>
      <c r="D4" s="96" t="s">
        <v>1178</v>
      </c>
      <c r="E4" s="96" t="str">
        <f t="shared" si="1"/>
        <v>배우식2555</v>
      </c>
      <c r="F4" s="96">
        <v>550602.0</v>
      </c>
      <c r="G4" s="95">
        <v>2.0</v>
      </c>
      <c r="H4" s="96" t="s">
        <v>1021</v>
      </c>
      <c r="I4" s="96" t="s">
        <v>1021</v>
      </c>
      <c r="J4" s="96" t="s">
        <v>6560</v>
      </c>
      <c r="K4" s="96" t="s">
        <v>6565</v>
      </c>
      <c r="L4" s="96" t="s">
        <v>6564</v>
      </c>
      <c r="M4" s="96" t="s">
        <v>1021</v>
      </c>
      <c r="N4" s="96" t="s">
        <v>1021</v>
      </c>
      <c r="O4" s="96" t="s">
        <v>1021</v>
      </c>
      <c r="P4" s="96" t="s">
        <v>1021</v>
      </c>
      <c r="Q4" s="96" t="s">
        <v>1021</v>
      </c>
    </row>
    <row r="5">
      <c r="A5" s="95">
        <v>799.0</v>
      </c>
      <c r="B5" s="96" t="s">
        <v>2932</v>
      </c>
      <c r="C5" s="96" t="s">
        <v>1603</v>
      </c>
      <c r="D5" s="96" t="s">
        <v>1604</v>
      </c>
      <c r="E5" s="96" t="str">
        <f t="shared" si="1"/>
        <v>정두식1414</v>
      </c>
      <c r="F5" s="96">
        <v>620923.0</v>
      </c>
      <c r="G5" s="95">
        <v>2.0</v>
      </c>
      <c r="H5" s="96" t="s">
        <v>1021</v>
      </c>
      <c r="I5" s="96" t="s">
        <v>1021</v>
      </c>
      <c r="J5" s="96" t="s">
        <v>6560</v>
      </c>
      <c r="K5" s="96" t="s">
        <v>6566</v>
      </c>
      <c r="L5" s="96" t="s">
        <v>6564</v>
      </c>
      <c r="M5" s="96" t="s">
        <v>1021</v>
      </c>
      <c r="N5" s="96" t="s">
        <v>1021</v>
      </c>
      <c r="O5" s="96" t="s">
        <v>1021</v>
      </c>
      <c r="P5" s="96" t="s">
        <v>1021</v>
      </c>
      <c r="Q5" s="96" t="s">
        <v>1021</v>
      </c>
    </row>
    <row r="6">
      <c r="A6" s="95">
        <v>360.0</v>
      </c>
      <c r="B6" s="96" t="s">
        <v>1086</v>
      </c>
      <c r="C6" s="96" t="s">
        <v>1368</v>
      </c>
      <c r="D6" s="96" t="s">
        <v>2476</v>
      </c>
      <c r="E6" s="96" t="str">
        <f t="shared" si="1"/>
        <v>김정숙6517</v>
      </c>
      <c r="F6" s="96">
        <v>580415.0</v>
      </c>
      <c r="G6" s="95">
        <v>2.0</v>
      </c>
      <c r="H6" s="96" t="s">
        <v>1021</v>
      </c>
      <c r="I6" s="96" t="s">
        <v>1021</v>
      </c>
      <c r="J6" s="96" t="s">
        <v>6560</v>
      </c>
      <c r="K6" s="96" t="s">
        <v>6567</v>
      </c>
      <c r="L6" s="96" t="s">
        <v>6564</v>
      </c>
      <c r="M6" s="96" t="s">
        <v>1021</v>
      </c>
      <c r="N6" s="96" t="s">
        <v>1021</v>
      </c>
      <c r="O6" s="96" t="s">
        <v>1021</v>
      </c>
      <c r="P6" s="96" t="s">
        <v>1021</v>
      </c>
      <c r="Q6" s="96" t="s">
        <v>1021</v>
      </c>
    </row>
    <row r="7">
      <c r="A7" s="95">
        <v>327.0</v>
      </c>
      <c r="B7" s="96" t="s">
        <v>1322</v>
      </c>
      <c r="C7" s="96" t="s">
        <v>1008</v>
      </c>
      <c r="D7" s="96" t="s">
        <v>1009</v>
      </c>
      <c r="E7" s="96" t="str">
        <f t="shared" si="1"/>
        <v>이유주0037</v>
      </c>
      <c r="F7" s="96">
        <v>640228.0</v>
      </c>
      <c r="G7" s="95">
        <v>2.0</v>
      </c>
      <c r="H7" s="96" t="s">
        <v>1021</v>
      </c>
      <c r="I7" s="96" t="s">
        <v>1021</v>
      </c>
      <c r="J7" s="96" t="s">
        <v>6560</v>
      </c>
      <c r="K7" s="96" t="s">
        <v>6568</v>
      </c>
      <c r="L7" s="96" t="s">
        <v>1021</v>
      </c>
      <c r="M7" s="96" t="s">
        <v>1021</v>
      </c>
      <c r="N7" s="96" t="s">
        <v>1021</v>
      </c>
      <c r="O7" s="96" t="s">
        <v>1021</v>
      </c>
      <c r="P7" s="96" t="s">
        <v>1021</v>
      </c>
      <c r="Q7" s="96" t="s">
        <v>1021</v>
      </c>
    </row>
    <row r="8">
      <c r="A8" s="95">
        <v>319.0</v>
      </c>
      <c r="B8" s="96" t="s">
        <v>1012</v>
      </c>
      <c r="C8" s="96" t="s">
        <v>1013</v>
      </c>
      <c r="D8" s="96" t="s">
        <v>1014</v>
      </c>
      <c r="E8" s="96" t="str">
        <f t="shared" si="1"/>
        <v>함정순5693</v>
      </c>
      <c r="F8" s="96">
        <v>620819.0</v>
      </c>
      <c r="G8" s="95">
        <v>2.0</v>
      </c>
      <c r="H8" s="96" t="s">
        <v>1021</v>
      </c>
      <c r="I8" s="96" t="s">
        <v>1021</v>
      </c>
      <c r="J8" s="96" t="s">
        <v>6560</v>
      </c>
      <c r="K8" s="96" t="s">
        <v>6569</v>
      </c>
      <c r="L8" s="96" t="s">
        <v>6564</v>
      </c>
      <c r="M8" s="96" t="s">
        <v>1021</v>
      </c>
      <c r="N8" s="96" t="s">
        <v>1021</v>
      </c>
      <c r="O8" s="96" t="s">
        <v>1021</v>
      </c>
      <c r="P8" s="96" t="s">
        <v>1021</v>
      </c>
      <c r="Q8" s="96" t="s">
        <v>1021</v>
      </c>
    </row>
    <row r="9">
      <c r="A9" s="95">
        <v>298.0</v>
      </c>
      <c r="B9" s="96" t="s">
        <v>1950</v>
      </c>
      <c r="C9" s="96" t="s">
        <v>1168</v>
      </c>
      <c r="D9" s="96" t="s">
        <v>6570</v>
      </c>
      <c r="E9" s="96" t="str">
        <f t="shared" si="1"/>
        <v>서우주4943</v>
      </c>
      <c r="F9" s="96">
        <v>90804.0</v>
      </c>
      <c r="G9" s="95">
        <v>2.0</v>
      </c>
      <c r="H9" s="96" t="s">
        <v>1021</v>
      </c>
      <c r="I9" s="96" t="s">
        <v>1021</v>
      </c>
      <c r="J9" s="96" t="s">
        <v>6560</v>
      </c>
      <c r="K9" s="96" t="s">
        <v>6571</v>
      </c>
      <c r="L9" s="96" t="s">
        <v>6564</v>
      </c>
      <c r="M9" s="96" t="s">
        <v>1021</v>
      </c>
      <c r="N9" s="96" t="s">
        <v>1021</v>
      </c>
      <c r="O9" s="96" t="s">
        <v>1021</v>
      </c>
      <c r="P9" s="96" t="s">
        <v>1021</v>
      </c>
      <c r="Q9" s="96" t="s">
        <v>1021</v>
      </c>
    </row>
    <row r="10">
      <c r="A10" s="95">
        <v>170.0</v>
      </c>
      <c r="B10" s="96" t="s">
        <v>1287</v>
      </c>
      <c r="C10" s="96" t="s">
        <v>4490</v>
      </c>
      <c r="D10" s="96" t="s">
        <v>6572</v>
      </c>
      <c r="E10" s="96" t="str">
        <f t="shared" si="1"/>
        <v>하대호0480</v>
      </c>
      <c r="F10" s="96">
        <v>930114.0</v>
      </c>
      <c r="G10" s="95">
        <v>2.0</v>
      </c>
      <c r="H10" s="96" t="s">
        <v>1069</v>
      </c>
      <c r="I10" s="96" t="s">
        <v>1070</v>
      </c>
      <c r="J10" s="96" t="s">
        <v>6560</v>
      </c>
      <c r="K10" s="96" t="s">
        <v>6573</v>
      </c>
      <c r="L10" s="96" t="s">
        <v>6564</v>
      </c>
      <c r="M10" s="96" t="s">
        <v>6574</v>
      </c>
      <c r="N10" s="96" t="s">
        <v>6575</v>
      </c>
      <c r="O10" s="96" t="s">
        <v>3941</v>
      </c>
      <c r="P10" s="96">
        <v>1.002143653378E12</v>
      </c>
      <c r="Q10" s="96" t="s">
        <v>4490</v>
      </c>
    </row>
    <row r="11">
      <c r="A11" s="95">
        <v>1229.0</v>
      </c>
      <c r="B11" s="96" t="s">
        <v>1209</v>
      </c>
      <c r="C11" s="96" t="s">
        <v>5837</v>
      </c>
      <c r="D11" s="96" t="s">
        <v>6576</v>
      </c>
      <c r="E11" s="96" t="str">
        <f t="shared" si="1"/>
        <v>백승옥9494</v>
      </c>
      <c r="F11" s="96">
        <v>640508.0</v>
      </c>
      <c r="G11" s="95">
        <v>1.0</v>
      </c>
      <c r="H11" s="96" t="s">
        <v>1021</v>
      </c>
      <c r="I11" s="96" t="s">
        <v>1021</v>
      </c>
      <c r="J11" s="96" t="s">
        <v>6577</v>
      </c>
      <c r="K11" s="96" t="s">
        <v>6578</v>
      </c>
      <c r="L11" s="96" t="s">
        <v>6564</v>
      </c>
      <c r="M11" s="96" t="s">
        <v>1021</v>
      </c>
      <c r="N11" s="96" t="s">
        <v>1021</v>
      </c>
      <c r="O11" s="96" t="s">
        <v>1021</v>
      </c>
      <c r="P11" s="96" t="s">
        <v>1021</v>
      </c>
      <c r="Q11" s="96" t="s">
        <v>1021</v>
      </c>
    </row>
    <row r="12">
      <c r="A12" s="95">
        <v>1163.0</v>
      </c>
      <c r="B12" s="96" t="s">
        <v>1501</v>
      </c>
      <c r="C12" s="96" t="s">
        <v>4598</v>
      </c>
      <c r="D12" s="96" t="s">
        <v>4599</v>
      </c>
      <c r="E12" s="96" t="str">
        <f t="shared" si="1"/>
        <v>서순임6148</v>
      </c>
      <c r="F12" s="96">
        <v>661113.0</v>
      </c>
      <c r="G12" s="95">
        <v>1.0</v>
      </c>
      <c r="H12" s="96" t="s">
        <v>1021</v>
      </c>
      <c r="I12" s="96" t="s">
        <v>1021</v>
      </c>
      <c r="J12" s="96" t="s">
        <v>6577</v>
      </c>
      <c r="K12" s="96" t="s">
        <v>6579</v>
      </c>
      <c r="L12" s="96" t="s">
        <v>6564</v>
      </c>
      <c r="M12" s="96" t="s">
        <v>6574</v>
      </c>
      <c r="N12" s="96" t="s">
        <v>6580</v>
      </c>
      <c r="O12" s="96" t="s">
        <v>4529</v>
      </c>
      <c r="P12" s="96">
        <v>9.3712304335E10</v>
      </c>
      <c r="Q12" s="96" t="s">
        <v>4598</v>
      </c>
    </row>
    <row r="13">
      <c r="A13" s="95">
        <v>1165.0</v>
      </c>
      <c r="B13" s="96" t="s">
        <v>1501</v>
      </c>
      <c r="C13" s="96" t="s">
        <v>1693</v>
      </c>
      <c r="D13" s="96" t="s">
        <v>1694</v>
      </c>
      <c r="E13" s="96" t="str">
        <f t="shared" si="1"/>
        <v>이현정1023</v>
      </c>
      <c r="F13" s="96">
        <v>741023.0</v>
      </c>
      <c r="G13" s="95">
        <v>2.0</v>
      </c>
      <c r="H13" s="96" t="s">
        <v>6581</v>
      </c>
      <c r="I13" s="96" t="s">
        <v>6582</v>
      </c>
      <c r="J13" s="96" t="s">
        <v>6577</v>
      </c>
      <c r="K13" s="96" t="s">
        <v>6583</v>
      </c>
      <c r="L13" s="96" t="s">
        <v>6564</v>
      </c>
      <c r="M13" s="96" t="s">
        <v>6574</v>
      </c>
      <c r="N13" s="96" t="s">
        <v>6575</v>
      </c>
      <c r="O13" s="96" t="s">
        <v>3946</v>
      </c>
      <c r="P13" s="96">
        <v>5.6291003492707E13</v>
      </c>
      <c r="Q13" s="96" t="s">
        <v>1693</v>
      </c>
    </row>
    <row r="14">
      <c r="A14" s="95">
        <v>1137.0</v>
      </c>
      <c r="B14" s="96" t="s">
        <v>2053</v>
      </c>
      <c r="C14" s="96" t="s">
        <v>4542</v>
      </c>
      <c r="D14" s="96" t="s">
        <v>4544</v>
      </c>
      <c r="E14" s="96" t="str">
        <f t="shared" si="1"/>
        <v>김종석2572</v>
      </c>
      <c r="F14" s="96">
        <v>550321.0</v>
      </c>
      <c r="G14" s="95">
        <v>1.0</v>
      </c>
      <c r="H14" s="96" t="s">
        <v>1021</v>
      </c>
      <c r="I14" s="96" t="s">
        <v>1021</v>
      </c>
      <c r="J14" s="96" t="s">
        <v>6577</v>
      </c>
      <c r="K14" s="96" t="s">
        <v>6584</v>
      </c>
      <c r="L14" s="96" t="s">
        <v>6564</v>
      </c>
      <c r="M14" s="96" t="s">
        <v>6574</v>
      </c>
      <c r="N14" s="96" t="s">
        <v>6580</v>
      </c>
      <c r="O14" s="96" t="s">
        <v>4534</v>
      </c>
      <c r="P14" s="96">
        <v>3.0380104099047E13</v>
      </c>
      <c r="Q14" s="96" t="s">
        <v>4542</v>
      </c>
    </row>
    <row r="15">
      <c r="A15" s="95">
        <v>1127.0</v>
      </c>
      <c r="B15" s="96" t="s">
        <v>1358</v>
      </c>
      <c r="C15" s="96" t="s">
        <v>6585</v>
      </c>
      <c r="D15" s="96" t="s">
        <v>6586</v>
      </c>
      <c r="E15" s="96" t="str">
        <f t="shared" si="1"/>
        <v>이권옥6330</v>
      </c>
      <c r="F15" s="96">
        <v>721118.0</v>
      </c>
      <c r="G15" s="95">
        <v>1.0</v>
      </c>
      <c r="H15" s="96" t="s">
        <v>1021</v>
      </c>
      <c r="I15" s="96" t="s">
        <v>1021</v>
      </c>
      <c r="J15" s="96" t="s">
        <v>6577</v>
      </c>
      <c r="K15" s="96" t="s">
        <v>6587</v>
      </c>
      <c r="L15" s="96" t="s">
        <v>6564</v>
      </c>
      <c r="M15" s="96" t="s">
        <v>1021</v>
      </c>
      <c r="N15" s="96" t="s">
        <v>1021</v>
      </c>
      <c r="O15" s="96" t="s">
        <v>1021</v>
      </c>
      <c r="P15" s="96" t="s">
        <v>1021</v>
      </c>
      <c r="Q15" s="96" t="s">
        <v>1021</v>
      </c>
    </row>
    <row r="16">
      <c r="A16" s="95">
        <v>1026.0</v>
      </c>
      <c r="B16" s="96" t="s">
        <v>1062</v>
      </c>
      <c r="C16" s="96" t="s">
        <v>5685</v>
      </c>
      <c r="D16" s="96" t="s">
        <v>6588</v>
      </c>
      <c r="E16" s="96" t="str">
        <f t="shared" si="1"/>
        <v>최영신7030</v>
      </c>
      <c r="F16" s="96">
        <v>740310.0</v>
      </c>
      <c r="G16" s="95">
        <v>1.0</v>
      </c>
      <c r="H16" s="96" t="s">
        <v>1021</v>
      </c>
      <c r="I16" s="96" t="s">
        <v>1021</v>
      </c>
      <c r="J16" s="96" t="s">
        <v>6577</v>
      </c>
      <c r="K16" s="96" t="s">
        <v>6589</v>
      </c>
      <c r="L16" s="96" t="s">
        <v>6564</v>
      </c>
      <c r="M16" s="96" t="s">
        <v>6574</v>
      </c>
      <c r="N16" s="96" t="s">
        <v>6575</v>
      </c>
      <c r="O16" s="96" t="s">
        <v>4529</v>
      </c>
      <c r="P16" s="96">
        <v>8.2507252143737E13</v>
      </c>
      <c r="Q16" s="96" t="s">
        <v>5685</v>
      </c>
    </row>
    <row r="17">
      <c r="A17" s="95">
        <v>1030.0</v>
      </c>
      <c r="B17" s="96" t="s">
        <v>1062</v>
      </c>
      <c r="C17" s="96" t="s">
        <v>2161</v>
      </c>
      <c r="D17" s="96" t="s">
        <v>6590</v>
      </c>
      <c r="E17" s="96" t="str">
        <f t="shared" si="1"/>
        <v>함은순7393</v>
      </c>
      <c r="F17" s="96">
        <v>700527.0</v>
      </c>
      <c r="G17" s="95">
        <v>2.0</v>
      </c>
      <c r="H17" s="96" t="s">
        <v>2161</v>
      </c>
      <c r="I17" s="96" t="s">
        <v>6591</v>
      </c>
      <c r="J17" s="96" t="s">
        <v>6577</v>
      </c>
      <c r="K17" s="96" t="s">
        <v>6592</v>
      </c>
      <c r="L17" s="96" t="s">
        <v>6564</v>
      </c>
      <c r="M17" s="96" t="s">
        <v>6574</v>
      </c>
      <c r="N17" s="96" t="s">
        <v>6593</v>
      </c>
      <c r="O17" s="96" t="s">
        <v>4514</v>
      </c>
      <c r="P17" s="96">
        <v>2.1313098764E10</v>
      </c>
      <c r="Q17" s="96" t="s">
        <v>6594</v>
      </c>
    </row>
    <row r="18">
      <c r="A18" s="95">
        <v>1034.0</v>
      </c>
      <c r="B18" s="96" t="s">
        <v>1062</v>
      </c>
      <c r="C18" s="96" t="s">
        <v>4590</v>
      </c>
      <c r="D18" s="96" t="s">
        <v>4589</v>
      </c>
      <c r="E18" s="96" t="str">
        <f t="shared" si="1"/>
        <v>조성식9450</v>
      </c>
      <c r="F18" s="96">
        <v>630724.0</v>
      </c>
      <c r="G18" s="95">
        <v>1.0</v>
      </c>
      <c r="H18" s="96" t="s">
        <v>1021</v>
      </c>
      <c r="I18" s="96" t="s">
        <v>1021</v>
      </c>
      <c r="J18" s="96" t="s">
        <v>6577</v>
      </c>
      <c r="K18" s="96" t="s">
        <v>6595</v>
      </c>
      <c r="L18" s="96" t="s">
        <v>6564</v>
      </c>
      <c r="M18" s="96" t="s">
        <v>6574</v>
      </c>
      <c r="N18" s="96" t="s">
        <v>6580</v>
      </c>
      <c r="O18" s="96" t="s">
        <v>3941</v>
      </c>
      <c r="P18" s="96">
        <v>1.002030414253E12</v>
      </c>
      <c r="Q18" s="96" t="s">
        <v>4590</v>
      </c>
    </row>
    <row r="19">
      <c r="A19" s="95">
        <v>991.0</v>
      </c>
      <c r="B19" s="96" t="s">
        <v>1022</v>
      </c>
      <c r="C19" s="96" t="s">
        <v>2752</v>
      </c>
      <c r="D19" s="96" t="s">
        <v>2753</v>
      </c>
      <c r="E19" s="96" t="str">
        <f t="shared" si="1"/>
        <v>신연희0982</v>
      </c>
      <c r="F19" s="96">
        <v>641215.0</v>
      </c>
      <c r="G19" s="95">
        <v>1.0</v>
      </c>
      <c r="H19" s="96" t="s">
        <v>1021</v>
      </c>
      <c r="I19" s="96" t="s">
        <v>1021</v>
      </c>
      <c r="J19" s="96" t="s">
        <v>6577</v>
      </c>
      <c r="K19" s="96" t="s">
        <v>6596</v>
      </c>
      <c r="L19" s="96" t="s">
        <v>6564</v>
      </c>
      <c r="M19" s="96" t="s">
        <v>6574</v>
      </c>
      <c r="N19" s="96" t="s">
        <v>6580</v>
      </c>
      <c r="O19" s="96" t="s">
        <v>3983</v>
      </c>
      <c r="P19" s="96">
        <v>3.6506330677E10</v>
      </c>
      <c r="Q19" s="96" t="s">
        <v>2752</v>
      </c>
    </row>
    <row r="20">
      <c r="A20" s="95">
        <v>944.0</v>
      </c>
      <c r="B20" s="96" t="s">
        <v>1631</v>
      </c>
      <c r="C20" s="96" t="s">
        <v>3826</v>
      </c>
      <c r="D20" s="96" t="s">
        <v>6597</v>
      </c>
      <c r="E20" s="96" t="str">
        <f t="shared" si="1"/>
        <v>손미화8192</v>
      </c>
      <c r="F20" s="96">
        <v>590930.0</v>
      </c>
      <c r="G20" s="95">
        <v>1.0</v>
      </c>
      <c r="H20" s="96" t="s">
        <v>1021</v>
      </c>
      <c r="I20" s="96" t="s">
        <v>1021</v>
      </c>
      <c r="J20" s="96" t="s">
        <v>6577</v>
      </c>
      <c r="K20" s="96" t="s">
        <v>6598</v>
      </c>
      <c r="L20" s="96" t="s">
        <v>6564</v>
      </c>
      <c r="M20" s="96" t="s">
        <v>1021</v>
      </c>
      <c r="N20" s="96" t="s">
        <v>1021</v>
      </c>
      <c r="O20" s="96" t="s">
        <v>1021</v>
      </c>
      <c r="P20" s="96" t="s">
        <v>1021</v>
      </c>
      <c r="Q20" s="96" t="s">
        <v>1021</v>
      </c>
    </row>
    <row r="21">
      <c r="A21" s="95">
        <v>918.0</v>
      </c>
      <c r="B21" s="96" t="s">
        <v>1001</v>
      </c>
      <c r="C21" s="96" t="s">
        <v>1002</v>
      </c>
      <c r="D21" s="96" t="s">
        <v>1003</v>
      </c>
      <c r="E21" s="96" t="str">
        <f t="shared" si="1"/>
        <v>최원현5775</v>
      </c>
      <c r="F21" s="96">
        <v>600729.0</v>
      </c>
      <c r="G21" s="95">
        <v>2.0</v>
      </c>
      <c r="H21" s="96" t="s">
        <v>1021</v>
      </c>
      <c r="I21" s="96" t="s">
        <v>1021</v>
      </c>
      <c r="J21" s="96" t="s">
        <v>6577</v>
      </c>
      <c r="K21" s="96" t="s">
        <v>6599</v>
      </c>
      <c r="L21" s="96" t="s">
        <v>6564</v>
      </c>
      <c r="M21" s="96" t="s">
        <v>6574</v>
      </c>
      <c r="N21" s="96" t="s">
        <v>6580</v>
      </c>
      <c r="O21" s="96" t="s">
        <v>3983</v>
      </c>
      <c r="P21" s="96">
        <v>1.10478781303E11</v>
      </c>
      <c r="Q21" s="96" t="s">
        <v>1002</v>
      </c>
    </row>
    <row r="22">
      <c r="A22" s="95">
        <v>930.0</v>
      </c>
      <c r="B22" s="96" t="s">
        <v>1001</v>
      </c>
      <c r="C22" s="96" t="s">
        <v>4797</v>
      </c>
      <c r="D22" s="96" t="s">
        <v>6600</v>
      </c>
      <c r="E22" s="96" t="str">
        <f t="shared" si="1"/>
        <v>손병기6306</v>
      </c>
      <c r="F22" s="96">
        <v>681011.0</v>
      </c>
      <c r="G22" s="95">
        <v>2.0</v>
      </c>
      <c r="H22" s="96" t="s">
        <v>1021</v>
      </c>
      <c r="I22" s="96" t="s">
        <v>1021</v>
      </c>
      <c r="J22" s="96" t="s">
        <v>6577</v>
      </c>
      <c r="K22" s="96" t="s">
        <v>6601</v>
      </c>
      <c r="L22" s="96" t="s">
        <v>6564</v>
      </c>
      <c r="M22" s="96" t="s">
        <v>1021</v>
      </c>
      <c r="N22" s="96" t="s">
        <v>1021</v>
      </c>
      <c r="O22" s="96" t="s">
        <v>1021</v>
      </c>
      <c r="P22" s="96" t="s">
        <v>1021</v>
      </c>
      <c r="Q22" s="96" t="s">
        <v>1021</v>
      </c>
    </row>
    <row r="23">
      <c r="A23" s="95">
        <v>904.0</v>
      </c>
      <c r="B23" s="96" t="s">
        <v>1872</v>
      </c>
      <c r="C23" s="96" t="s">
        <v>6602</v>
      </c>
      <c r="D23" s="96" t="s">
        <v>6603</v>
      </c>
      <c r="E23" s="96" t="str">
        <f t="shared" si="1"/>
        <v>김정우7510</v>
      </c>
      <c r="F23" s="96">
        <v>960123.0</v>
      </c>
      <c r="G23" s="95">
        <v>2.0</v>
      </c>
      <c r="H23" s="96" t="s">
        <v>1021</v>
      </c>
      <c r="I23" s="96" t="s">
        <v>1021</v>
      </c>
      <c r="J23" s="96" t="s">
        <v>6577</v>
      </c>
      <c r="K23" s="96" t="s">
        <v>6604</v>
      </c>
      <c r="L23" s="96" t="s">
        <v>6564</v>
      </c>
      <c r="M23" s="96" t="s">
        <v>1021</v>
      </c>
      <c r="N23" s="96" t="s">
        <v>1021</v>
      </c>
      <c r="O23" s="96" t="s">
        <v>1021</v>
      </c>
      <c r="P23" s="96" t="s">
        <v>1021</v>
      </c>
      <c r="Q23" s="96" t="s">
        <v>1021</v>
      </c>
    </row>
    <row r="24">
      <c r="A24" s="95">
        <v>892.0</v>
      </c>
      <c r="B24" s="96" t="s">
        <v>1114</v>
      </c>
      <c r="C24" s="96" t="s">
        <v>5330</v>
      </c>
      <c r="D24" s="96" t="s">
        <v>6605</v>
      </c>
      <c r="E24" s="96" t="str">
        <f t="shared" si="1"/>
        <v>장현주0255</v>
      </c>
      <c r="F24" s="96">
        <v>680716.0</v>
      </c>
      <c r="G24" s="95">
        <v>2.0</v>
      </c>
      <c r="H24" s="96" t="s">
        <v>6606</v>
      </c>
      <c r="I24" s="96" t="s">
        <v>6607</v>
      </c>
      <c r="J24" s="96" t="s">
        <v>6577</v>
      </c>
      <c r="K24" s="96" t="s">
        <v>6608</v>
      </c>
      <c r="L24" s="96" t="s">
        <v>6564</v>
      </c>
      <c r="M24" s="96" t="s">
        <v>6574</v>
      </c>
      <c r="N24" s="96" t="s">
        <v>6575</v>
      </c>
      <c r="O24" s="96" t="s">
        <v>6609</v>
      </c>
      <c r="P24" s="96">
        <v>5.3210514175E10</v>
      </c>
      <c r="Q24" s="96" t="s">
        <v>5330</v>
      </c>
    </row>
    <row r="25">
      <c r="A25" s="95">
        <v>825.0</v>
      </c>
      <c r="B25" s="96" t="s">
        <v>1367</v>
      </c>
      <c r="C25" s="96" t="s">
        <v>6610</v>
      </c>
      <c r="D25" s="96" t="s">
        <v>4596</v>
      </c>
      <c r="E25" s="96" t="str">
        <f t="shared" si="1"/>
        <v>최윤지니엘5967</v>
      </c>
      <c r="F25" s="96">
        <v>50127.0</v>
      </c>
      <c r="G25" s="95">
        <v>2.0</v>
      </c>
      <c r="H25" s="96" t="s">
        <v>6611</v>
      </c>
      <c r="I25" s="96" t="s">
        <v>6612</v>
      </c>
      <c r="J25" s="96" t="s">
        <v>6577</v>
      </c>
      <c r="K25" s="96" t="s">
        <v>6613</v>
      </c>
      <c r="L25" s="96" t="s">
        <v>6564</v>
      </c>
      <c r="M25" s="96" t="s">
        <v>6574</v>
      </c>
      <c r="N25" s="96" t="s">
        <v>6575</v>
      </c>
      <c r="O25" s="96" t="s">
        <v>3983</v>
      </c>
      <c r="P25" s="96">
        <v>1.10430843476E11</v>
      </c>
      <c r="Q25" s="96" t="s">
        <v>1558</v>
      </c>
    </row>
    <row r="26">
      <c r="A26" s="95">
        <v>818.0</v>
      </c>
      <c r="B26" s="96" t="s">
        <v>1124</v>
      </c>
      <c r="C26" s="96" t="s">
        <v>4594</v>
      </c>
      <c r="D26" s="96" t="s">
        <v>6614</v>
      </c>
      <c r="E26" s="96" t="str">
        <f t="shared" si="1"/>
        <v>김기선8430</v>
      </c>
      <c r="F26" s="96">
        <v>601116.0</v>
      </c>
      <c r="G26" s="95">
        <v>1.0</v>
      </c>
      <c r="H26" s="96" t="s">
        <v>1021</v>
      </c>
      <c r="I26" s="96" t="s">
        <v>1021</v>
      </c>
      <c r="J26" s="96" t="s">
        <v>6577</v>
      </c>
      <c r="K26" s="96" t="s">
        <v>6615</v>
      </c>
      <c r="L26" s="96" t="s">
        <v>6564</v>
      </c>
      <c r="M26" s="96" t="s">
        <v>6574</v>
      </c>
      <c r="N26" s="96" t="s">
        <v>6580</v>
      </c>
      <c r="O26" s="96" t="s">
        <v>4558</v>
      </c>
      <c r="P26" s="96">
        <v>3.333287689323E12</v>
      </c>
      <c r="Q26" s="96" t="s">
        <v>4594</v>
      </c>
    </row>
    <row r="27">
      <c r="A27" s="95">
        <v>800.0</v>
      </c>
      <c r="B27" s="96" t="s">
        <v>2932</v>
      </c>
      <c r="C27" s="96" t="s">
        <v>6402</v>
      </c>
      <c r="D27" s="96" t="s">
        <v>6616</v>
      </c>
      <c r="E27" s="96" t="str">
        <f t="shared" si="1"/>
        <v>민충식1645</v>
      </c>
      <c r="F27" s="96">
        <v>820710.0</v>
      </c>
      <c r="G27" s="95">
        <v>2.0</v>
      </c>
      <c r="H27" s="96" t="s">
        <v>1021</v>
      </c>
      <c r="I27" s="96" t="s">
        <v>1021</v>
      </c>
      <c r="J27" s="96" t="s">
        <v>6577</v>
      </c>
      <c r="K27" s="96" t="s">
        <v>6617</v>
      </c>
      <c r="L27" s="96" t="s">
        <v>6564</v>
      </c>
      <c r="M27" s="96" t="s">
        <v>1021</v>
      </c>
      <c r="N27" s="96" t="s">
        <v>1021</v>
      </c>
      <c r="O27" s="96" t="s">
        <v>1021</v>
      </c>
      <c r="P27" s="96" t="s">
        <v>1021</v>
      </c>
      <c r="Q27" s="96" t="s">
        <v>1021</v>
      </c>
    </row>
    <row r="28">
      <c r="A28" s="95">
        <v>801.0</v>
      </c>
      <c r="B28" s="96" t="s">
        <v>2932</v>
      </c>
      <c r="C28" s="96" t="s">
        <v>3881</v>
      </c>
      <c r="D28" s="96" t="s">
        <v>3882</v>
      </c>
      <c r="E28" s="96" t="str">
        <f t="shared" si="1"/>
        <v>황연자7927</v>
      </c>
      <c r="F28" s="96">
        <v>680103.0</v>
      </c>
      <c r="G28" s="95">
        <v>1.0</v>
      </c>
      <c r="H28" s="96" t="s">
        <v>1021</v>
      </c>
      <c r="I28" s="96" t="s">
        <v>1021</v>
      </c>
      <c r="J28" s="96" t="s">
        <v>6577</v>
      </c>
      <c r="K28" s="96" t="s">
        <v>6618</v>
      </c>
      <c r="L28" s="96" t="s">
        <v>6564</v>
      </c>
      <c r="M28" s="96" t="s">
        <v>6574</v>
      </c>
      <c r="N28" s="96" t="s">
        <v>6580</v>
      </c>
      <c r="O28" s="96" t="s">
        <v>4529</v>
      </c>
      <c r="P28" s="96">
        <v>3.564548792773E12</v>
      </c>
      <c r="Q28" s="96" t="s">
        <v>3881</v>
      </c>
    </row>
    <row r="29">
      <c r="A29" s="95">
        <v>780.0</v>
      </c>
      <c r="B29" s="96" t="s">
        <v>1774</v>
      </c>
      <c r="C29" s="96" t="s">
        <v>6619</v>
      </c>
      <c r="D29" s="96" t="s">
        <v>6620</v>
      </c>
      <c r="E29" s="96" t="str">
        <f t="shared" si="1"/>
        <v>조문경2671</v>
      </c>
      <c r="F29" s="96">
        <v>710901.0</v>
      </c>
      <c r="G29" s="95">
        <v>1.0</v>
      </c>
      <c r="H29" s="96" t="s">
        <v>1021</v>
      </c>
      <c r="I29" s="96" t="s">
        <v>1021</v>
      </c>
      <c r="J29" s="96" t="s">
        <v>6577</v>
      </c>
      <c r="K29" s="96" t="s">
        <v>6621</v>
      </c>
      <c r="L29" s="96" t="s">
        <v>6564</v>
      </c>
      <c r="M29" s="96" t="s">
        <v>1021</v>
      </c>
      <c r="N29" s="96" t="s">
        <v>1021</v>
      </c>
      <c r="O29" s="96" t="s">
        <v>1021</v>
      </c>
      <c r="P29" s="96" t="s">
        <v>1021</v>
      </c>
      <c r="Q29" s="96" t="s">
        <v>1021</v>
      </c>
    </row>
    <row r="30">
      <c r="A30" s="95">
        <v>763.0</v>
      </c>
      <c r="B30" s="96" t="s">
        <v>1292</v>
      </c>
      <c r="C30" s="96" t="s">
        <v>2210</v>
      </c>
      <c r="D30" s="96" t="s">
        <v>2211</v>
      </c>
      <c r="E30" s="96" t="str">
        <f t="shared" si="1"/>
        <v>박은희3573</v>
      </c>
      <c r="F30" s="96">
        <v>660411.0</v>
      </c>
      <c r="G30" s="95">
        <v>1.0</v>
      </c>
      <c r="H30" s="96" t="s">
        <v>1021</v>
      </c>
      <c r="I30" s="96" t="s">
        <v>1021</v>
      </c>
      <c r="J30" s="96" t="s">
        <v>6577</v>
      </c>
      <c r="K30" s="96" t="s">
        <v>6622</v>
      </c>
      <c r="L30" s="96" t="s">
        <v>6564</v>
      </c>
      <c r="M30" s="96" t="s">
        <v>1021</v>
      </c>
      <c r="N30" s="96" t="s">
        <v>1021</v>
      </c>
      <c r="O30" s="96" t="s">
        <v>1021</v>
      </c>
      <c r="P30" s="96" t="s">
        <v>1021</v>
      </c>
      <c r="Q30" s="96" t="s">
        <v>1021</v>
      </c>
    </row>
    <row r="31">
      <c r="A31" s="95">
        <v>775.0</v>
      </c>
      <c r="B31" s="96" t="s">
        <v>1292</v>
      </c>
      <c r="C31" s="96" t="s">
        <v>5825</v>
      </c>
      <c r="D31" s="96" t="s">
        <v>6623</v>
      </c>
      <c r="E31" s="96" t="str">
        <f t="shared" si="1"/>
        <v>김재웅9494</v>
      </c>
      <c r="F31" s="96">
        <v>630601.0</v>
      </c>
      <c r="G31" s="95">
        <v>1.0</v>
      </c>
      <c r="H31" s="96" t="s">
        <v>1021</v>
      </c>
      <c r="I31" s="96" t="s">
        <v>1021</v>
      </c>
      <c r="J31" s="96" t="s">
        <v>6577</v>
      </c>
      <c r="K31" s="96" t="s">
        <v>6624</v>
      </c>
      <c r="L31" s="96" t="s">
        <v>6564</v>
      </c>
      <c r="M31" s="96" t="s">
        <v>1021</v>
      </c>
      <c r="N31" s="96" t="s">
        <v>1021</v>
      </c>
      <c r="O31" s="96" t="s">
        <v>1021</v>
      </c>
      <c r="P31" s="96" t="s">
        <v>1021</v>
      </c>
      <c r="Q31" s="96" t="s">
        <v>1021</v>
      </c>
    </row>
    <row r="32">
      <c r="A32" s="95">
        <v>755.0</v>
      </c>
      <c r="B32" s="96" t="s">
        <v>2156</v>
      </c>
      <c r="C32" s="96" t="s">
        <v>4604</v>
      </c>
      <c r="D32" s="96" t="s">
        <v>4606</v>
      </c>
      <c r="E32" s="96" t="str">
        <f t="shared" si="1"/>
        <v>조은영6110</v>
      </c>
      <c r="F32" s="96">
        <v>640815.0</v>
      </c>
      <c r="G32" s="95">
        <v>2.0</v>
      </c>
      <c r="H32" s="96" t="s">
        <v>6625</v>
      </c>
      <c r="I32" s="96" t="s">
        <v>6626</v>
      </c>
      <c r="J32" s="96" t="s">
        <v>6577</v>
      </c>
      <c r="K32" s="96" t="s">
        <v>6627</v>
      </c>
      <c r="L32" s="96" t="s">
        <v>6564</v>
      </c>
      <c r="M32" s="96" t="s">
        <v>6574</v>
      </c>
      <c r="N32" s="96" t="s">
        <v>6575</v>
      </c>
      <c r="O32" s="96" t="s">
        <v>3946</v>
      </c>
      <c r="P32" s="96">
        <v>9.0491012445307E13</v>
      </c>
      <c r="Q32" s="96" t="s">
        <v>4604</v>
      </c>
    </row>
    <row r="33">
      <c r="A33" s="95">
        <v>713.0</v>
      </c>
      <c r="B33" s="96" t="s">
        <v>2234</v>
      </c>
      <c r="C33" s="96" t="s">
        <v>3819</v>
      </c>
      <c r="D33" s="96" t="s">
        <v>3820</v>
      </c>
      <c r="E33" s="96" t="str">
        <f t="shared" si="1"/>
        <v>박규현5383</v>
      </c>
      <c r="F33" s="96">
        <v>751027.0</v>
      </c>
      <c r="G33" s="95">
        <v>1.0</v>
      </c>
      <c r="H33" s="96" t="s">
        <v>1021</v>
      </c>
      <c r="I33" s="96" t="s">
        <v>1021</v>
      </c>
      <c r="J33" s="96" t="s">
        <v>6577</v>
      </c>
      <c r="K33" s="96" t="s">
        <v>6628</v>
      </c>
      <c r="L33" s="96" t="s">
        <v>6564</v>
      </c>
      <c r="M33" s="96" t="s">
        <v>1021</v>
      </c>
      <c r="N33" s="96" t="s">
        <v>1021</v>
      </c>
      <c r="O33" s="96" t="s">
        <v>1021</v>
      </c>
      <c r="P33" s="96" t="s">
        <v>1021</v>
      </c>
      <c r="Q33" s="96" t="s">
        <v>1021</v>
      </c>
    </row>
    <row r="34">
      <c r="A34" s="95">
        <v>715.0</v>
      </c>
      <c r="B34" s="96" t="s">
        <v>2234</v>
      </c>
      <c r="C34" s="96" t="s">
        <v>6629</v>
      </c>
      <c r="D34" s="96" t="s">
        <v>6630</v>
      </c>
      <c r="E34" s="96" t="str">
        <f t="shared" si="1"/>
        <v>김동현2954</v>
      </c>
      <c r="F34" s="96">
        <v>720308.0</v>
      </c>
      <c r="G34" s="95">
        <v>2.0</v>
      </c>
      <c r="H34" s="96" t="s">
        <v>1021</v>
      </c>
      <c r="I34" s="96" t="s">
        <v>1021</v>
      </c>
      <c r="J34" s="96" t="s">
        <v>6577</v>
      </c>
      <c r="K34" s="96" t="s">
        <v>6631</v>
      </c>
      <c r="L34" s="96" t="s">
        <v>6564</v>
      </c>
      <c r="M34" s="96" t="s">
        <v>1021</v>
      </c>
      <c r="N34" s="96" t="s">
        <v>1021</v>
      </c>
      <c r="O34" s="96" t="s">
        <v>1021</v>
      </c>
      <c r="P34" s="96" t="s">
        <v>1021</v>
      </c>
      <c r="Q34" s="96" t="s">
        <v>1021</v>
      </c>
    </row>
    <row r="35">
      <c r="A35" s="95">
        <v>717.0</v>
      </c>
      <c r="B35" s="96" t="s">
        <v>2234</v>
      </c>
      <c r="C35" s="96" t="s">
        <v>4522</v>
      </c>
      <c r="D35" s="96" t="s">
        <v>4523</v>
      </c>
      <c r="E35" s="96" t="str">
        <f t="shared" si="1"/>
        <v>목진숙9465</v>
      </c>
      <c r="F35" s="96">
        <v>661114.0</v>
      </c>
      <c r="G35" s="95">
        <v>1.0</v>
      </c>
      <c r="H35" s="96" t="s">
        <v>1021</v>
      </c>
      <c r="I35" s="96" t="s">
        <v>1021</v>
      </c>
      <c r="J35" s="96" t="s">
        <v>6577</v>
      </c>
      <c r="K35" s="96" t="s">
        <v>6632</v>
      </c>
      <c r="L35" s="96" t="s">
        <v>6564</v>
      </c>
      <c r="M35" s="96" t="s">
        <v>6574</v>
      </c>
      <c r="N35" s="96" t="s">
        <v>6580</v>
      </c>
      <c r="O35" s="96" t="s">
        <v>3941</v>
      </c>
      <c r="P35" s="96">
        <v>2.9126620402001E13</v>
      </c>
      <c r="Q35" s="96" t="s">
        <v>4522</v>
      </c>
    </row>
    <row r="36">
      <c r="A36" s="95">
        <v>685.0</v>
      </c>
      <c r="B36" s="96" t="s">
        <v>1434</v>
      </c>
      <c r="C36" s="96" t="s">
        <v>4531</v>
      </c>
      <c r="D36" s="96" t="s">
        <v>6633</v>
      </c>
      <c r="E36" s="96" t="str">
        <f t="shared" si="1"/>
        <v>김경축4234</v>
      </c>
      <c r="F36" s="96">
        <v>490201.0</v>
      </c>
      <c r="G36" s="95">
        <v>2.0</v>
      </c>
      <c r="H36" s="96" t="s">
        <v>1021</v>
      </c>
      <c r="I36" s="96" t="s">
        <v>1021</v>
      </c>
      <c r="J36" s="96" t="s">
        <v>6577</v>
      </c>
      <c r="K36" s="96" t="s">
        <v>6634</v>
      </c>
      <c r="L36" s="96" t="s">
        <v>6564</v>
      </c>
      <c r="M36" s="96" t="s">
        <v>6574</v>
      </c>
      <c r="N36" s="96" t="s">
        <v>6575</v>
      </c>
      <c r="O36" s="96" t="s">
        <v>4529</v>
      </c>
      <c r="P36" s="96">
        <v>2.0701352036741E13</v>
      </c>
      <c r="Q36" s="96" t="s">
        <v>4531</v>
      </c>
    </row>
    <row r="37">
      <c r="A37" s="95">
        <v>648.0</v>
      </c>
      <c r="B37" s="96" t="s">
        <v>1415</v>
      </c>
      <c r="C37" s="96" t="s">
        <v>6635</v>
      </c>
      <c r="D37" s="96" t="s">
        <v>6636</v>
      </c>
      <c r="E37" s="96" t="str">
        <f t="shared" si="1"/>
        <v>차성애2464</v>
      </c>
      <c r="F37" s="96">
        <v>640725.0</v>
      </c>
      <c r="G37" s="95">
        <v>1.0</v>
      </c>
      <c r="H37" s="96" t="s">
        <v>1021</v>
      </c>
      <c r="I37" s="96" t="s">
        <v>1021</v>
      </c>
      <c r="J37" s="96" t="s">
        <v>6577</v>
      </c>
      <c r="K37" s="96" t="s">
        <v>6637</v>
      </c>
      <c r="L37" s="96" t="s">
        <v>6564</v>
      </c>
      <c r="M37" s="96" t="s">
        <v>1021</v>
      </c>
      <c r="N37" s="96" t="s">
        <v>1021</v>
      </c>
      <c r="O37" s="96" t="s">
        <v>1021</v>
      </c>
      <c r="P37" s="96" t="s">
        <v>1021</v>
      </c>
      <c r="Q37" s="96" t="s">
        <v>1021</v>
      </c>
    </row>
    <row r="38">
      <c r="A38" s="95">
        <v>656.0</v>
      </c>
      <c r="B38" s="96" t="s">
        <v>1415</v>
      </c>
      <c r="C38" s="96" t="s">
        <v>4581</v>
      </c>
      <c r="D38" s="96" t="s">
        <v>6638</v>
      </c>
      <c r="E38" s="96" t="str">
        <f t="shared" si="1"/>
        <v>이형순8371</v>
      </c>
      <c r="F38" s="96">
        <v>611214.0</v>
      </c>
      <c r="G38" s="95">
        <v>2.0</v>
      </c>
      <c r="H38" s="96" t="s">
        <v>6639</v>
      </c>
      <c r="I38" s="96" t="s">
        <v>6640</v>
      </c>
      <c r="J38" s="96" t="s">
        <v>6577</v>
      </c>
      <c r="K38" s="96" t="s">
        <v>6641</v>
      </c>
      <c r="L38" s="96" t="s">
        <v>6564</v>
      </c>
      <c r="M38" s="96" t="s">
        <v>6574</v>
      </c>
      <c r="N38" s="96" t="s">
        <v>6575</v>
      </c>
      <c r="O38" s="96" t="s">
        <v>4534</v>
      </c>
      <c r="P38" s="96">
        <v>5.8540101426589E13</v>
      </c>
      <c r="Q38" s="96" t="s">
        <v>4581</v>
      </c>
    </row>
    <row r="39">
      <c r="A39" s="95">
        <v>592.0</v>
      </c>
      <c r="B39" s="96" t="s">
        <v>1825</v>
      </c>
      <c r="C39" s="96" t="s">
        <v>3822</v>
      </c>
      <c r="D39" s="96" t="s">
        <v>3823</v>
      </c>
      <c r="E39" s="96" t="str">
        <f t="shared" si="1"/>
        <v>강종오8620</v>
      </c>
      <c r="F39" s="96">
        <v>660306.0</v>
      </c>
      <c r="G39" s="95">
        <v>2.0</v>
      </c>
      <c r="H39" s="96" t="s">
        <v>6642</v>
      </c>
      <c r="I39" s="96" t="s">
        <v>6643</v>
      </c>
      <c r="J39" s="96" t="s">
        <v>6577</v>
      </c>
      <c r="K39" s="96" t="s">
        <v>6644</v>
      </c>
      <c r="L39" s="96" t="s">
        <v>6564</v>
      </c>
      <c r="M39" s="96" t="s">
        <v>6574</v>
      </c>
      <c r="N39" s="96" t="s">
        <v>6575</v>
      </c>
      <c r="O39" s="96" t="s">
        <v>4529</v>
      </c>
      <c r="P39" s="96">
        <v>2.3713456188855E13</v>
      </c>
      <c r="Q39" s="96" t="s">
        <v>3822</v>
      </c>
    </row>
    <row r="40">
      <c r="A40" s="95">
        <v>578.0</v>
      </c>
      <c r="B40" s="96" t="s">
        <v>1344</v>
      </c>
      <c r="C40" s="96" t="s">
        <v>4583</v>
      </c>
      <c r="D40" s="96" t="s">
        <v>6645</v>
      </c>
      <c r="E40" s="96" t="str">
        <f t="shared" si="1"/>
        <v>장시아6446</v>
      </c>
      <c r="F40" s="96">
        <v>920626.0</v>
      </c>
      <c r="G40" s="95">
        <v>2.0</v>
      </c>
      <c r="H40" s="96" t="s">
        <v>1021</v>
      </c>
      <c r="I40" s="96" t="s">
        <v>1021</v>
      </c>
      <c r="J40" s="96" t="s">
        <v>6577</v>
      </c>
      <c r="K40" s="96" t="s">
        <v>6646</v>
      </c>
      <c r="L40" s="96" t="s">
        <v>6564</v>
      </c>
      <c r="M40" s="96" t="s">
        <v>6574</v>
      </c>
      <c r="N40" s="96" t="s">
        <v>6575</v>
      </c>
      <c r="O40" s="96" t="s">
        <v>4584</v>
      </c>
      <c r="P40" s="96">
        <v>2.0601857901052E13</v>
      </c>
      <c r="Q40" s="96" t="s">
        <v>4583</v>
      </c>
    </row>
    <row r="41">
      <c r="A41" s="95">
        <v>513.0</v>
      </c>
      <c r="B41" s="96" t="s">
        <v>1095</v>
      </c>
      <c r="C41" s="96" t="s">
        <v>6355</v>
      </c>
      <c r="D41" s="96" t="s">
        <v>6647</v>
      </c>
      <c r="E41" s="96" t="str">
        <f t="shared" si="1"/>
        <v>유형우5758</v>
      </c>
      <c r="F41" s="96">
        <v>920315.0</v>
      </c>
      <c r="G41" s="95">
        <v>2.0</v>
      </c>
      <c r="H41" s="96" t="s">
        <v>1021</v>
      </c>
      <c r="I41" s="96" t="s">
        <v>1021</v>
      </c>
      <c r="J41" s="96" t="s">
        <v>6577</v>
      </c>
      <c r="K41" s="96" t="s">
        <v>6648</v>
      </c>
      <c r="L41" s="96" t="s">
        <v>6564</v>
      </c>
      <c r="M41" s="96" t="s">
        <v>1021</v>
      </c>
      <c r="N41" s="96" t="s">
        <v>1021</v>
      </c>
      <c r="O41" s="96" t="s">
        <v>1021</v>
      </c>
      <c r="P41" s="96" t="s">
        <v>1021</v>
      </c>
      <c r="Q41" s="96" t="s">
        <v>1021</v>
      </c>
    </row>
    <row r="42">
      <c r="A42" s="95">
        <v>476.0</v>
      </c>
      <c r="B42" s="96" t="s">
        <v>1042</v>
      </c>
      <c r="C42" s="96" t="s">
        <v>4921</v>
      </c>
      <c r="D42" s="96" t="s">
        <v>6649</v>
      </c>
      <c r="E42" s="96" t="str">
        <f t="shared" si="1"/>
        <v>현경애8597</v>
      </c>
      <c r="F42" s="96">
        <v>570120.0</v>
      </c>
      <c r="G42" s="95">
        <v>1.0</v>
      </c>
      <c r="H42" s="96" t="s">
        <v>1021</v>
      </c>
      <c r="I42" s="96" t="s">
        <v>1021</v>
      </c>
      <c r="J42" s="96" t="s">
        <v>6577</v>
      </c>
      <c r="K42" s="96" t="s">
        <v>6650</v>
      </c>
      <c r="L42" s="96" t="s">
        <v>6564</v>
      </c>
      <c r="M42" s="96" t="s">
        <v>1021</v>
      </c>
      <c r="N42" s="96" t="s">
        <v>1021</v>
      </c>
      <c r="O42" s="96" t="s">
        <v>1021</v>
      </c>
      <c r="P42" s="96" t="s">
        <v>1021</v>
      </c>
      <c r="Q42" s="96" t="s">
        <v>1021</v>
      </c>
    </row>
    <row r="43">
      <c r="A43" s="95">
        <v>459.0</v>
      </c>
      <c r="B43" s="96" t="s">
        <v>1626</v>
      </c>
      <c r="C43" s="96" t="s">
        <v>3103</v>
      </c>
      <c r="D43" s="96" t="s">
        <v>6651</v>
      </c>
      <c r="E43" s="96" t="str">
        <f t="shared" si="1"/>
        <v>김영선5893</v>
      </c>
      <c r="F43" s="96">
        <v>710104.0</v>
      </c>
      <c r="G43" s="95">
        <v>1.0</v>
      </c>
      <c r="H43" s="96" t="s">
        <v>1021</v>
      </c>
      <c r="I43" s="96" t="s">
        <v>1021</v>
      </c>
      <c r="J43" s="96" t="s">
        <v>6577</v>
      </c>
      <c r="K43" s="96" t="s">
        <v>6652</v>
      </c>
      <c r="L43" s="96" t="s">
        <v>6564</v>
      </c>
      <c r="M43" s="96" t="s">
        <v>1021</v>
      </c>
      <c r="N43" s="96" t="s">
        <v>1021</v>
      </c>
      <c r="O43" s="96" t="s">
        <v>1021</v>
      </c>
      <c r="P43" s="96" t="s">
        <v>1021</v>
      </c>
      <c r="Q43" s="96" t="s">
        <v>1021</v>
      </c>
    </row>
    <row r="44">
      <c r="A44" s="95">
        <v>439.0</v>
      </c>
      <c r="B44" s="96" t="s">
        <v>1381</v>
      </c>
      <c r="C44" s="96" t="s">
        <v>4783</v>
      </c>
      <c r="D44" s="96" t="s">
        <v>4784</v>
      </c>
      <c r="E44" s="96" t="str">
        <f t="shared" si="1"/>
        <v>노민영6536</v>
      </c>
      <c r="F44" s="96">
        <v>610412.0</v>
      </c>
      <c r="G44" s="95">
        <v>1.0</v>
      </c>
      <c r="H44" s="96" t="s">
        <v>1021</v>
      </c>
      <c r="I44" s="96" t="s">
        <v>1021</v>
      </c>
      <c r="J44" s="96" t="s">
        <v>6577</v>
      </c>
      <c r="K44" s="96" t="s">
        <v>6653</v>
      </c>
      <c r="L44" s="96" t="s">
        <v>6564</v>
      </c>
      <c r="M44" s="96" t="s">
        <v>1021</v>
      </c>
      <c r="N44" s="96" t="s">
        <v>1021</v>
      </c>
      <c r="O44" s="96" t="s">
        <v>1021</v>
      </c>
      <c r="P44" s="96" t="s">
        <v>1021</v>
      </c>
      <c r="Q44" s="96" t="s">
        <v>1021</v>
      </c>
    </row>
    <row r="45">
      <c r="A45" s="95">
        <v>440.0</v>
      </c>
      <c r="B45" s="96" t="s">
        <v>1381</v>
      </c>
      <c r="C45" s="96" t="s">
        <v>1320</v>
      </c>
      <c r="D45" s="96" t="s">
        <v>6654</v>
      </c>
      <c r="E45" s="96" t="str">
        <f t="shared" si="1"/>
        <v>황선영9896</v>
      </c>
      <c r="F45" s="96">
        <v>750711.0</v>
      </c>
      <c r="G45" s="95">
        <v>2.0</v>
      </c>
      <c r="H45" s="96" t="s">
        <v>1021</v>
      </c>
      <c r="I45" s="96" t="s">
        <v>1021</v>
      </c>
      <c r="J45" s="96" t="s">
        <v>6577</v>
      </c>
      <c r="K45" s="96" t="s">
        <v>6655</v>
      </c>
      <c r="L45" s="96" t="s">
        <v>6564</v>
      </c>
      <c r="M45" s="96" t="s">
        <v>1021</v>
      </c>
      <c r="N45" s="96" t="s">
        <v>1021</v>
      </c>
      <c r="O45" s="96" t="s">
        <v>1021</v>
      </c>
      <c r="P45" s="96" t="s">
        <v>1021</v>
      </c>
      <c r="Q45" s="96" t="s">
        <v>1021</v>
      </c>
    </row>
    <row r="46">
      <c r="A46" s="95">
        <v>419.0</v>
      </c>
      <c r="B46" s="96" t="s">
        <v>1037</v>
      </c>
      <c r="C46" s="96" t="s">
        <v>6656</v>
      </c>
      <c r="D46" s="96" t="s">
        <v>6657</v>
      </c>
      <c r="E46" s="96" t="str">
        <f t="shared" si="1"/>
        <v>장은지6551</v>
      </c>
      <c r="F46" s="96">
        <v>960508.0</v>
      </c>
      <c r="G46" s="95">
        <v>2.0</v>
      </c>
      <c r="H46" s="96" t="s">
        <v>1021</v>
      </c>
      <c r="I46" s="96" t="s">
        <v>1021</v>
      </c>
      <c r="J46" s="96" t="s">
        <v>6577</v>
      </c>
      <c r="K46" s="96" t="s">
        <v>6658</v>
      </c>
      <c r="L46" s="96" t="s">
        <v>6564</v>
      </c>
      <c r="M46" s="96" t="s">
        <v>1021</v>
      </c>
      <c r="N46" s="96" t="s">
        <v>1021</v>
      </c>
      <c r="O46" s="96" t="s">
        <v>1021</v>
      </c>
      <c r="P46" s="96" t="s">
        <v>1021</v>
      </c>
      <c r="Q46" s="96" t="s">
        <v>1021</v>
      </c>
    </row>
    <row r="47">
      <c r="A47" s="95">
        <v>398.0</v>
      </c>
      <c r="B47" s="96" t="s">
        <v>1195</v>
      </c>
      <c r="C47" s="96" t="s">
        <v>6659</v>
      </c>
      <c r="D47" s="96" t="s">
        <v>6660</v>
      </c>
      <c r="E47" s="96" t="str">
        <f t="shared" si="1"/>
        <v>최행자0123</v>
      </c>
      <c r="F47" s="96">
        <v>681115.0</v>
      </c>
      <c r="G47" s="95">
        <v>2.0</v>
      </c>
      <c r="H47" s="96" t="s">
        <v>1021</v>
      </c>
      <c r="I47" s="96" t="s">
        <v>1021</v>
      </c>
      <c r="J47" s="96" t="s">
        <v>6577</v>
      </c>
      <c r="K47" s="96" t="s">
        <v>6661</v>
      </c>
      <c r="L47" s="96" t="s">
        <v>6564</v>
      </c>
      <c r="M47" s="96" t="s">
        <v>1021</v>
      </c>
      <c r="N47" s="96" t="s">
        <v>1021</v>
      </c>
      <c r="O47" s="96" t="s">
        <v>1021</v>
      </c>
      <c r="P47" s="96" t="s">
        <v>1021</v>
      </c>
      <c r="Q47" s="96" t="s">
        <v>1021</v>
      </c>
    </row>
    <row r="48">
      <c r="A48" s="95">
        <v>408.0</v>
      </c>
      <c r="B48" s="96" t="s">
        <v>1195</v>
      </c>
      <c r="C48" s="96" t="s">
        <v>2708</v>
      </c>
      <c r="D48" s="96" t="s">
        <v>6662</v>
      </c>
      <c r="E48" s="96" t="str">
        <f t="shared" si="1"/>
        <v>강태구8691</v>
      </c>
      <c r="F48" s="96">
        <v>941128.0</v>
      </c>
      <c r="G48" s="95">
        <v>2.0</v>
      </c>
      <c r="H48" s="96" t="s">
        <v>1021</v>
      </c>
      <c r="I48" s="96" t="s">
        <v>1021</v>
      </c>
      <c r="J48" s="96" t="s">
        <v>6577</v>
      </c>
      <c r="K48" s="96" t="s">
        <v>6663</v>
      </c>
      <c r="L48" s="96" t="s">
        <v>6564</v>
      </c>
      <c r="M48" s="96" t="s">
        <v>1021</v>
      </c>
      <c r="N48" s="96" t="s">
        <v>1021</v>
      </c>
      <c r="O48" s="96" t="s">
        <v>1021</v>
      </c>
      <c r="P48" s="96" t="s">
        <v>1021</v>
      </c>
      <c r="Q48" s="96" t="s">
        <v>1021</v>
      </c>
    </row>
    <row r="49">
      <c r="A49" s="95">
        <v>369.0</v>
      </c>
      <c r="B49" s="96" t="s">
        <v>1086</v>
      </c>
      <c r="C49" s="96" t="s">
        <v>5851</v>
      </c>
      <c r="D49" s="96" t="s">
        <v>6664</v>
      </c>
      <c r="E49" s="96" t="str">
        <f t="shared" si="1"/>
        <v>김태기8383</v>
      </c>
      <c r="F49" s="96">
        <v>741007.0</v>
      </c>
      <c r="G49" s="95">
        <v>2.0</v>
      </c>
      <c r="H49" s="96" t="s">
        <v>1021</v>
      </c>
      <c r="I49" s="96" t="s">
        <v>1021</v>
      </c>
      <c r="J49" s="96" t="s">
        <v>6577</v>
      </c>
      <c r="K49" s="96" t="s">
        <v>6665</v>
      </c>
      <c r="L49" s="96" t="s">
        <v>6564</v>
      </c>
      <c r="M49" s="96" t="s">
        <v>1021</v>
      </c>
      <c r="N49" s="96" t="s">
        <v>1021</v>
      </c>
      <c r="O49" s="96" t="s">
        <v>1021</v>
      </c>
      <c r="P49" s="96" t="s">
        <v>1021</v>
      </c>
      <c r="Q49" s="96" t="s">
        <v>1021</v>
      </c>
    </row>
    <row r="50">
      <c r="A50" s="95">
        <v>347.0</v>
      </c>
      <c r="B50" s="96" t="s">
        <v>1032</v>
      </c>
      <c r="C50" s="96" t="s">
        <v>4536</v>
      </c>
      <c r="D50" s="96" t="s">
        <v>6666</v>
      </c>
      <c r="E50" s="96" t="str">
        <f t="shared" si="1"/>
        <v>안수진2502</v>
      </c>
      <c r="F50" s="96">
        <v>970509.0</v>
      </c>
      <c r="G50" s="95">
        <v>2.0</v>
      </c>
      <c r="H50" s="96" t="s">
        <v>6667</v>
      </c>
      <c r="I50" s="96" t="s">
        <v>6668</v>
      </c>
      <c r="J50" s="96" t="s">
        <v>6577</v>
      </c>
      <c r="K50" s="96" t="s">
        <v>6669</v>
      </c>
      <c r="L50" s="96" t="s">
        <v>6564</v>
      </c>
      <c r="M50" s="96" t="s">
        <v>6574</v>
      </c>
      <c r="N50" s="96" t="s">
        <v>6575</v>
      </c>
      <c r="O50" s="96" t="s">
        <v>4534</v>
      </c>
      <c r="P50" s="96">
        <v>8.4400101571139E13</v>
      </c>
      <c r="Q50" s="96" t="s">
        <v>4536</v>
      </c>
    </row>
    <row r="51">
      <c r="A51" s="95">
        <v>341.0</v>
      </c>
      <c r="B51" s="96" t="s">
        <v>1052</v>
      </c>
      <c r="C51" s="96" t="s">
        <v>4587</v>
      </c>
      <c r="D51" s="96" t="s">
        <v>4586</v>
      </c>
      <c r="E51" s="96" t="str">
        <f t="shared" si="1"/>
        <v>이금주6975</v>
      </c>
      <c r="F51" s="96">
        <v>530401.0</v>
      </c>
      <c r="G51" s="95">
        <v>2.0</v>
      </c>
      <c r="H51" s="96" t="s">
        <v>6670</v>
      </c>
      <c r="I51" s="96" t="s">
        <v>6671</v>
      </c>
      <c r="J51" s="96" t="s">
        <v>6577</v>
      </c>
      <c r="K51" s="96" t="s">
        <v>6672</v>
      </c>
      <c r="L51" s="96" t="s">
        <v>6564</v>
      </c>
      <c r="M51" s="96" t="s">
        <v>6574</v>
      </c>
      <c r="N51" s="96" t="s">
        <v>6575</v>
      </c>
      <c r="O51" s="96" t="s">
        <v>3983</v>
      </c>
      <c r="P51" s="96">
        <v>5.5004451102E10</v>
      </c>
      <c r="Q51" s="96" t="s">
        <v>4587</v>
      </c>
    </row>
    <row r="52">
      <c r="A52" s="95">
        <v>318.0</v>
      </c>
      <c r="B52" s="96" t="s">
        <v>2773</v>
      </c>
      <c r="C52" s="96" t="s">
        <v>6274</v>
      </c>
      <c r="D52" s="96" t="s">
        <v>6673</v>
      </c>
      <c r="E52" s="96" t="str">
        <f t="shared" si="1"/>
        <v>정수연6464</v>
      </c>
      <c r="F52" s="96">
        <v>690830.0</v>
      </c>
      <c r="G52" s="95">
        <v>2.0</v>
      </c>
      <c r="H52" s="96" t="s">
        <v>1021</v>
      </c>
      <c r="I52" s="96" t="s">
        <v>1021</v>
      </c>
      <c r="J52" s="96" t="s">
        <v>6577</v>
      </c>
      <c r="K52" s="96" t="s">
        <v>6674</v>
      </c>
      <c r="L52" s="96" t="s">
        <v>6564</v>
      </c>
      <c r="M52" s="96" t="s">
        <v>1021</v>
      </c>
      <c r="N52" s="96" t="s">
        <v>1021</v>
      </c>
      <c r="O52" s="96" t="s">
        <v>1021</v>
      </c>
      <c r="P52" s="96" t="s">
        <v>1021</v>
      </c>
      <c r="Q52" s="96" t="s">
        <v>1021</v>
      </c>
    </row>
    <row r="53">
      <c r="A53" s="95">
        <v>301.0</v>
      </c>
      <c r="B53" s="96" t="s">
        <v>1950</v>
      </c>
      <c r="C53" s="96" t="s">
        <v>5570</v>
      </c>
      <c r="D53" s="96" t="s">
        <v>6675</v>
      </c>
      <c r="E53" s="96" t="str">
        <f t="shared" si="1"/>
        <v>김인숙6492</v>
      </c>
      <c r="F53" s="96">
        <v>620807.0</v>
      </c>
      <c r="G53" s="95">
        <v>2.0</v>
      </c>
      <c r="H53" s="96" t="s">
        <v>1021</v>
      </c>
      <c r="I53" s="96" t="s">
        <v>1021</v>
      </c>
      <c r="J53" s="96" t="s">
        <v>6577</v>
      </c>
      <c r="K53" s="96" t="s">
        <v>6676</v>
      </c>
      <c r="L53" s="96" t="s">
        <v>6564</v>
      </c>
      <c r="M53" s="96" t="s">
        <v>6574</v>
      </c>
      <c r="N53" s="96" t="s">
        <v>6575</v>
      </c>
      <c r="O53" s="96" t="s">
        <v>3937</v>
      </c>
      <c r="P53" s="96">
        <v>1.391202384007E12</v>
      </c>
      <c r="Q53" s="96" t="s">
        <v>6677</v>
      </c>
    </row>
    <row r="54">
      <c r="A54" s="95">
        <v>280.0</v>
      </c>
      <c r="B54" s="96" t="s">
        <v>1645</v>
      </c>
      <c r="C54" s="96" t="s">
        <v>1521</v>
      </c>
      <c r="D54" s="96" t="s">
        <v>4566</v>
      </c>
      <c r="E54" s="96" t="str">
        <f t="shared" si="1"/>
        <v>조정희1020</v>
      </c>
      <c r="F54" s="96">
        <v>681215.0</v>
      </c>
      <c r="G54" s="95">
        <v>1.0</v>
      </c>
      <c r="H54" s="96" t="s">
        <v>1021</v>
      </c>
      <c r="I54" s="96" t="s">
        <v>1021</v>
      </c>
      <c r="J54" s="96" t="s">
        <v>6577</v>
      </c>
      <c r="K54" s="96" t="s">
        <v>6678</v>
      </c>
      <c r="L54" s="96" t="s">
        <v>6564</v>
      </c>
      <c r="M54" s="96" t="s">
        <v>6574</v>
      </c>
      <c r="N54" s="96" t="s">
        <v>6580</v>
      </c>
      <c r="O54" s="96" t="s">
        <v>3946</v>
      </c>
      <c r="P54" s="96">
        <v>1.0989032816807E13</v>
      </c>
      <c r="Q54" s="96" t="s">
        <v>1521</v>
      </c>
    </row>
    <row r="55">
      <c r="A55" s="95">
        <v>241.0</v>
      </c>
      <c r="B55" s="96" t="s">
        <v>1739</v>
      </c>
      <c r="C55" s="96" t="s">
        <v>1533</v>
      </c>
      <c r="D55" s="96" t="s">
        <v>6679</v>
      </c>
      <c r="E55" s="96" t="str">
        <f t="shared" si="1"/>
        <v>조성희0942</v>
      </c>
      <c r="F55" s="96">
        <v>701110.0</v>
      </c>
      <c r="G55" s="95">
        <v>2.0</v>
      </c>
      <c r="H55" s="96" t="s">
        <v>1021</v>
      </c>
      <c r="I55" s="96" t="s">
        <v>1021</v>
      </c>
      <c r="J55" s="96" t="s">
        <v>6577</v>
      </c>
      <c r="K55" s="96" t="s">
        <v>6680</v>
      </c>
      <c r="L55" s="96" t="s">
        <v>6564</v>
      </c>
      <c r="M55" s="96" t="s">
        <v>1021</v>
      </c>
      <c r="N55" s="96" t="s">
        <v>1021</v>
      </c>
      <c r="O55" s="96" t="s">
        <v>1021</v>
      </c>
      <c r="P55" s="96" t="s">
        <v>1021</v>
      </c>
      <c r="Q55" s="96" t="s">
        <v>1021</v>
      </c>
    </row>
    <row r="56">
      <c r="A56" s="95">
        <v>243.0</v>
      </c>
      <c r="B56" s="96" t="s">
        <v>1739</v>
      </c>
      <c r="C56" s="96" t="s">
        <v>6681</v>
      </c>
      <c r="D56" s="96" t="s">
        <v>6682</v>
      </c>
      <c r="E56" s="96" t="str">
        <f t="shared" si="1"/>
        <v>정재은2744</v>
      </c>
      <c r="F56" s="96">
        <v>791118.0</v>
      </c>
      <c r="G56" s="95">
        <v>2.0</v>
      </c>
      <c r="H56" s="96" t="s">
        <v>1021</v>
      </c>
      <c r="I56" s="96" t="s">
        <v>1021</v>
      </c>
      <c r="J56" s="96" t="s">
        <v>6577</v>
      </c>
      <c r="K56" s="96" t="s">
        <v>6683</v>
      </c>
      <c r="L56" s="96" t="s">
        <v>6564</v>
      </c>
      <c r="M56" s="96" t="s">
        <v>1021</v>
      </c>
      <c r="N56" s="96" t="s">
        <v>1021</v>
      </c>
      <c r="O56" s="96" t="s">
        <v>1021</v>
      </c>
      <c r="P56" s="96" t="s">
        <v>1021</v>
      </c>
      <c r="Q56" s="96" t="s">
        <v>1021</v>
      </c>
    </row>
    <row r="57">
      <c r="A57" s="95">
        <v>236.0</v>
      </c>
      <c r="B57" s="96" t="s">
        <v>1933</v>
      </c>
      <c r="C57" s="96" t="s">
        <v>5940</v>
      </c>
      <c r="D57" s="96" t="s">
        <v>6684</v>
      </c>
      <c r="E57" s="96" t="str">
        <f t="shared" si="1"/>
        <v>정태호4478</v>
      </c>
      <c r="F57" s="96">
        <v>690905.0</v>
      </c>
      <c r="G57" s="95">
        <v>2.0</v>
      </c>
      <c r="H57" s="96" t="s">
        <v>6685</v>
      </c>
      <c r="I57" s="96" t="s">
        <v>6686</v>
      </c>
      <c r="J57" s="96" t="s">
        <v>6577</v>
      </c>
      <c r="K57" s="96" t="s">
        <v>6687</v>
      </c>
      <c r="L57" s="96" t="s">
        <v>6564</v>
      </c>
      <c r="M57" s="96" t="s">
        <v>1021</v>
      </c>
      <c r="N57" s="96" t="s">
        <v>1021</v>
      </c>
      <c r="O57" s="96" t="s">
        <v>1021</v>
      </c>
      <c r="P57" s="96" t="s">
        <v>1021</v>
      </c>
      <c r="Q57" s="96" t="s">
        <v>1021</v>
      </c>
    </row>
    <row r="58">
      <c r="A58" s="95">
        <v>223.0</v>
      </c>
      <c r="B58" s="96" t="s">
        <v>1575</v>
      </c>
      <c r="C58" s="96" t="s">
        <v>6688</v>
      </c>
      <c r="D58" s="96" t="s">
        <v>6689</v>
      </c>
      <c r="E58" s="96" t="s">
        <v>127</v>
      </c>
      <c r="F58" s="96">
        <v>540314.0</v>
      </c>
      <c r="G58" s="95">
        <v>1.0</v>
      </c>
      <c r="H58" s="96" t="s">
        <v>1021</v>
      </c>
      <c r="I58" s="96" t="s">
        <v>1021</v>
      </c>
      <c r="J58" s="96" t="s">
        <v>6577</v>
      </c>
      <c r="K58" s="96" t="s">
        <v>6690</v>
      </c>
      <c r="L58" s="96" t="s">
        <v>6564</v>
      </c>
      <c r="M58" s="96" t="s">
        <v>6574</v>
      </c>
      <c r="N58" s="96" t="s">
        <v>6580</v>
      </c>
      <c r="O58" s="96" t="s">
        <v>3941</v>
      </c>
      <c r="P58" s="96">
        <v>1.002439104279E12</v>
      </c>
      <c r="Q58" s="96" t="s">
        <v>6688</v>
      </c>
    </row>
    <row r="59">
      <c r="A59" s="95">
        <v>217.0</v>
      </c>
      <c r="B59" s="96" t="s">
        <v>2749</v>
      </c>
      <c r="C59" s="96" t="s">
        <v>2115</v>
      </c>
      <c r="D59" s="96" t="s">
        <v>2751</v>
      </c>
      <c r="E59" s="96" t="str">
        <f t="shared" ref="E59:E61" si="2">concatenate(C59,right(D59,4))</f>
        <v>김하나0794</v>
      </c>
      <c r="F59" s="96">
        <v>570705.0</v>
      </c>
      <c r="G59" s="95">
        <v>1.0</v>
      </c>
      <c r="H59" s="96" t="s">
        <v>1021</v>
      </c>
      <c r="I59" s="96" t="s">
        <v>1021</v>
      </c>
      <c r="J59" s="96" t="s">
        <v>6577</v>
      </c>
      <c r="K59" s="96" t="s">
        <v>6691</v>
      </c>
      <c r="L59" s="96" t="s">
        <v>6564</v>
      </c>
      <c r="M59" s="96" t="s">
        <v>6574</v>
      </c>
      <c r="N59" s="96" t="s">
        <v>6580</v>
      </c>
      <c r="O59" s="96" t="s">
        <v>4534</v>
      </c>
      <c r="P59" s="96">
        <v>2.0260204046024E13</v>
      </c>
      <c r="Q59" s="96" t="s">
        <v>2115</v>
      </c>
    </row>
    <row r="60">
      <c r="A60" s="95">
        <v>204.0</v>
      </c>
      <c r="B60" s="96" t="s">
        <v>1109</v>
      </c>
      <c r="C60" s="96" t="s">
        <v>4569</v>
      </c>
      <c r="D60" s="96" t="s">
        <v>6692</v>
      </c>
      <c r="E60" s="96" t="str">
        <f t="shared" si="2"/>
        <v>홍수민7173</v>
      </c>
      <c r="F60" s="96">
        <v>920618.0</v>
      </c>
      <c r="G60" s="95">
        <v>1.0</v>
      </c>
      <c r="H60" s="96" t="s">
        <v>1021</v>
      </c>
      <c r="I60" s="96" t="s">
        <v>1021</v>
      </c>
      <c r="J60" s="96" t="s">
        <v>6577</v>
      </c>
      <c r="K60" s="96" t="s">
        <v>6693</v>
      </c>
      <c r="L60" s="96" t="s">
        <v>6564</v>
      </c>
      <c r="M60" s="96" t="s">
        <v>6574</v>
      </c>
      <c r="N60" s="96" t="s">
        <v>6580</v>
      </c>
      <c r="O60" s="96" t="s">
        <v>4529</v>
      </c>
      <c r="P60" s="96">
        <v>3.521665822603E12</v>
      </c>
      <c r="Q60" s="96" t="s">
        <v>4569</v>
      </c>
    </row>
    <row r="61">
      <c r="A61" s="95">
        <v>145.0</v>
      </c>
      <c r="B61" s="96" t="s">
        <v>996</v>
      </c>
      <c r="C61" s="96" t="s">
        <v>997</v>
      </c>
      <c r="D61" s="96" t="s">
        <v>998</v>
      </c>
      <c r="E61" s="96" t="str">
        <f t="shared" si="2"/>
        <v>김영련1199</v>
      </c>
      <c r="F61" s="96">
        <v>580809.0</v>
      </c>
      <c r="G61" s="95">
        <v>2.0</v>
      </c>
      <c r="H61" s="96" t="s">
        <v>999</v>
      </c>
      <c r="I61" s="96" t="s">
        <v>1000</v>
      </c>
      <c r="J61" s="96" t="s">
        <v>6577</v>
      </c>
      <c r="K61" s="96" t="s">
        <v>6694</v>
      </c>
      <c r="L61" s="96" t="s">
        <v>6564</v>
      </c>
      <c r="M61" s="96" t="s">
        <v>6574</v>
      </c>
      <c r="N61" s="96" t="s">
        <v>6575</v>
      </c>
      <c r="O61" s="96" t="s">
        <v>4534</v>
      </c>
      <c r="P61" s="96">
        <v>2.930204204498E12</v>
      </c>
      <c r="Q61" s="96" t="s">
        <v>6695</v>
      </c>
    </row>
  </sheetData>
  <autoFilter ref="$A$1:$Q$61">
    <sortState ref="A1:Q61">
      <sortCondition ref="J1:J61"/>
      <sortCondition descending="1" ref="K1:K61"/>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2.63"/>
    <col customWidth="1" min="6" max="6" width="13.13"/>
  </cols>
  <sheetData>
    <row r="1">
      <c r="A1" s="10" t="s">
        <v>3913</v>
      </c>
      <c r="B1" s="97" t="s">
        <v>6696</v>
      </c>
      <c r="C1" s="10" t="s">
        <v>3919</v>
      </c>
      <c r="D1" s="98" t="s">
        <v>6697</v>
      </c>
      <c r="E1" s="10" t="s">
        <v>3920</v>
      </c>
      <c r="F1" s="10" t="s">
        <v>3915</v>
      </c>
      <c r="G1" s="98" t="s">
        <v>3923</v>
      </c>
    </row>
    <row r="2">
      <c r="A2" s="24" t="s">
        <v>4069</v>
      </c>
      <c r="C2" s="26">
        <v>70000.0</v>
      </c>
      <c r="E2" s="25" t="s">
        <v>4070</v>
      </c>
      <c r="F2" s="25" t="s">
        <v>646</v>
      </c>
    </row>
    <row r="3">
      <c r="A3" s="24" t="s">
        <v>4215</v>
      </c>
      <c r="C3" s="26">
        <v>35000.0</v>
      </c>
      <c r="E3" s="25" t="s">
        <v>3944</v>
      </c>
      <c r="F3" s="25" t="s">
        <v>326</v>
      </c>
    </row>
    <row r="4">
      <c r="A4" s="24" t="s">
        <v>4104</v>
      </c>
      <c r="C4" s="26">
        <v>35000.0</v>
      </c>
      <c r="E4" s="25" t="s">
        <v>3944</v>
      </c>
      <c r="F4" s="25" t="s">
        <v>174</v>
      </c>
    </row>
    <row r="5">
      <c r="A5" s="24" t="s">
        <v>4099</v>
      </c>
      <c r="C5" s="26">
        <v>35000.0</v>
      </c>
      <c r="E5" s="25" t="s">
        <v>4101</v>
      </c>
      <c r="F5" s="25" t="s">
        <v>168</v>
      </c>
    </row>
    <row r="6">
      <c r="A6" s="24" t="s">
        <v>4313</v>
      </c>
      <c r="C6" s="26">
        <v>70000.0</v>
      </c>
      <c r="E6" s="25" t="s">
        <v>3946</v>
      </c>
      <c r="F6" s="25" t="s">
        <v>907</v>
      </c>
    </row>
    <row r="7">
      <c r="A7" s="24" t="s">
        <v>4280</v>
      </c>
      <c r="C7" s="26">
        <v>35000.0</v>
      </c>
      <c r="E7" s="25" t="s">
        <v>4045</v>
      </c>
      <c r="F7" s="25" t="s">
        <v>414</v>
      </c>
    </row>
    <row r="8">
      <c r="A8" s="24" t="s">
        <v>4228</v>
      </c>
      <c r="C8" s="26">
        <v>70000.0</v>
      </c>
      <c r="E8" s="25" t="s">
        <v>3961</v>
      </c>
      <c r="F8" s="25" t="s">
        <v>808</v>
      </c>
    </row>
    <row r="9">
      <c r="A9" s="24" t="s">
        <v>4217</v>
      </c>
      <c r="C9" s="26">
        <v>35000.0</v>
      </c>
      <c r="E9" s="25" t="s">
        <v>4218</v>
      </c>
      <c r="F9" s="25" t="s">
        <v>332</v>
      </c>
    </row>
    <row r="10">
      <c r="A10" s="24" t="s">
        <v>4106</v>
      </c>
      <c r="C10" s="26">
        <v>35000.0</v>
      </c>
      <c r="E10" s="25" t="s">
        <v>3948</v>
      </c>
      <c r="F10" s="25" t="s">
        <v>179</v>
      </c>
    </row>
    <row r="11">
      <c r="A11" s="24" t="s">
        <v>4005</v>
      </c>
      <c r="C11" s="26">
        <v>35000.0</v>
      </c>
      <c r="E11" s="25" t="s">
        <v>3937</v>
      </c>
      <c r="F11" s="25" t="s">
        <v>47</v>
      </c>
    </row>
    <row r="12">
      <c r="A12" s="24" t="s">
        <v>4203</v>
      </c>
      <c r="C12" s="26">
        <v>35000.0</v>
      </c>
      <c r="E12" s="25" t="s">
        <v>3939</v>
      </c>
      <c r="F12" s="25" t="s">
        <v>309</v>
      </c>
    </row>
    <row r="13">
      <c r="A13" s="24" t="s">
        <v>3966</v>
      </c>
      <c r="C13" s="26">
        <v>35000.0</v>
      </c>
      <c r="E13" s="25" t="s">
        <v>3952</v>
      </c>
      <c r="F13" s="25" t="s">
        <v>14</v>
      </c>
    </row>
    <row r="14">
      <c r="A14" s="24" t="s">
        <v>4049</v>
      </c>
      <c r="C14" s="26">
        <v>35000.0</v>
      </c>
      <c r="E14" s="25" t="s">
        <v>3946</v>
      </c>
      <c r="F14" s="25" t="s">
        <v>3829</v>
      </c>
    </row>
    <row r="15">
      <c r="A15" s="24" t="s">
        <v>4049</v>
      </c>
      <c r="C15" s="26">
        <v>70000.0</v>
      </c>
      <c r="E15" s="25" t="s">
        <v>3941</v>
      </c>
      <c r="F15" s="25" t="s">
        <v>629</v>
      </c>
    </row>
    <row r="16">
      <c r="A16" s="24" t="s">
        <v>4148</v>
      </c>
      <c r="C16" s="26">
        <v>70000.0</v>
      </c>
      <c r="E16" s="25" t="s">
        <v>3983</v>
      </c>
      <c r="F16" s="25" t="s">
        <v>2099</v>
      </c>
    </row>
    <row r="17">
      <c r="A17" s="24" t="s">
        <v>4240</v>
      </c>
      <c r="C17" s="26">
        <v>70000.0</v>
      </c>
      <c r="E17" s="25" t="s">
        <v>3948</v>
      </c>
      <c r="F17" s="25" t="s">
        <v>2303</v>
      </c>
    </row>
    <row r="18">
      <c r="A18" s="24" t="s">
        <v>4416</v>
      </c>
      <c r="C18" s="26">
        <v>35000.0</v>
      </c>
      <c r="E18" s="25" t="s">
        <v>3995</v>
      </c>
      <c r="F18" s="25" t="s">
        <v>160</v>
      </c>
    </row>
    <row r="19">
      <c r="A19" s="24" t="s">
        <v>4292</v>
      </c>
      <c r="C19" s="26">
        <v>35000.0</v>
      </c>
      <c r="E19" s="25" t="s">
        <v>4293</v>
      </c>
      <c r="F19" s="25" t="s">
        <v>3620</v>
      </c>
    </row>
    <row r="20">
      <c r="A20" s="24" t="s">
        <v>4278</v>
      </c>
      <c r="C20" s="26">
        <v>35000.0</v>
      </c>
      <c r="E20" s="25" t="s">
        <v>3937</v>
      </c>
      <c r="F20" s="25" t="s">
        <v>4279</v>
      </c>
    </row>
    <row r="21">
      <c r="A21" s="24" t="s">
        <v>4351</v>
      </c>
      <c r="C21" s="26">
        <v>70000.0</v>
      </c>
      <c r="E21" s="25" t="s">
        <v>3941</v>
      </c>
      <c r="F21" s="25" t="s">
        <v>957</v>
      </c>
    </row>
    <row r="22">
      <c r="A22" s="24" t="s">
        <v>4226</v>
      </c>
      <c r="C22" s="26">
        <v>35000.0</v>
      </c>
      <c r="E22" s="25" t="s">
        <v>4159</v>
      </c>
      <c r="F22" s="25" t="s">
        <v>3470</v>
      </c>
    </row>
    <row r="23">
      <c r="A23" s="24" t="s">
        <v>4260</v>
      </c>
      <c r="C23" s="26">
        <v>70000.0</v>
      </c>
      <c r="E23" s="25" t="s">
        <v>3983</v>
      </c>
      <c r="F23" s="25" t="s">
        <v>4261</v>
      </c>
    </row>
    <row r="24">
      <c r="A24" s="24" t="s">
        <v>4364</v>
      </c>
      <c r="C24" s="26">
        <v>70000.0</v>
      </c>
      <c r="E24" s="25" t="s">
        <v>3948</v>
      </c>
      <c r="F24" s="25" t="s">
        <v>971</v>
      </c>
    </row>
    <row r="25">
      <c r="A25" s="24" t="s">
        <v>4238</v>
      </c>
      <c r="C25" s="26">
        <v>35000.0</v>
      </c>
      <c r="E25" s="25" t="s">
        <v>3939</v>
      </c>
      <c r="F25" s="25" t="s">
        <v>349</v>
      </c>
    </row>
    <row r="26">
      <c r="A26" s="24" t="s">
        <v>4238</v>
      </c>
      <c r="C26" s="26">
        <v>35000.0</v>
      </c>
      <c r="E26" s="25" t="s">
        <v>3939</v>
      </c>
      <c r="F26" s="25" t="s">
        <v>392</v>
      </c>
    </row>
    <row r="27">
      <c r="A27" s="24" t="s">
        <v>4198</v>
      </c>
      <c r="C27" s="26">
        <v>70000.0</v>
      </c>
      <c r="E27" s="25" t="s">
        <v>3941</v>
      </c>
      <c r="F27" s="25" t="s">
        <v>4199</v>
      </c>
    </row>
    <row r="28">
      <c r="A28" s="24" t="s">
        <v>4219</v>
      </c>
      <c r="C28" s="26">
        <v>70000.0</v>
      </c>
      <c r="E28" s="25" t="s">
        <v>3948</v>
      </c>
      <c r="F28" s="25" t="s">
        <v>2433</v>
      </c>
    </row>
    <row r="29">
      <c r="A29" s="24" t="s">
        <v>4415</v>
      </c>
      <c r="C29" s="26">
        <v>35000.0</v>
      </c>
      <c r="E29" s="25" t="s">
        <v>3995</v>
      </c>
      <c r="F29" s="25" t="s">
        <v>2842</v>
      </c>
    </row>
    <row r="30">
      <c r="A30" s="24" t="s">
        <v>4169</v>
      </c>
      <c r="C30" s="26">
        <v>70000.0</v>
      </c>
      <c r="E30" s="25" t="s">
        <v>3939</v>
      </c>
      <c r="F30" s="25" t="s">
        <v>818</v>
      </c>
    </row>
    <row r="31">
      <c r="A31" s="24" t="s">
        <v>4169</v>
      </c>
      <c r="C31" s="26">
        <v>70000.0</v>
      </c>
      <c r="E31" s="25" t="s">
        <v>3941</v>
      </c>
      <c r="F31" s="25" t="s">
        <v>751</v>
      </c>
    </row>
    <row r="32">
      <c r="A32" s="24" t="s">
        <v>4246</v>
      </c>
      <c r="C32" s="26">
        <v>35000.0</v>
      </c>
      <c r="E32" s="25" t="s">
        <v>3939</v>
      </c>
      <c r="F32" s="25" t="s">
        <v>4247</v>
      </c>
    </row>
    <row r="33">
      <c r="A33" s="24" t="s">
        <v>4437</v>
      </c>
      <c r="C33" s="26">
        <v>35000.0</v>
      </c>
      <c r="E33" s="25" t="s">
        <v>4438</v>
      </c>
      <c r="F33" s="25" t="s">
        <v>258</v>
      </c>
    </row>
    <row r="34">
      <c r="A34" s="24" t="s">
        <v>4475</v>
      </c>
      <c r="C34" s="26">
        <v>35000.0</v>
      </c>
      <c r="E34" s="25" t="s">
        <v>3946</v>
      </c>
      <c r="F34" s="25" t="s">
        <v>410</v>
      </c>
    </row>
    <row r="35">
      <c r="A35" s="24" t="s">
        <v>4308</v>
      </c>
      <c r="C35" s="26">
        <v>70000.0</v>
      </c>
      <c r="E35" s="25" t="s">
        <v>3983</v>
      </c>
      <c r="F35" s="25" t="s">
        <v>901</v>
      </c>
    </row>
    <row r="36">
      <c r="A36" s="24" t="s">
        <v>4190</v>
      </c>
      <c r="C36" s="26">
        <v>35000.0</v>
      </c>
      <c r="E36" s="25" t="s">
        <v>3946</v>
      </c>
      <c r="F36" s="25" t="s">
        <v>293</v>
      </c>
    </row>
    <row r="37">
      <c r="A37" s="24" t="s">
        <v>4262</v>
      </c>
      <c r="C37" s="26">
        <v>35000.0</v>
      </c>
      <c r="E37" s="25" t="s">
        <v>3948</v>
      </c>
      <c r="F37" s="25" t="s">
        <v>384</v>
      </c>
    </row>
    <row r="38">
      <c r="A38" s="24" t="s">
        <v>4239</v>
      </c>
      <c r="C38" s="26">
        <v>70000.0</v>
      </c>
      <c r="E38" s="25" t="s">
        <v>3941</v>
      </c>
      <c r="F38" s="25" t="s">
        <v>816</v>
      </c>
    </row>
    <row r="39">
      <c r="A39" s="24" t="s">
        <v>4391</v>
      </c>
      <c r="C39" s="26">
        <v>35000.0</v>
      </c>
      <c r="E39" s="25" t="s">
        <v>3948</v>
      </c>
      <c r="F39" s="25" t="s">
        <v>4392</v>
      </c>
    </row>
    <row r="40">
      <c r="A40" s="24" t="s">
        <v>4435</v>
      </c>
      <c r="C40" s="26">
        <v>70000.0</v>
      </c>
      <c r="E40" s="25" t="s">
        <v>3941</v>
      </c>
      <c r="F40" s="25" t="s">
        <v>736</v>
      </c>
    </row>
    <row r="41">
      <c r="A41" s="24" t="s">
        <v>3965</v>
      </c>
      <c r="C41" s="26">
        <v>35000.0</v>
      </c>
      <c r="E41" s="25" t="s">
        <v>3948</v>
      </c>
      <c r="F41" s="25" t="s">
        <v>2972</v>
      </c>
    </row>
    <row r="42">
      <c r="A42" s="24" t="s">
        <v>6698</v>
      </c>
      <c r="C42" s="26">
        <v>10.0</v>
      </c>
      <c r="E42" s="25" t="s">
        <v>3946</v>
      </c>
      <c r="F42" s="25" t="s">
        <v>6699</v>
      </c>
    </row>
    <row r="43">
      <c r="A43" s="24" t="s">
        <v>4360</v>
      </c>
      <c r="C43" s="26">
        <v>35000.0</v>
      </c>
      <c r="E43" s="25" t="s">
        <v>4361</v>
      </c>
      <c r="F43" s="25" t="s">
        <v>538</v>
      </c>
    </row>
    <row r="44">
      <c r="A44" s="24" t="s">
        <v>4059</v>
      </c>
      <c r="C44" s="26">
        <v>35000.0</v>
      </c>
      <c r="E44" s="25" t="s">
        <v>3939</v>
      </c>
      <c r="F44" s="25" t="s">
        <v>126</v>
      </c>
    </row>
    <row r="45">
      <c r="A45" s="24" t="s">
        <v>4053</v>
      </c>
      <c r="C45" s="26">
        <v>35000.0</v>
      </c>
      <c r="E45" s="25" t="s">
        <v>4054</v>
      </c>
      <c r="F45" s="25" t="s">
        <v>123</v>
      </c>
    </row>
    <row r="46">
      <c r="A46" s="24" t="s">
        <v>4408</v>
      </c>
      <c r="C46" s="26">
        <v>70000.0</v>
      </c>
      <c r="E46" s="25" t="s">
        <v>4122</v>
      </c>
      <c r="F46" s="25" t="s">
        <v>643</v>
      </c>
    </row>
    <row r="47">
      <c r="A47" s="24" t="s">
        <v>4443</v>
      </c>
      <c r="C47" s="26">
        <v>70000.0</v>
      </c>
      <c r="E47" s="25" t="s">
        <v>3983</v>
      </c>
      <c r="F47" s="25" t="s">
        <v>4444</v>
      </c>
    </row>
    <row r="48">
      <c r="A48" s="24" t="s">
        <v>4022</v>
      </c>
      <c r="C48" s="26">
        <v>35000.0</v>
      </c>
      <c r="E48" s="25" t="s">
        <v>3946</v>
      </c>
      <c r="F48" s="25" t="s">
        <v>73</v>
      </c>
    </row>
    <row r="49">
      <c r="A49" s="24" t="s">
        <v>4082</v>
      </c>
      <c r="C49" s="26">
        <v>35000.0</v>
      </c>
      <c r="E49" s="25" t="s">
        <v>3983</v>
      </c>
      <c r="F49" s="25" t="s">
        <v>4084</v>
      </c>
    </row>
    <row r="50">
      <c r="A50" s="24" t="s">
        <v>4500</v>
      </c>
      <c r="C50" s="26">
        <v>35000.0</v>
      </c>
      <c r="E50" s="25" t="s">
        <v>3948</v>
      </c>
      <c r="F50" s="25" t="s">
        <v>546</v>
      </c>
    </row>
    <row r="51">
      <c r="A51" s="24" t="s">
        <v>4120</v>
      </c>
      <c r="C51" s="26">
        <v>70000.0</v>
      </c>
      <c r="E51" s="25" t="s">
        <v>3946</v>
      </c>
      <c r="F51" s="25" t="s">
        <v>4121</v>
      </c>
    </row>
    <row r="52">
      <c r="A52" s="24" t="s">
        <v>4363</v>
      </c>
      <c r="C52" s="26">
        <v>35000.0</v>
      </c>
      <c r="E52" s="25" t="s">
        <v>3941</v>
      </c>
      <c r="F52" s="25" t="s">
        <v>3788</v>
      </c>
    </row>
    <row r="53">
      <c r="A53" s="24" t="s">
        <v>4229</v>
      </c>
      <c r="C53" s="26">
        <v>35000.0</v>
      </c>
      <c r="E53" s="25" t="s">
        <v>3983</v>
      </c>
      <c r="F53" s="25" t="s">
        <v>344</v>
      </c>
    </row>
    <row r="54">
      <c r="A54" s="24" t="s">
        <v>4241</v>
      </c>
      <c r="C54" s="26">
        <v>70000.0</v>
      </c>
      <c r="E54" s="25" t="s">
        <v>3941</v>
      </c>
      <c r="F54" s="25" t="s">
        <v>820</v>
      </c>
    </row>
    <row r="55">
      <c r="A55" s="24" t="s">
        <v>4338</v>
      </c>
      <c r="C55" s="26">
        <v>70000.0</v>
      </c>
      <c r="E55" s="25" t="s">
        <v>3968</v>
      </c>
      <c r="F55" s="25" t="s">
        <v>1463</v>
      </c>
    </row>
    <row r="56">
      <c r="A56" s="24" t="s">
        <v>4017</v>
      </c>
      <c r="C56" s="26">
        <v>70000.0</v>
      </c>
      <c r="E56" s="25" t="s">
        <v>3939</v>
      </c>
      <c r="F56" s="25" t="s">
        <v>594</v>
      </c>
    </row>
    <row r="57">
      <c r="A57" s="24" t="s">
        <v>4354</v>
      </c>
      <c r="C57" s="26">
        <v>70000.0</v>
      </c>
      <c r="E57" s="25" t="s">
        <v>3941</v>
      </c>
      <c r="F57" s="25" t="s">
        <v>961</v>
      </c>
    </row>
    <row r="58">
      <c r="A58" s="24" t="s">
        <v>4020</v>
      </c>
      <c r="C58" s="26">
        <v>35000.0</v>
      </c>
      <c r="E58" s="25" t="s">
        <v>4021</v>
      </c>
      <c r="F58" s="25" t="s">
        <v>72</v>
      </c>
    </row>
    <row r="59">
      <c r="A59" s="24" t="s">
        <v>4123</v>
      </c>
      <c r="C59" s="26">
        <v>70000.0</v>
      </c>
      <c r="E59" s="25" t="s">
        <v>3944</v>
      </c>
      <c r="F59" s="25" t="s">
        <v>695</v>
      </c>
    </row>
    <row r="60">
      <c r="A60" s="24" t="s">
        <v>4397</v>
      </c>
      <c r="C60" s="26">
        <v>35000.0</v>
      </c>
      <c r="E60" s="25" t="s">
        <v>3944</v>
      </c>
      <c r="F60" s="25" t="s">
        <v>622</v>
      </c>
    </row>
    <row r="61">
      <c r="A61" s="24" t="s">
        <v>4432</v>
      </c>
      <c r="C61" s="26">
        <v>70000.0</v>
      </c>
      <c r="E61" s="25" t="s">
        <v>3948</v>
      </c>
      <c r="F61" s="25" t="s">
        <v>733</v>
      </c>
    </row>
    <row r="62">
      <c r="A62" s="24" t="s">
        <v>4038</v>
      </c>
      <c r="C62" s="26">
        <v>35000.0</v>
      </c>
      <c r="E62" s="25" t="s">
        <v>3946</v>
      </c>
      <c r="F62" s="25" t="s">
        <v>92</v>
      </c>
    </row>
    <row r="63">
      <c r="A63" s="24" t="s">
        <v>4275</v>
      </c>
      <c r="C63" s="26">
        <v>70000.0</v>
      </c>
      <c r="E63" s="25" t="s">
        <v>4244</v>
      </c>
      <c r="F63" s="25" t="s">
        <v>4355</v>
      </c>
    </row>
    <row r="64">
      <c r="A64" s="24" t="s">
        <v>4275</v>
      </c>
      <c r="C64" s="26">
        <v>70000.0</v>
      </c>
      <c r="E64" s="25" t="s">
        <v>3939</v>
      </c>
      <c r="F64" s="25" t="s">
        <v>4276</v>
      </c>
    </row>
    <row r="65">
      <c r="A65" s="24" t="s">
        <v>4288</v>
      </c>
      <c r="C65" s="26">
        <v>35000.0</v>
      </c>
      <c r="E65" s="25" t="s">
        <v>4253</v>
      </c>
      <c r="F65" s="25" t="s">
        <v>424</v>
      </c>
    </row>
    <row r="66">
      <c r="A66" s="24" t="s">
        <v>4126</v>
      </c>
      <c r="C66" s="26">
        <v>35000.0</v>
      </c>
      <c r="E66" s="25" t="s">
        <v>3941</v>
      </c>
      <c r="F66" s="25" t="s">
        <v>216</v>
      </c>
    </row>
    <row r="67">
      <c r="A67" s="24" t="s">
        <v>4284</v>
      </c>
      <c r="C67" s="26">
        <v>35000.0</v>
      </c>
      <c r="E67" s="25" t="s">
        <v>3961</v>
      </c>
      <c r="F67" s="25" t="s">
        <v>4285</v>
      </c>
    </row>
    <row r="68">
      <c r="A68" s="24" t="s">
        <v>4230</v>
      </c>
      <c r="C68" s="26">
        <v>70000.0</v>
      </c>
      <c r="E68" s="25" t="s">
        <v>3941</v>
      </c>
      <c r="F68" s="25" t="s">
        <v>811</v>
      </c>
    </row>
    <row r="69">
      <c r="A69" s="24" t="s">
        <v>4164</v>
      </c>
      <c r="C69" s="26">
        <v>35000.0</v>
      </c>
      <c r="E69" s="25" t="s">
        <v>3946</v>
      </c>
      <c r="F69" s="25" t="s">
        <v>255</v>
      </c>
    </row>
    <row r="70">
      <c r="A70" s="24" t="s">
        <v>4151</v>
      </c>
      <c r="C70" s="26">
        <v>35000.0</v>
      </c>
      <c r="E70" s="25" t="s">
        <v>3941</v>
      </c>
      <c r="F70" s="25" t="s">
        <v>244</v>
      </c>
    </row>
    <row r="71">
      <c r="A71" s="24" t="s">
        <v>3963</v>
      </c>
      <c r="C71" s="26">
        <v>35000.0</v>
      </c>
      <c r="E71" s="25" t="s">
        <v>3983</v>
      </c>
      <c r="F71" s="25" t="s">
        <v>3072</v>
      </c>
    </row>
    <row r="72">
      <c r="A72" s="24" t="s">
        <v>3963</v>
      </c>
      <c r="C72" s="26">
        <v>70000.0</v>
      </c>
      <c r="E72" s="25" t="s">
        <v>3939</v>
      </c>
      <c r="F72" s="25" t="s">
        <v>563</v>
      </c>
    </row>
    <row r="73">
      <c r="A73" s="24" t="s">
        <v>4282</v>
      </c>
      <c r="C73" s="26">
        <v>35000.0</v>
      </c>
      <c r="E73" s="25" t="s">
        <v>3983</v>
      </c>
      <c r="F73" s="25" t="s">
        <v>3586</v>
      </c>
    </row>
    <row r="74">
      <c r="A74" s="24" t="s">
        <v>4375</v>
      </c>
      <c r="C74" s="26">
        <v>35000.0</v>
      </c>
      <c r="E74" s="25" t="s">
        <v>3946</v>
      </c>
      <c r="F74" s="25" t="s">
        <v>4376</v>
      </c>
    </row>
    <row r="75">
      <c r="A75" s="24" t="s">
        <v>4193</v>
      </c>
      <c r="C75" s="26">
        <v>35000.0</v>
      </c>
      <c r="E75" s="25" t="s">
        <v>3941</v>
      </c>
      <c r="F75" s="25" t="s">
        <v>3845</v>
      </c>
    </row>
    <row r="76">
      <c r="A76" s="24" t="s">
        <v>4193</v>
      </c>
      <c r="C76" s="26">
        <v>35000.0</v>
      </c>
      <c r="E76" s="25" t="s">
        <v>3983</v>
      </c>
      <c r="F76" s="25" t="s">
        <v>3798</v>
      </c>
    </row>
    <row r="77">
      <c r="A77" s="24" t="s">
        <v>4181</v>
      </c>
      <c r="C77" s="26">
        <v>70000.0</v>
      </c>
      <c r="E77" s="25" t="s">
        <v>3952</v>
      </c>
      <c r="F77" s="25" t="s">
        <v>762</v>
      </c>
    </row>
    <row r="78">
      <c r="A78" s="24" t="s">
        <v>4131</v>
      </c>
      <c r="C78" s="26">
        <v>70000.0</v>
      </c>
      <c r="E78" s="25" t="s">
        <v>3946</v>
      </c>
      <c r="F78" s="25" t="s">
        <v>708</v>
      </c>
    </row>
    <row r="79">
      <c r="A79" s="24" t="s">
        <v>4330</v>
      </c>
      <c r="C79" s="26">
        <v>35000.0</v>
      </c>
      <c r="E79" s="25" t="s">
        <v>3983</v>
      </c>
      <c r="F79" s="25" t="s">
        <v>149</v>
      </c>
    </row>
    <row r="80">
      <c r="A80" s="24" t="s">
        <v>4330</v>
      </c>
      <c r="C80" s="26">
        <v>35000.0</v>
      </c>
      <c r="E80" s="25" t="s">
        <v>3968</v>
      </c>
      <c r="F80" s="25" t="s">
        <v>3712</v>
      </c>
    </row>
    <row r="81">
      <c r="A81" s="24" t="s">
        <v>4495</v>
      </c>
      <c r="C81" s="26">
        <v>35000.0</v>
      </c>
      <c r="E81" s="25" t="s">
        <v>3983</v>
      </c>
      <c r="F81" s="25" t="s">
        <v>497</v>
      </c>
    </row>
    <row r="82">
      <c r="A82" s="24" t="s">
        <v>4615</v>
      </c>
      <c r="C82" s="26">
        <v>35000.0</v>
      </c>
      <c r="E82" s="25" t="s">
        <v>3948</v>
      </c>
      <c r="F82" s="25" t="s">
        <v>4616</v>
      </c>
    </row>
    <row r="83">
      <c r="A83" s="24" t="s">
        <v>4043</v>
      </c>
      <c r="C83" s="26">
        <v>35000.0</v>
      </c>
      <c r="E83" s="25" t="s">
        <v>3946</v>
      </c>
      <c r="F83" s="25" t="s">
        <v>102</v>
      </c>
    </row>
    <row r="84">
      <c r="A84" s="24" t="s">
        <v>4043</v>
      </c>
      <c r="C84" s="26">
        <v>70000.0</v>
      </c>
      <c r="E84" s="25" t="s">
        <v>4506</v>
      </c>
      <c r="F84" s="25" t="s">
        <v>980</v>
      </c>
    </row>
    <row r="85">
      <c r="A85" s="24" t="s">
        <v>4200</v>
      </c>
      <c r="C85" s="26">
        <v>35000.0</v>
      </c>
      <c r="E85" s="25" t="s">
        <v>4380</v>
      </c>
      <c r="F85" s="25" t="s">
        <v>4379</v>
      </c>
    </row>
    <row r="86">
      <c r="A86" s="24" t="s">
        <v>4200</v>
      </c>
      <c r="C86" s="26">
        <v>35000.0</v>
      </c>
      <c r="E86" s="25" t="s">
        <v>3944</v>
      </c>
      <c r="F86" s="25" t="s">
        <v>303</v>
      </c>
    </row>
    <row r="87">
      <c r="A87" s="24" t="s">
        <v>4505</v>
      </c>
      <c r="C87" s="26">
        <v>70000.0</v>
      </c>
      <c r="E87" s="25" t="s">
        <v>4506</v>
      </c>
      <c r="F87" s="25" t="s">
        <v>1220</v>
      </c>
    </row>
    <row r="88">
      <c r="A88" s="24" t="s">
        <v>4451</v>
      </c>
      <c r="C88" s="26">
        <v>70000.0</v>
      </c>
      <c r="E88" s="25" t="s">
        <v>3941</v>
      </c>
      <c r="F88" s="25" t="s">
        <v>789</v>
      </c>
    </row>
    <row r="89">
      <c r="A89" s="24" t="s">
        <v>4342</v>
      </c>
      <c r="C89" s="26">
        <v>35000.0</v>
      </c>
      <c r="E89" s="25" t="s">
        <v>3983</v>
      </c>
      <c r="F89" s="25" t="s">
        <v>506</v>
      </c>
    </row>
    <row r="90">
      <c r="A90" s="24" t="s">
        <v>4516</v>
      </c>
      <c r="C90" s="26">
        <v>35000.0</v>
      </c>
      <c r="E90" s="25" t="s">
        <v>3948</v>
      </c>
      <c r="F90" s="25" t="s">
        <v>4517</v>
      </c>
    </row>
    <row r="91">
      <c r="A91" s="24" t="s">
        <v>4429</v>
      </c>
      <c r="C91" s="26">
        <v>35000.0</v>
      </c>
      <c r="E91" s="25" t="s">
        <v>3948</v>
      </c>
      <c r="F91" s="25" t="s">
        <v>241</v>
      </c>
    </row>
    <row r="92">
      <c r="A92" s="24" t="s">
        <v>4140</v>
      </c>
      <c r="C92" s="26">
        <v>35000.0</v>
      </c>
      <c r="E92" s="25" t="s">
        <v>4041</v>
      </c>
      <c r="F92" s="25" t="s">
        <v>4405</v>
      </c>
    </row>
    <row r="93">
      <c r="A93" s="24" t="s">
        <v>4140</v>
      </c>
      <c r="C93" s="26">
        <v>35000.0</v>
      </c>
      <c r="E93" s="25" t="s">
        <v>3948</v>
      </c>
      <c r="F93" s="25" t="s">
        <v>312</v>
      </c>
    </row>
    <row r="94">
      <c r="A94" s="24" t="s">
        <v>4140</v>
      </c>
      <c r="C94" s="26">
        <v>35000.0</v>
      </c>
      <c r="E94" s="25" t="s">
        <v>3946</v>
      </c>
      <c r="F94" s="25" t="s">
        <v>3291</v>
      </c>
    </row>
    <row r="95">
      <c r="A95" s="24" t="s">
        <v>4140</v>
      </c>
      <c r="C95" s="26">
        <v>35000.0</v>
      </c>
      <c r="E95" s="25" t="s">
        <v>3948</v>
      </c>
      <c r="F95" s="25" t="s">
        <v>512</v>
      </c>
    </row>
    <row r="96">
      <c r="A96" s="24" t="s">
        <v>4400</v>
      </c>
      <c r="C96" s="26">
        <v>35000.0</v>
      </c>
      <c r="E96" s="25" t="s">
        <v>3944</v>
      </c>
      <c r="F96" s="25" t="s">
        <v>622</v>
      </c>
    </row>
    <row r="97">
      <c r="A97" s="24" t="s">
        <v>4277</v>
      </c>
      <c r="C97" s="26">
        <v>70000.0</v>
      </c>
      <c r="E97" s="25" t="s">
        <v>3948</v>
      </c>
      <c r="F97" s="25" t="s">
        <v>874</v>
      </c>
    </row>
    <row r="98">
      <c r="A98" s="24" t="s">
        <v>4289</v>
      </c>
      <c r="C98" s="26">
        <v>35000.0</v>
      </c>
      <c r="E98" s="25" t="s">
        <v>3948</v>
      </c>
      <c r="F98" s="25" t="s">
        <v>426</v>
      </c>
    </row>
    <row r="99">
      <c r="A99" s="24" t="s">
        <v>4081</v>
      </c>
      <c r="C99" s="26">
        <v>35000.0</v>
      </c>
      <c r="E99" s="25" t="s">
        <v>3948</v>
      </c>
      <c r="F99" s="25" t="s">
        <v>154</v>
      </c>
    </row>
    <row r="100">
      <c r="A100" s="24" t="s">
        <v>4156</v>
      </c>
      <c r="C100" s="26">
        <v>35000.0</v>
      </c>
      <c r="E100" s="25" t="s">
        <v>4357</v>
      </c>
      <c r="F100" s="25" t="s">
        <v>3772</v>
      </c>
    </row>
    <row r="101">
      <c r="A101" s="24" t="s">
        <v>4156</v>
      </c>
      <c r="C101" s="26">
        <v>35000.0</v>
      </c>
      <c r="E101" s="25" t="s">
        <v>4159</v>
      </c>
      <c r="F101" s="25" t="s">
        <v>4158</v>
      </c>
    </row>
    <row r="102">
      <c r="A102" s="24" t="s">
        <v>4383</v>
      </c>
      <c r="C102" s="26">
        <v>70000.0</v>
      </c>
      <c r="E102" s="25" t="s">
        <v>3948</v>
      </c>
      <c r="F102" s="25" t="s">
        <v>574</v>
      </c>
    </row>
    <row r="103">
      <c r="A103" s="24" t="s">
        <v>4383</v>
      </c>
      <c r="C103" s="26">
        <v>70000.0</v>
      </c>
      <c r="E103" s="25" t="s">
        <v>3968</v>
      </c>
      <c r="F103" s="25" t="s">
        <v>4607</v>
      </c>
    </row>
    <row r="104">
      <c r="A104" s="24" t="s">
        <v>4383</v>
      </c>
      <c r="C104" s="26">
        <v>35000.0</v>
      </c>
      <c r="E104" s="25" t="s">
        <v>4473</v>
      </c>
      <c r="F104" s="25" t="s">
        <v>4474</v>
      </c>
    </row>
    <row r="105">
      <c r="A105" s="24" t="s">
        <v>4383</v>
      </c>
      <c r="C105" s="26">
        <v>70000.0</v>
      </c>
      <c r="E105" s="25" t="s">
        <v>3941</v>
      </c>
      <c r="F105" s="25" t="s">
        <v>1198</v>
      </c>
    </row>
    <row r="106">
      <c r="A106" s="24" t="s">
        <v>4433</v>
      </c>
      <c r="C106" s="26">
        <v>70000.0</v>
      </c>
      <c r="E106" s="25" t="s">
        <v>3948</v>
      </c>
      <c r="F106" s="25" t="s">
        <v>1143</v>
      </c>
    </row>
    <row r="107">
      <c r="A107" s="24" t="s">
        <v>4442</v>
      </c>
      <c r="C107" s="26">
        <v>35000.0</v>
      </c>
      <c r="E107" s="25" t="s">
        <v>3983</v>
      </c>
      <c r="F107" s="25" t="s">
        <v>272</v>
      </c>
    </row>
    <row r="108">
      <c r="A108" s="24" t="s">
        <v>4537</v>
      </c>
      <c r="C108" s="26">
        <v>35000.0</v>
      </c>
      <c r="E108" s="25" t="s">
        <v>3983</v>
      </c>
      <c r="F108" s="25" t="s">
        <v>4539</v>
      </c>
    </row>
    <row r="109">
      <c r="A109" s="24" t="s">
        <v>4077</v>
      </c>
      <c r="C109" s="26">
        <v>35000.0</v>
      </c>
      <c r="E109" s="25" t="s">
        <v>3946</v>
      </c>
      <c r="F109" s="25" t="s">
        <v>146</v>
      </c>
    </row>
    <row r="110">
      <c r="A110" s="24" t="s">
        <v>4077</v>
      </c>
      <c r="C110" s="26">
        <v>70000.0</v>
      </c>
      <c r="E110" s="25" t="s">
        <v>3948</v>
      </c>
      <c r="F110" s="25" t="s">
        <v>924</v>
      </c>
    </row>
    <row r="111">
      <c r="A111" s="24" t="s">
        <v>4077</v>
      </c>
      <c r="C111" s="26">
        <v>35000.0</v>
      </c>
      <c r="E111" s="25" t="s">
        <v>3946</v>
      </c>
      <c r="F111" s="25" t="s">
        <v>3864</v>
      </c>
    </row>
    <row r="112">
      <c r="A112" s="24" t="s">
        <v>4008</v>
      </c>
      <c r="C112" s="26">
        <v>35000.0</v>
      </c>
      <c r="E112" s="25" t="s">
        <v>4006</v>
      </c>
      <c r="F112" s="25" t="s">
        <v>4431</v>
      </c>
    </row>
    <row r="113">
      <c r="A113" s="24" t="s">
        <v>4008</v>
      </c>
      <c r="C113" s="26">
        <v>35000.0</v>
      </c>
      <c r="E113" s="25" t="s">
        <v>4283</v>
      </c>
      <c r="F113" s="25" t="s">
        <v>420</v>
      </c>
    </row>
    <row r="114">
      <c r="A114" s="24" t="s">
        <v>4008</v>
      </c>
      <c r="C114" s="26">
        <v>70000.0</v>
      </c>
      <c r="E114" s="25" t="s">
        <v>4009</v>
      </c>
      <c r="F114" s="25" t="s">
        <v>589</v>
      </c>
    </row>
    <row r="115">
      <c r="A115" s="24" t="s">
        <v>4008</v>
      </c>
      <c r="C115" s="26">
        <v>70000.0</v>
      </c>
      <c r="E115" s="25" t="s">
        <v>3946</v>
      </c>
      <c r="F115" s="25" t="s">
        <v>4061</v>
      </c>
    </row>
    <row r="116">
      <c r="A116" s="24" t="s">
        <v>4008</v>
      </c>
      <c r="C116" s="26">
        <v>70000.0</v>
      </c>
      <c r="E116" s="25" t="s">
        <v>4459</v>
      </c>
      <c r="F116" s="25" t="s">
        <v>1179</v>
      </c>
    </row>
    <row r="117">
      <c r="A117" s="24" t="s">
        <v>4056</v>
      </c>
      <c r="C117" s="26">
        <v>70000.0</v>
      </c>
      <c r="E117" s="25" t="s">
        <v>3983</v>
      </c>
      <c r="F117" s="25" t="s">
        <v>4057</v>
      </c>
    </row>
    <row r="118">
      <c r="A118" s="24" t="s">
        <v>4056</v>
      </c>
      <c r="C118" s="26">
        <v>70000.0</v>
      </c>
      <c r="E118" s="25" t="s">
        <v>3948</v>
      </c>
      <c r="F118" s="25" t="s">
        <v>846</v>
      </c>
    </row>
    <row r="119">
      <c r="A119" s="24" t="s">
        <v>4056</v>
      </c>
      <c r="C119" s="26">
        <v>35000.0</v>
      </c>
      <c r="E119" s="25" t="s">
        <v>3946</v>
      </c>
      <c r="F119" s="25" t="s">
        <v>236</v>
      </c>
    </row>
    <row r="120">
      <c r="A120" s="24" t="s">
        <v>4056</v>
      </c>
      <c r="C120" s="26">
        <v>35000.0</v>
      </c>
      <c r="E120" s="25" t="s">
        <v>3944</v>
      </c>
      <c r="F120" s="25" t="s">
        <v>243</v>
      </c>
    </row>
    <row r="121">
      <c r="A121" s="24" t="s">
        <v>4395</v>
      </c>
      <c r="C121" s="26">
        <v>35000.0</v>
      </c>
      <c r="E121" s="25" t="s">
        <v>3941</v>
      </c>
      <c r="F121" s="25" t="s">
        <v>4499</v>
      </c>
    </row>
    <row r="122">
      <c r="A122" s="24" t="s">
        <v>4395</v>
      </c>
      <c r="C122" s="26">
        <v>35000.0</v>
      </c>
      <c r="E122" s="25" t="s">
        <v>3968</v>
      </c>
      <c r="F122" s="25" t="s">
        <v>94</v>
      </c>
    </row>
    <row r="123">
      <c r="A123" s="24" t="s">
        <v>4395</v>
      </c>
      <c r="C123" s="26">
        <v>35000.0</v>
      </c>
      <c r="E123" s="25" t="s">
        <v>3946</v>
      </c>
      <c r="F123" s="25" t="s">
        <v>250</v>
      </c>
    </row>
    <row r="124">
      <c r="A124" s="24" t="s">
        <v>4134</v>
      </c>
      <c r="C124" s="26">
        <v>35000.0</v>
      </c>
      <c r="E124" s="25" t="s">
        <v>3948</v>
      </c>
      <c r="F124" s="25" t="s">
        <v>525</v>
      </c>
    </row>
    <row r="125">
      <c r="A125" s="24" t="s">
        <v>4134</v>
      </c>
      <c r="C125" s="26">
        <v>35000.0</v>
      </c>
      <c r="E125" s="25" t="s">
        <v>3946</v>
      </c>
      <c r="F125" s="25" t="s">
        <v>4135</v>
      </c>
    </row>
    <row r="126">
      <c r="A126" s="24" t="s">
        <v>4134</v>
      </c>
      <c r="C126" s="26">
        <v>35000.0</v>
      </c>
      <c r="E126" s="25" t="s">
        <v>4377</v>
      </c>
      <c r="F126" s="25" t="s">
        <v>0</v>
      </c>
    </row>
    <row r="127">
      <c r="A127" s="24" t="s">
        <v>4066</v>
      </c>
      <c r="C127" s="26">
        <v>35000.0</v>
      </c>
      <c r="E127" s="25" t="s">
        <v>3983</v>
      </c>
      <c r="F127" s="25" t="s">
        <v>4478</v>
      </c>
    </row>
    <row r="128">
      <c r="A128" s="24" t="s">
        <v>4066</v>
      </c>
      <c r="C128" s="26">
        <v>35000.0</v>
      </c>
      <c r="E128" s="25" t="s">
        <v>3946</v>
      </c>
      <c r="F128" s="25" t="s">
        <v>4167</v>
      </c>
    </row>
    <row r="129">
      <c r="A129" s="24" t="s">
        <v>4066</v>
      </c>
      <c r="C129" s="26">
        <v>70000.0</v>
      </c>
      <c r="E129" s="25" t="s">
        <v>3968</v>
      </c>
      <c r="F129" s="25" t="s">
        <v>644</v>
      </c>
    </row>
    <row r="130">
      <c r="A130" s="24" t="s">
        <v>3999</v>
      </c>
      <c r="C130" s="26">
        <v>35000.0</v>
      </c>
      <c r="E130" s="25" t="s">
        <v>3941</v>
      </c>
      <c r="F130" s="25" t="s">
        <v>240</v>
      </c>
    </row>
    <row r="131">
      <c r="A131" s="24" t="s">
        <v>3999</v>
      </c>
      <c r="C131" s="26">
        <v>35000.0</v>
      </c>
      <c r="E131" s="25" t="s">
        <v>3946</v>
      </c>
      <c r="F131" s="25" t="s">
        <v>1288</v>
      </c>
    </row>
    <row r="132">
      <c r="A132" s="24" t="s">
        <v>4614</v>
      </c>
      <c r="C132" s="26">
        <v>70000.0</v>
      </c>
      <c r="E132" s="25" t="s">
        <v>3937</v>
      </c>
      <c r="F132" s="25" t="s">
        <v>979</v>
      </c>
    </row>
    <row r="133">
      <c r="A133" s="24" t="s">
        <v>3972</v>
      </c>
      <c r="C133" s="26">
        <v>70000.0</v>
      </c>
      <c r="E133" s="25" t="s">
        <v>3939</v>
      </c>
      <c r="F133" s="25" t="s">
        <v>377</v>
      </c>
    </row>
    <row r="134">
      <c r="A134" s="24" t="s">
        <v>3972</v>
      </c>
      <c r="C134" s="26">
        <v>35000.0</v>
      </c>
      <c r="E134" s="25" t="s">
        <v>4212</v>
      </c>
      <c r="F134" s="25" t="s">
        <v>509</v>
      </c>
    </row>
    <row r="135">
      <c r="A135" s="24" t="s">
        <v>3972</v>
      </c>
      <c r="B135" s="99"/>
      <c r="C135" s="26">
        <v>70000.0</v>
      </c>
      <c r="D135" s="100"/>
      <c r="E135" s="25" t="s">
        <v>3952</v>
      </c>
      <c r="F135" s="25" t="s">
        <v>867</v>
      </c>
      <c r="G135" s="101"/>
    </row>
    <row r="136">
      <c r="A136" s="24" t="s">
        <v>3972</v>
      </c>
      <c r="C136" s="26">
        <v>70000.0</v>
      </c>
      <c r="E136" s="25" t="s">
        <v>4270</v>
      </c>
      <c r="F136" s="25" t="s">
        <v>930</v>
      </c>
    </row>
    <row r="137">
      <c r="A137" s="24" t="s">
        <v>3972</v>
      </c>
      <c r="C137" s="26">
        <v>35000.0</v>
      </c>
      <c r="E137" s="25" t="s">
        <v>3968</v>
      </c>
      <c r="F137" s="25" t="s">
        <v>3025</v>
      </c>
    </row>
    <row r="138">
      <c r="A138" s="24" t="s">
        <v>3972</v>
      </c>
      <c r="C138" s="26">
        <v>35000.0</v>
      </c>
      <c r="E138" s="25" t="s">
        <v>3941</v>
      </c>
      <c r="F138" s="25" t="s">
        <v>4449</v>
      </c>
    </row>
    <row r="139">
      <c r="A139" s="24" t="s">
        <v>3972</v>
      </c>
      <c r="C139" s="26">
        <v>35000.0</v>
      </c>
      <c r="E139" s="25" t="s">
        <v>3948</v>
      </c>
      <c r="F139" s="25" t="s">
        <v>3973</v>
      </c>
    </row>
    <row r="140">
      <c r="A140" s="24" t="s">
        <v>4019</v>
      </c>
      <c r="C140" s="26">
        <v>70000.0</v>
      </c>
      <c r="E140" s="25" t="s">
        <v>4165</v>
      </c>
      <c r="F140" s="25" t="s">
        <v>2792</v>
      </c>
    </row>
    <row r="141">
      <c r="A141" s="24" t="s">
        <v>4019</v>
      </c>
      <c r="C141" s="26">
        <v>35000.0</v>
      </c>
      <c r="E141" s="25" t="s">
        <v>3939</v>
      </c>
      <c r="F141" s="25" t="s">
        <v>245</v>
      </c>
    </row>
    <row r="142">
      <c r="A142" s="24" t="s">
        <v>4019</v>
      </c>
      <c r="C142" s="26">
        <v>70000.0</v>
      </c>
      <c r="E142" s="25" t="s">
        <v>3983</v>
      </c>
      <c r="F142" s="25" t="s">
        <v>598</v>
      </c>
    </row>
    <row r="143">
      <c r="A143" s="24" t="s">
        <v>4019</v>
      </c>
      <c r="C143" s="26">
        <v>70000.0</v>
      </c>
      <c r="E143" s="25" t="s">
        <v>3948</v>
      </c>
      <c r="F143" s="25" t="s">
        <v>659</v>
      </c>
    </row>
    <row r="144">
      <c r="A144" s="24" t="s">
        <v>4019</v>
      </c>
      <c r="C144" s="26">
        <v>70000.0</v>
      </c>
      <c r="E144" s="25" t="s">
        <v>4464</v>
      </c>
      <c r="F144" s="25" t="s">
        <v>857</v>
      </c>
    </row>
    <row r="145">
      <c r="A145" s="24" t="s">
        <v>4255</v>
      </c>
      <c r="C145" s="26">
        <v>35000.0</v>
      </c>
      <c r="E145" s="25" t="s">
        <v>3948</v>
      </c>
      <c r="F145" s="25" t="s">
        <v>4460</v>
      </c>
    </row>
    <row r="146">
      <c r="A146" s="24" t="s">
        <v>4255</v>
      </c>
      <c r="C146" s="26">
        <v>70000.0</v>
      </c>
      <c r="E146" s="25" t="s">
        <v>3939</v>
      </c>
      <c r="F146" s="25" t="s">
        <v>869</v>
      </c>
    </row>
    <row r="147">
      <c r="A147" s="24" t="s">
        <v>4255</v>
      </c>
      <c r="C147" s="26">
        <v>70000.0</v>
      </c>
      <c r="E147" s="25" t="s">
        <v>4118</v>
      </c>
      <c r="F147" s="25" t="s">
        <v>837</v>
      </c>
    </row>
    <row r="148">
      <c r="A148" s="24" t="s">
        <v>4255</v>
      </c>
      <c r="C148" s="26">
        <v>60000.0</v>
      </c>
      <c r="E148" s="25" t="s">
        <v>4426</v>
      </c>
      <c r="F148" s="25" t="s">
        <v>726</v>
      </c>
    </row>
    <row r="149">
      <c r="A149" s="24" t="s">
        <v>3998</v>
      </c>
      <c r="C149" s="26">
        <v>70000.0</v>
      </c>
      <c r="E149" s="25" t="s">
        <v>3983</v>
      </c>
      <c r="F149" s="25" t="s">
        <v>578</v>
      </c>
    </row>
    <row r="150">
      <c r="A150" s="24" t="s">
        <v>3998</v>
      </c>
      <c r="C150" s="26">
        <v>35000.0</v>
      </c>
      <c r="E150" s="25" t="s">
        <v>3990</v>
      </c>
      <c r="F150" s="25" t="s">
        <v>4298</v>
      </c>
    </row>
    <row r="151">
      <c r="A151" s="24" t="s">
        <v>3998</v>
      </c>
      <c r="C151" s="26">
        <v>35000.0</v>
      </c>
      <c r="E151" s="25" t="s">
        <v>4027</v>
      </c>
      <c r="F151" s="25" t="s">
        <v>4072</v>
      </c>
    </row>
    <row r="152">
      <c r="A152" s="24" t="s">
        <v>3998</v>
      </c>
      <c r="C152" s="26">
        <v>35000.0</v>
      </c>
      <c r="E152" s="25" t="s">
        <v>3948</v>
      </c>
      <c r="F152" s="25" t="s">
        <v>305</v>
      </c>
    </row>
    <row r="153">
      <c r="A153" s="24" t="s">
        <v>3998</v>
      </c>
      <c r="C153" s="26">
        <v>70000.0</v>
      </c>
      <c r="E153" s="25" t="s">
        <v>3941</v>
      </c>
      <c r="F153" s="25" t="s">
        <v>575</v>
      </c>
    </row>
    <row r="154">
      <c r="A154" s="24" t="s">
        <v>4441</v>
      </c>
      <c r="C154" s="26">
        <v>35000.0</v>
      </c>
      <c r="E154" s="25" t="s">
        <v>3983</v>
      </c>
      <c r="F154" s="25" t="s">
        <v>4548</v>
      </c>
    </row>
    <row r="155">
      <c r="A155" s="24" t="s">
        <v>4441</v>
      </c>
      <c r="C155" s="26">
        <v>35000.0</v>
      </c>
      <c r="E155" s="25" t="s">
        <v>3983</v>
      </c>
      <c r="F155" s="25" t="s">
        <v>2867</v>
      </c>
    </row>
    <row r="156">
      <c r="A156" s="24" t="s">
        <v>4441</v>
      </c>
      <c r="C156" s="26">
        <v>70000.0</v>
      </c>
      <c r="E156" s="25" t="s">
        <v>4155</v>
      </c>
      <c r="F156" s="25" t="s">
        <v>892</v>
      </c>
    </row>
    <row r="157">
      <c r="A157" s="24" t="s">
        <v>4012</v>
      </c>
      <c r="C157" s="26">
        <v>70000.0</v>
      </c>
      <c r="E157" s="25" t="s">
        <v>3983</v>
      </c>
      <c r="F157" s="25" t="s">
        <v>866</v>
      </c>
    </row>
    <row r="158">
      <c r="A158" s="24" t="s">
        <v>4012</v>
      </c>
      <c r="C158" s="26">
        <v>70000.0</v>
      </c>
      <c r="E158" s="25" t="s">
        <v>4074</v>
      </c>
      <c r="F158" s="25" t="s">
        <v>650</v>
      </c>
    </row>
    <row r="159">
      <c r="A159" s="24" t="s">
        <v>4012</v>
      </c>
      <c r="C159" s="26">
        <v>70000.0</v>
      </c>
      <c r="E159" s="25" t="s">
        <v>3983</v>
      </c>
      <c r="F159" s="25" t="s">
        <v>618</v>
      </c>
    </row>
    <row r="160">
      <c r="A160" s="24" t="s">
        <v>4012</v>
      </c>
      <c r="C160" s="26">
        <v>35000.0</v>
      </c>
      <c r="E160" s="25" t="s">
        <v>3952</v>
      </c>
      <c r="F160" s="25" t="s">
        <v>124</v>
      </c>
    </row>
    <row r="161">
      <c r="A161" s="24" t="s">
        <v>4012</v>
      </c>
      <c r="C161" s="26">
        <v>35000.0</v>
      </c>
      <c r="E161" s="25" t="s">
        <v>3990</v>
      </c>
      <c r="F161" s="25" t="s">
        <v>329</v>
      </c>
    </row>
    <row r="162">
      <c r="A162" s="24" t="s">
        <v>4012</v>
      </c>
      <c r="C162" s="26">
        <v>35000.0</v>
      </c>
      <c r="E162" s="25" t="s">
        <v>3941</v>
      </c>
      <c r="F162" s="25" t="s">
        <v>4014</v>
      </c>
    </row>
    <row r="163">
      <c r="A163" s="24" t="s">
        <v>4012</v>
      </c>
      <c r="C163" s="26">
        <v>35000.0</v>
      </c>
      <c r="E163" s="25" t="s">
        <v>3961</v>
      </c>
      <c r="F163" s="25" t="s">
        <v>545</v>
      </c>
    </row>
    <row r="164">
      <c r="A164" s="24" t="s">
        <v>4170</v>
      </c>
      <c r="C164" s="26">
        <v>70000.0</v>
      </c>
      <c r="E164" s="25" t="s">
        <v>3939</v>
      </c>
      <c r="F164" s="25" t="s">
        <v>1267</v>
      </c>
    </row>
    <row r="165">
      <c r="A165" s="24" t="s">
        <v>4170</v>
      </c>
      <c r="C165" s="26">
        <v>70000.0</v>
      </c>
      <c r="E165" s="25" t="s">
        <v>3946</v>
      </c>
      <c r="F165" s="25" t="s">
        <v>754</v>
      </c>
    </row>
    <row r="166">
      <c r="A166" s="24" t="s">
        <v>4170</v>
      </c>
      <c r="C166" s="26">
        <v>35000.0</v>
      </c>
      <c r="E166" s="25" t="s">
        <v>3983</v>
      </c>
      <c r="F166" s="25" t="s">
        <v>457</v>
      </c>
    </row>
    <row r="167">
      <c r="A167" s="24" t="s">
        <v>4170</v>
      </c>
      <c r="C167" s="26">
        <v>70000.0</v>
      </c>
      <c r="E167" s="25" t="s">
        <v>3983</v>
      </c>
      <c r="F167" s="25" t="s">
        <v>3859</v>
      </c>
    </row>
    <row r="168">
      <c r="A168" s="24" t="s">
        <v>4170</v>
      </c>
      <c r="C168" s="26">
        <v>70000.0</v>
      </c>
      <c r="E168" s="25" t="s">
        <v>3983</v>
      </c>
      <c r="F168" s="25" t="s">
        <v>939</v>
      </c>
    </row>
    <row r="169">
      <c r="A169" s="24" t="s">
        <v>4170</v>
      </c>
      <c r="C169" s="26">
        <v>35000.0</v>
      </c>
      <c r="E169" s="25" t="s">
        <v>3983</v>
      </c>
      <c r="F169" s="25" t="s">
        <v>317</v>
      </c>
    </row>
    <row r="170">
      <c r="A170" s="24" t="s">
        <v>4028</v>
      </c>
      <c r="C170" s="26">
        <v>35000.0</v>
      </c>
      <c r="E170" s="25" t="s">
        <v>4029</v>
      </c>
      <c r="F170" s="25" t="s">
        <v>3070</v>
      </c>
    </row>
    <row r="171">
      <c r="A171" s="24" t="s">
        <v>4028</v>
      </c>
      <c r="C171" s="26">
        <v>70000.0</v>
      </c>
      <c r="E171" s="25" t="s">
        <v>3944</v>
      </c>
      <c r="F171" s="25" t="s">
        <v>729</v>
      </c>
    </row>
    <row r="172">
      <c r="A172" s="24" t="s">
        <v>4028</v>
      </c>
      <c r="C172" s="26">
        <v>70000.0</v>
      </c>
      <c r="E172" s="25" t="s">
        <v>4155</v>
      </c>
      <c r="F172" s="25" t="s">
        <v>4481</v>
      </c>
    </row>
    <row r="173">
      <c r="A173" s="24" t="s">
        <v>4028</v>
      </c>
      <c r="C173" s="26">
        <v>70000.0</v>
      </c>
      <c r="E173" s="25" t="s">
        <v>3948</v>
      </c>
      <c r="F173" s="25" t="s">
        <v>893</v>
      </c>
    </row>
    <row r="174">
      <c r="A174" s="24" t="s">
        <v>3951</v>
      </c>
      <c r="C174" s="26">
        <v>70000.0</v>
      </c>
      <c r="E174" s="25" t="s">
        <v>3952</v>
      </c>
      <c r="F174" s="25" t="s">
        <v>560</v>
      </c>
    </row>
    <row r="175">
      <c r="A175" s="24" t="s">
        <v>3951</v>
      </c>
      <c r="C175" s="26">
        <v>35000.0</v>
      </c>
      <c r="E175" s="25" t="s">
        <v>3937</v>
      </c>
      <c r="F175" s="25" t="s">
        <v>12</v>
      </c>
    </row>
    <row r="176">
      <c r="A176" s="24" t="s">
        <v>3951</v>
      </c>
      <c r="C176" s="26">
        <v>35000.0</v>
      </c>
      <c r="E176" s="25" t="s">
        <v>3941</v>
      </c>
      <c r="F176" s="25" t="s">
        <v>4625</v>
      </c>
    </row>
    <row r="177">
      <c r="A177" s="24" t="s">
        <v>3975</v>
      </c>
      <c r="C177" s="26">
        <v>35000.0</v>
      </c>
      <c r="E177" s="25" t="s">
        <v>3948</v>
      </c>
      <c r="F177" s="25" t="s">
        <v>169</v>
      </c>
    </row>
    <row r="178">
      <c r="A178" s="24" t="s">
        <v>3975</v>
      </c>
      <c r="C178" s="26">
        <v>10000.0</v>
      </c>
      <c r="E178" s="25" t="s">
        <v>4502</v>
      </c>
      <c r="F178" s="25" t="s">
        <v>4501</v>
      </c>
    </row>
    <row r="179">
      <c r="A179" s="24" t="s">
        <v>3975</v>
      </c>
      <c r="C179" s="26">
        <v>70000.0</v>
      </c>
      <c r="E179" s="25" t="s">
        <v>3946</v>
      </c>
      <c r="F179" s="25" t="s">
        <v>3976</v>
      </c>
    </row>
    <row r="180">
      <c r="A180" s="24" t="s">
        <v>4018</v>
      </c>
      <c r="C180" s="26">
        <v>35000.0</v>
      </c>
      <c r="E180" s="25" t="s">
        <v>3948</v>
      </c>
      <c r="F180" s="25" t="s">
        <v>485</v>
      </c>
    </row>
    <row r="181">
      <c r="A181" s="24" t="s">
        <v>4018</v>
      </c>
      <c r="C181" s="26">
        <v>35000.0</v>
      </c>
      <c r="E181" s="25" t="s">
        <v>4270</v>
      </c>
      <c r="F181" s="25" t="s">
        <v>4269</v>
      </c>
    </row>
    <row r="182">
      <c r="A182" s="24" t="s">
        <v>4018</v>
      </c>
      <c r="C182" s="26">
        <v>35000.0</v>
      </c>
      <c r="E182" s="25" t="s">
        <v>3944</v>
      </c>
      <c r="F182" s="25" t="s">
        <v>114</v>
      </c>
    </row>
    <row r="183">
      <c r="A183" s="24" t="s">
        <v>4018</v>
      </c>
      <c r="C183" s="26">
        <v>35000.0</v>
      </c>
      <c r="E183" s="25" t="s">
        <v>3948</v>
      </c>
      <c r="F183" s="25" t="s">
        <v>71</v>
      </c>
    </row>
    <row r="184">
      <c r="A184" s="24" t="s">
        <v>4018</v>
      </c>
      <c r="C184" s="26">
        <v>35000.0</v>
      </c>
      <c r="E184" s="25" t="s">
        <v>4105</v>
      </c>
      <c r="F184" s="25" t="s">
        <v>177</v>
      </c>
    </row>
    <row r="185">
      <c r="A185" s="24" t="s">
        <v>4018</v>
      </c>
      <c r="C185" s="26">
        <v>35000.0</v>
      </c>
      <c r="E185" s="25" t="s">
        <v>3952</v>
      </c>
      <c r="F185" s="25" t="s">
        <v>346</v>
      </c>
    </row>
    <row r="186">
      <c r="A186" s="24" t="s">
        <v>4018</v>
      </c>
      <c r="C186" s="26">
        <v>35000.0</v>
      </c>
      <c r="E186" s="25" t="s">
        <v>3948</v>
      </c>
      <c r="F186" s="25" t="s">
        <v>328</v>
      </c>
    </row>
    <row r="187">
      <c r="A187" s="24" t="s">
        <v>4150</v>
      </c>
      <c r="C187" s="26">
        <v>35000.0</v>
      </c>
      <c r="E187" s="25" t="s">
        <v>3948</v>
      </c>
      <c r="F187" s="25" t="s">
        <v>2192</v>
      </c>
    </row>
    <row r="188">
      <c r="A188" s="24" t="s">
        <v>4150</v>
      </c>
      <c r="C188" s="26">
        <v>35000.0</v>
      </c>
      <c r="E188" s="25" t="s">
        <v>4483</v>
      </c>
      <c r="F188" s="25" t="s">
        <v>468</v>
      </c>
    </row>
    <row r="189">
      <c r="A189" s="24" t="s">
        <v>4150</v>
      </c>
      <c r="C189" s="26">
        <v>35000.0</v>
      </c>
      <c r="E189" s="25" t="s">
        <v>3948</v>
      </c>
      <c r="F189" s="25" t="s">
        <v>3518</v>
      </c>
    </row>
    <row r="190">
      <c r="A190" s="24" t="s">
        <v>4150</v>
      </c>
      <c r="C190" s="26">
        <v>35000.0</v>
      </c>
      <c r="E190" s="25" t="s">
        <v>3946</v>
      </c>
      <c r="F190" s="25" t="s">
        <v>4177</v>
      </c>
    </row>
    <row r="191">
      <c r="A191" s="24" t="s">
        <v>4150</v>
      </c>
      <c r="C191" s="26">
        <v>70000.0</v>
      </c>
      <c r="E191" s="25" t="s">
        <v>3990</v>
      </c>
      <c r="F191" s="25" t="s">
        <v>731</v>
      </c>
    </row>
    <row r="192">
      <c r="A192" s="24" t="s">
        <v>4096</v>
      </c>
      <c r="C192" s="26">
        <v>70000.0</v>
      </c>
      <c r="E192" s="25" t="s">
        <v>4168</v>
      </c>
      <c r="F192" s="25" t="s">
        <v>1382</v>
      </c>
    </row>
    <row r="193">
      <c r="A193" s="24" t="s">
        <v>4096</v>
      </c>
      <c r="C193" s="26">
        <v>70000.0</v>
      </c>
      <c r="E193" s="25" t="s">
        <v>3939</v>
      </c>
      <c r="F193" s="25" t="s">
        <v>860</v>
      </c>
    </row>
    <row r="194">
      <c r="A194" s="24" t="s">
        <v>4096</v>
      </c>
      <c r="C194" s="26">
        <v>35000.0</v>
      </c>
      <c r="E194" s="25" t="s">
        <v>3983</v>
      </c>
      <c r="F194" s="25" t="s">
        <v>2194</v>
      </c>
    </row>
    <row r="195">
      <c r="A195" s="24" t="s">
        <v>4096</v>
      </c>
      <c r="C195" s="26">
        <v>70000.0</v>
      </c>
      <c r="E195" s="25" t="s">
        <v>4605</v>
      </c>
      <c r="F195" s="25" t="s">
        <v>4604</v>
      </c>
    </row>
    <row r="196">
      <c r="A196" s="24" t="s">
        <v>4096</v>
      </c>
      <c r="C196" s="26">
        <v>70000.0</v>
      </c>
      <c r="E196" s="25" t="s">
        <v>3990</v>
      </c>
      <c r="F196" s="25" t="s">
        <v>955</v>
      </c>
    </row>
    <row r="197">
      <c r="A197" s="24" t="s">
        <v>4096</v>
      </c>
      <c r="C197" s="26">
        <v>70000.0</v>
      </c>
      <c r="E197" s="25" t="s">
        <v>3948</v>
      </c>
      <c r="F197" s="25" t="s">
        <v>667</v>
      </c>
    </row>
    <row r="198">
      <c r="A198" s="24" t="s">
        <v>4011</v>
      </c>
      <c r="C198" s="26">
        <v>70000.0</v>
      </c>
      <c r="E198" s="25" t="s">
        <v>3946</v>
      </c>
      <c r="F198" s="25" t="s">
        <v>759</v>
      </c>
    </row>
    <row r="199">
      <c r="A199" s="24" t="s">
        <v>4011</v>
      </c>
      <c r="C199" s="26">
        <v>70000.0</v>
      </c>
      <c r="E199" s="25" t="s">
        <v>3983</v>
      </c>
      <c r="F199" s="25" t="s">
        <v>1658</v>
      </c>
    </row>
    <row r="200">
      <c r="A200" s="24" t="s">
        <v>4011</v>
      </c>
      <c r="C200" s="26">
        <v>35000.0</v>
      </c>
      <c r="E200" s="25" t="s">
        <v>3983</v>
      </c>
      <c r="F200" s="25" t="s">
        <v>4078</v>
      </c>
    </row>
    <row r="201">
      <c r="A201" s="24" t="s">
        <v>4011</v>
      </c>
      <c r="C201" s="26">
        <v>35000.0</v>
      </c>
      <c r="E201" s="25" t="s">
        <v>4143</v>
      </c>
      <c r="F201" s="25" t="s">
        <v>227</v>
      </c>
    </row>
    <row r="202">
      <c r="A202" s="24" t="s">
        <v>4011</v>
      </c>
      <c r="C202" s="26">
        <v>35000.0</v>
      </c>
      <c r="E202" s="25" t="s">
        <v>3939</v>
      </c>
      <c r="F202" s="25" t="s">
        <v>122</v>
      </c>
    </row>
    <row r="203">
      <c r="A203" s="24" t="s">
        <v>4011</v>
      </c>
      <c r="C203" s="26">
        <v>35000.0</v>
      </c>
      <c r="E203" s="25" t="s">
        <v>3983</v>
      </c>
      <c r="F203" s="25" t="s">
        <v>235</v>
      </c>
    </row>
    <row r="204">
      <c r="A204" s="24" t="s">
        <v>4011</v>
      </c>
      <c r="C204" s="26">
        <v>35000.0</v>
      </c>
      <c r="E204" s="25" t="s">
        <v>4137</v>
      </c>
      <c r="F204" s="25" t="s">
        <v>4136</v>
      </c>
    </row>
    <row r="205">
      <c r="A205" s="24" t="s">
        <v>4011</v>
      </c>
      <c r="C205" s="26">
        <v>35000.0</v>
      </c>
      <c r="E205" s="25" t="s">
        <v>3983</v>
      </c>
      <c r="F205" s="25" t="s">
        <v>4051</v>
      </c>
    </row>
    <row r="206">
      <c r="A206" s="24" t="s">
        <v>4011</v>
      </c>
      <c r="C206" s="26">
        <v>70000.0</v>
      </c>
      <c r="E206" s="25" t="s">
        <v>3941</v>
      </c>
      <c r="F206" s="25" t="s">
        <v>967</v>
      </c>
    </row>
    <row r="207">
      <c r="A207" s="24" t="s">
        <v>3984</v>
      </c>
      <c r="C207" s="26">
        <v>35000.0</v>
      </c>
      <c r="E207" s="25" t="s">
        <v>3941</v>
      </c>
      <c r="F207" s="25" t="s">
        <v>20</v>
      </c>
    </row>
    <row r="208">
      <c r="A208" s="24" t="s">
        <v>3984</v>
      </c>
      <c r="C208" s="26">
        <v>35000.0</v>
      </c>
      <c r="E208" s="25" t="s">
        <v>3941</v>
      </c>
      <c r="F208" s="25" t="s">
        <v>4007</v>
      </c>
    </row>
    <row r="209">
      <c r="A209" s="24" t="s">
        <v>3984</v>
      </c>
      <c r="C209" s="26">
        <v>35000.0</v>
      </c>
      <c r="E209" s="25" t="s">
        <v>3946</v>
      </c>
      <c r="F209" s="25" t="s">
        <v>189</v>
      </c>
    </row>
    <row r="210">
      <c r="A210" s="24" t="s">
        <v>3984</v>
      </c>
      <c r="C210" s="26">
        <v>35000.0</v>
      </c>
      <c r="E210" s="25" t="s">
        <v>3939</v>
      </c>
      <c r="F210" s="25" t="s">
        <v>3445</v>
      </c>
    </row>
    <row r="211">
      <c r="A211" s="24" t="s">
        <v>3984</v>
      </c>
      <c r="C211" s="26">
        <v>70000.0</v>
      </c>
      <c r="E211" s="25" t="s">
        <v>3939</v>
      </c>
      <c r="F211" s="25" t="s">
        <v>714</v>
      </c>
    </row>
    <row r="212">
      <c r="A212" s="24" t="s">
        <v>3984</v>
      </c>
      <c r="C212" s="26">
        <v>35000.0</v>
      </c>
      <c r="E212" s="25" t="s">
        <v>4480</v>
      </c>
      <c r="F212" s="25" t="s">
        <v>441</v>
      </c>
    </row>
    <row r="213">
      <c r="A213" s="24" t="s">
        <v>3984</v>
      </c>
      <c r="C213" s="26">
        <v>35000.0</v>
      </c>
      <c r="E213" s="25" t="s">
        <v>3946</v>
      </c>
      <c r="F213" s="25" t="s">
        <v>104</v>
      </c>
    </row>
    <row r="214">
      <c r="A214" s="24" t="s">
        <v>3984</v>
      </c>
      <c r="C214" s="26">
        <v>35000.0</v>
      </c>
      <c r="E214" s="25" t="s">
        <v>4270</v>
      </c>
      <c r="F214" s="25" t="s">
        <v>4463</v>
      </c>
    </row>
    <row r="215">
      <c r="A215" s="24" t="s">
        <v>3984</v>
      </c>
      <c r="C215" s="26">
        <v>70000.0</v>
      </c>
      <c r="E215" s="25" t="s">
        <v>4208</v>
      </c>
      <c r="F215" s="25" t="s">
        <v>785</v>
      </c>
    </row>
    <row r="216">
      <c r="A216" s="24" t="s">
        <v>4030</v>
      </c>
      <c r="C216" s="26">
        <v>70000.0</v>
      </c>
      <c r="E216" s="25" t="s">
        <v>3948</v>
      </c>
      <c r="F216" s="25" t="s">
        <v>917</v>
      </c>
    </row>
    <row r="217">
      <c r="A217" s="24" t="s">
        <v>4030</v>
      </c>
      <c r="C217" s="26">
        <v>70000.0</v>
      </c>
      <c r="E217" s="25" t="s">
        <v>3983</v>
      </c>
      <c r="F217" s="25" t="s">
        <v>613</v>
      </c>
    </row>
    <row r="218">
      <c r="A218" s="24" t="s">
        <v>4030</v>
      </c>
      <c r="C218" s="26">
        <v>70000.0</v>
      </c>
      <c r="E218" s="25" t="s">
        <v>3946</v>
      </c>
      <c r="F218" s="25" t="s">
        <v>739</v>
      </c>
    </row>
    <row r="219">
      <c r="A219" s="24" t="s">
        <v>4030</v>
      </c>
      <c r="C219" s="26">
        <v>35000.0</v>
      </c>
      <c r="E219" s="25" t="s">
        <v>3948</v>
      </c>
      <c r="F219" s="25" t="s">
        <v>4393</v>
      </c>
    </row>
    <row r="220">
      <c r="A220" s="24" t="s">
        <v>4030</v>
      </c>
      <c r="C220" s="26">
        <v>35000.0</v>
      </c>
      <c r="E220" s="25" t="s">
        <v>3983</v>
      </c>
      <c r="F220" s="25" t="s">
        <v>38</v>
      </c>
    </row>
    <row r="221">
      <c r="A221" s="24" t="s">
        <v>4030</v>
      </c>
      <c r="C221" s="26">
        <v>70000.0</v>
      </c>
      <c r="E221" s="25" t="s">
        <v>3941</v>
      </c>
      <c r="F221" s="25" t="s">
        <v>1443</v>
      </c>
    </row>
    <row r="222">
      <c r="A222" s="24" t="s">
        <v>4030</v>
      </c>
      <c r="C222" s="26">
        <v>35000.0</v>
      </c>
      <c r="E222" s="25" t="s">
        <v>3948</v>
      </c>
      <c r="F222" s="25" t="s">
        <v>511</v>
      </c>
    </row>
    <row r="223">
      <c r="A223" s="24" t="s">
        <v>4030</v>
      </c>
      <c r="C223" s="26">
        <v>70000.0</v>
      </c>
      <c r="E223" s="25" t="s">
        <v>3948</v>
      </c>
      <c r="F223" s="25" t="s">
        <v>831</v>
      </c>
    </row>
    <row r="224">
      <c r="A224" s="24" t="s">
        <v>4030</v>
      </c>
      <c r="C224" s="26">
        <v>35000.0</v>
      </c>
      <c r="E224" s="25" t="s">
        <v>3941</v>
      </c>
      <c r="F224" s="25" t="s">
        <v>4188</v>
      </c>
    </row>
    <row r="225">
      <c r="A225" s="24" t="s">
        <v>4030</v>
      </c>
      <c r="C225" s="26">
        <v>35000.0</v>
      </c>
      <c r="E225" s="25" t="s">
        <v>3946</v>
      </c>
      <c r="F225" s="25" t="s">
        <v>491</v>
      </c>
    </row>
    <row r="226">
      <c r="A226" s="24" t="s">
        <v>4030</v>
      </c>
      <c r="C226" s="26">
        <v>70000.0</v>
      </c>
      <c r="E226" s="25" t="s">
        <v>3939</v>
      </c>
      <c r="F226" s="25" t="s">
        <v>1447</v>
      </c>
    </row>
    <row r="227">
      <c r="A227" s="24" t="s">
        <v>4030</v>
      </c>
      <c r="C227" s="26">
        <v>70000.0</v>
      </c>
      <c r="E227" s="25" t="s">
        <v>3946</v>
      </c>
      <c r="F227" s="25" t="s">
        <v>863</v>
      </c>
    </row>
    <row r="228">
      <c r="A228" s="24" t="s">
        <v>4026</v>
      </c>
      <c r="C228" s="26">
        <v>35000.0</v>
      </c>
      <c r="E228" s="25" t="s">
        <v>3946</v>
      </c>
      <c r="F228" s="25" t="s">
        <v>2879</v>
      </c>
    </row>
    <row r="229">
      <c r="A229" s="24" t="s">
        <v>4026</v>
      </c>
      <c r="C229" s="26">
        <v>70000.0</v>
      </c>
      <c r="E229" s="25" t="s">
        <v>3939</v>
      </c>
      <c r="F229" s="25" t="s">
        <v>4221</v>
      </c>
    </row>
    <row r="230">
      <c r="A230" s="24" t="s">
        <v>4026</v>
      </c>
      <c r="C230" s="26">
        <v>70000.0</v>
      </c>
      <c r="E230" s="25" t="s">
        <v>4533</v>
      </c>
      <c r="F230" s="25" t="s">
        <v>4532</v>
      </c>
    </row>
    <row r="231">
      <c r="A231" s="24" t="s">
        <v>4026</v>
      </c>
      <c r="C231" s="26">
        <v>35000.0</v>
      </c>
      <c r="E231" s="25" t="s">
        <v>3983</v>
      </c>
      <c r="F231" s="25" t="s">
        <v>38</v>
      </c>
    </row>
    <row r="232">
      <c r="A232" s="24" t="s">
        <v>4026</v>
      </c>
      <c r="C232" s="26">
        <v>70000.0</v>
      </c>
      <c r="E232" s="25" t="s">
        <v>3983</v>
      </c>
      <c r="F232" s="25" t="s">
        <v>4232</v>
      </c>
    </row>
    <row r="233">
      <c r="A233" s="24" t="s">
        <v>4026</v>
      </c>
      <c r="C233" s="26">
        <v>70000.0</v>
      </c>
      <c r="E233" s="25" t="s">
        <v>3939</v>
      </c>
      <c r="F233" s="25" t="s">
        <v>973</v>
      </c>
    </row>
    <row r="234">
      <c r="A234" s="24" t="s">
        <v>4026</v>
      </c>
      <c r="C234" s="26">
        <v>35000.0</v>
      </c>
      <c r="E234" s="25" t="s">
        <v>3948</v>
      </c>
      <c r="F234" s="25" t="s">
        <v>281</v>
      </c>
    </row>
    <row r="235">
      <c r="A235" s="24" t="s">
        <v>4026</v>
      </c>
      <c r="C235" s="26">
        <v>70000.0</v>
      </c>
      <c r="E235" s="25" t="s">
        <v>3948</v>
      </c>
      <c r="F235" s="25" t="s">
        <v>606</v>
      </c>
    </row>
    <row r="236">
      <c r="A236" s="24" t="s">
        <v>3934</v>
      </c>
      <c r="C236" s="26">
        <v>70000.0</v>
      </c>
      <c r="E236" s="25" t="s">
        <v>3948</v>
      </c>
      <c r="F236" s="25" t="s">
        <v>1179</v>
      </c>
    </row>
    <row r="237">
      <c r="A237" s="24" t="s">
        <v>3934</v>
      </c>
      <c r="C237" s="26">
        <v>35000.0</v>
      </c>
      <c r="E237" s="25" t="s">
        <v>3937</v>
      </c>
      <c r="F237" s="25" t="s">
        <v>3936</v>
      </c>
    </row>
    <row r="238">
      <c r="A238" s="24" t="s">
        <v>3934</v>
      </c>
      <c r="C238" s="26">
        <v>60000.0</v>
      </c>
      <c r="E238" s="25" t="s">
        <v>3983</v>
      </c>
      <c r="F238" s="25" t="s">
        <v>4491</v>
      </c>
    </row>
    <row r="239">
      <c r="A239" s="24" t="s">
        <v>3934</v>
      </c>
      <c r="C239" s="26">
        <v>35000.0</v>
      </c>
      <c r="E239" s="25" t="s">
        <v>3946</v>
      </c>
      <c r="F239" s="25" t="s">
        <v>3397</v>
      </c>
    </row>
    <row r="240">
      <c r="A240" s="24" t="s">
        <v>3934</v>
      </c>
      <c r="C240" s="26">
        <v>70000.0</v>
      </c>
      <c r="E240" s="25" t="s">
        <v>3946</v>
      </c>
      <c r="F240" s="25" t="s">
        <v>4601</v>
      </c>
    </row>
    <row r="241">
      <c r="A241" s="24" t="s">
        <v>3934</v>
      </c>
      <c r="C241" s="26">
        <v>35000.0</v>
      </c>
      <c r="E241" s="25" t="s">
        <v>3948</v>
      </c>
      <c r="F241" s="25" t="s">
        <v>120</v>
      </c>
    </row>
    <row r="242">
      <c r="A242" s="24" t="s">
        <v>3934</v>
      </c>
      <c r="C242" s="26">
        <v>35000.0</v>
      </c>
      <c r="E242" s="25" t="s">
        <v>3948</v>
      </c>
      <c r="F242" s="25" t="s">
        <v>3506</v>
      </c>
    </row>
    <row r="243">
      <c r="A243" s="24" t="s">
        <v>3934</v>
      </c>
      <c r="C243" s="26">
        <v>70000.0</v>
      </c>
      <c r="E243" s="25" t="s">
        <v>3990</v>
      </c>
      <c r="F243" s="25" t="s">
        <v>922</v>
      </c>
    </row>
    <row r="244">
      <c r="A244" s="24" t="s">
        <v>3934</v>
      </c>
      <c r="C244" s="26">
        <v>35000.0</v>
      </c>
      <c r="E244" s="25" t="s">
        <v>3937</v>
      </c>
      <c r="F244" s="25" t="s">
        <v>4090</v>
      </c>
    </row>
    <row r="245">
      <c r="A245" s="24" t="s">
        <v>3934</v>
      </c>
      <c r="C245" s="26">
        <v>70000.0</v>
      </c>
      <c r="E245" s="25" t="s">
        <v>3952</v>
      </c>
      <c r="F245" s="25" t="s">
        <v>921</v>
      </c>
    </row>
    <row r="246">
      <c r="A246" s="24" t="s">
        <v>3934</v>
      </c>
      <c r="C246" s="26">
        <v>35000.0</v>
      </c>
      <c r="E246" s="25" t="s">
        <v>3983</v>
      </c>
      <c r="F246" s="25" t="s">
        <v>483</v>
      </c>
    </row>
    <row r="247">
      <c r="A247" s="24" t="s">
        <v>3953</v>
      </c>
      <c r="C247" s="26">
        <v>35000.0</v>
      </c>
      <c r="E247" s="25" t="s">
        <v>3952</v>
      </c>
      <c r="F247" s="25" t="s">
        <v>85</v>
      </c>
    </row>
    <row r="248">
      <c r="A248" s="24" t="s">
        <v>3953</v>
      </c>
      <c r="C248" s="26">
        <v>70000.0</v>
      </c>
      <c r="E248" s="25" t="s">
        <v>4155</v>
      </c>
      <c r="F248" s="25" t="s">
        <v>1033</v>
      </c>
    </row>
    <row r="249">
      <c r="A249" s="24" t="s">
        <v>3953</v>
      </c>
      <c r="C249" s="26">
        <v>70000.0</v>
      </c>
      <c r="E249" s="25" t="s">
        <v>3939</v>
      </c>
      <c r="F249" s="25" t="s">
        <v>2760</v>
      </c>
    </row>
    <row r="250">
      <c r="A250" s="24" t="s">
        <v>3953</v>
      </c>
      <c r="C250" s="26">
        <v>35000.0</v>
      </c>
      <c r="E250" s="25" t="s">
        <v>3983</v>
      </c>
      <c r="F250" s="25" t="s">
        <v>134</v>
      </c>
    </row>
    <row r="251">
      <c r="A251" s="24" t="s">
        <v>3953</v>
      </c>
      <c r="C251" s="26">
        <v>70000.0</v>
      </c>
      <c r="E251" s="25" t="s">
        <v>3941</v>
      </c>
      <c r="F251" s="25" t="s">
        <v>884</v>
      </c>
    </row>
    <row r="252">
      <c r="A252" s="24" t="s">
        <v>3953</v>
      </c>
      <c r="C252" s="26">
        <v>70000.0</v>
      </c>
      <c r="E252" s="25" t="s">
        <v>3941</v>
      </c>
      <c r="F252" s="25" t="s">
        <v>3954</v>
      </c>
    </row>
    <row r="253">
      <c r="A253" s="24" t="s">
        <v>3953</v>
      </c>
      <c r="C253" s="26">
        <v>10000.0</v>
      </c>
      <c r="E253" s="25" t="s">
        <v>3941</v>
      </c>
      <c r="F253" s="25" t="s">
        <v>162</v>
      </c>
    </row>
    <row r="254">
      <c r="A254" s="24" t="s">
        <v>3953</v>
      </c>
      <c r="C254" s="26">
        <v>70000.0</v>
      </c>
      <c r="E254" s="25" t="s">
        <v>3941</v>
      </c>
      <c r="F254" s="25" t="s">
        <v>3905</v>
      </c>
    </row>
    <row r="255">
      <c r="A255" s="24" t="s">
        <v>3953</v>
      </c>
      <c r="C255" s="26">
        <v>35000.0</v>
      </c>
      <c r="E255" s="25" t="s">
        <v>4410</v>
      </c>
      <c r="F255" s="25" t="s">
        <v>134</v>
      </c>
    </row>
    <row r="256">
      <c r="A256" s="24" t="s">
        <v>3953</v>
      </c>
      <c r="C256" s="26">
        <v>35000.0</v>
      </c>
      <c r="E256" s="25" t="s">
        <v>3946</v>
      </c>
      <c r="F256" s="25" t="s">
        <v>296</v>
      </c>
    </row>
    <row r="257">
      <c r="A257" s="24" t="s">
        <v>3953</v>
      </c>
      <c r="C257" s="26">
        <v>70000.0</v>
      </c>
      <c r="E257" s="25" t="s">
        <v>3941</v>
      </c>
      <c r="F257" s="25" t="s">
        <v>1416</v>
      </c>
    </row>
    <row r="258">
      <c r="A258" s="24" t="s">
        <v>3953</v>
      </c>
      <c r="C258" s="26">
        <v>35000.0</v>
      </c>
      <c r="E258" s="25" t="s">
        <v>4296</v>
      </c>
      <c r="F258" s="25" t="s">
        <v>4624</v>
      </c>
    </row>
    <row r="259">
      <c r="A259" s="24" t="s">
        <v>3953</v>
      </c>
      <c r="C259" s="26">
        <v>35000.0</v>
      </c>
      <c r="E259" s="25" t="s">
        <v>4623</v>
      </c>
      <c r="F259" s="25" t="s">
        <v>4622</v>
      </c>
    </row>
    <row r="260">
      <c r="A260" s="24" t="s">
        <v>3953</v>
      </c>
      <c r="C260" s="26">
        <v>70000.0</v>
      </c>
      <c r="E260" s="25" t="s">
        <v>4024</v>
      </c>
      <c r="F260" s="25" t="s">
        <v>604</v>
      </c>
    </row>
    <row r="261">
      <c r="A261" s="24" t="s">
        <v>3953</v>
      </c>
      <c r="C261" s="26">
        <v>35000.0</v>
      </c>
      <c r="E261" s="25" t="s">
        <v>3948</v>
      </c>
      <c r="F261" s="25" t="s">
        <v>3317</v>
      </c>
    </row>
    <row r="262">
      <c r="A262" s="24" t="s">
        <v>3980</v>
      </c>
      <c r="C262" s="26">
        <v>70000.0</v>
      </c>
      <c r="E262" s="25" t="s">
        <v>3948</v>
      </c>
      <c r="F262" s="25" t="s">
        <v>932</v>
      </c>
    </row>
    <row r="263">
      <c r="A263" s="24" t="s">
        <v>3980</v>
      </c>
      <c r="C263" s="26">
        <v>70000.0</v>
      </c>
      <c r="E263" s="25" t="s">
        <v>3941</v>
      </c>
      <c r="F263" s="25" t="s">
        <v>878</v>
      </c>
    </row>
    <row r="264">
      <c r="A264" s="24" t="s">
        <v>3980</v>
      </c>
      <c r="C264" s="26">
        <v>35000.0</v>
      </c>
      <c r="E264" s="25" t="s">
        <v>4485</v>
      </c>
      <c r="F264" s="25" t="s">
        <v>471</v>
      </c>
    </row>
    <row r="265">
      <c r="A265" s="24" t="s">
        <v>3980</v>
      </c>
      <c r="C265" s="26">
        <v>35000.0</v>
      </c>
      <c r="E265" s="25" t="s">
        <v>3983</v>
      </c>
      <c r="F265" s="25" t="s">
        <v>4251</v>
      </c>
    </row>
    <row r="266">
      <c r="A266" s="24" t="s">
        <v>3980</v>
      </c>
      <c r="C266" s="26">
        <v>35000.0</v>
      </c>
      <c r="E266" s="25" t="s">
        <v>3996</v>
      </c>
      <c r="F266" s="25" t="s">
        <v>35</v>
      </c>
    </row>
    <row r="267">
      <c r="A267" s="24" t="s">
        <v>3980</v>
      </c>
      <c r="C267" s="26">
        <v>70000.0</v>
      </c>
      <c r="E267" s="25" t="s">
        <v>4034</v>
      </c>
      <c r="F267" s="25" t="s">
        <v>1425</v>
      </c>
    </row>
    <row r="268">
      <c r="A268" s="24" t="s">
        <v>3980</v>
      </c>
      <c r="C268" s="26">
        <v>70000.0</v>
      </c>
      <c r="E268" s="25" t="s">
        <v>3941</v>
      </c>
      <c r="F268" s="25" t="s">
        <v>1105</v>
      </c>
    </row>
    <row r="269">
      <c r="A269" s="24" t="s">
        <v>3980</v>
      </c>
      <c r="C269" s="26">
        <v>70000.0</v>
      </c>
      <c r="E269" s="25" t="s">
        <v>3948</v>
      </c>
      <c r="F269" s="25" t="s">
        <v>1597</v>
      </c>
    </row>
    <row r="270">
      <c r="A270" s="24" t="s">
        <v>3980</v>
      </c>
      <c r="C270" s="26">
        <v>60000.0</v>
      </c>
      <c r="E270" s="25" t="s">
        <v>3939</v>
      </c>
      <c r="F270" s="25" t="s">
        <v>4487</v>
      </c>
    </row>
    <row r="271">
      <c r="A271" s="24" t="s">
        <v>3980</v>
      </c>
      <c r="C271" s="26">
        <v>70000.0</v>
      </c>
      <c r="E271" s="25" t="s">
        <v>3944</v>
      </c>
      <c r="F271" s="25" t="s">
        <v>800</v>
      </c>
    </row>
    <row r="272">
      <c r="A272" s="24" t="s">
        <v>3980</v>
      </c>
      <c r="C272" s="26">
        <v>70000.0</v>
      </c>
      <c r="E272" s="25" t="s">
        <v>3946</v>
      </c>
      <c r="F272" s="25" t="s">
        <v>4620</v>
      </c>
    </row>
    <row r="273">
      <c r="A273" s="24" t="s">
        <v>3980</v>
      </c>
      <c r="C273" s="26">
        <v>35000.0</v>
      </c>
      <c r="E273" s="25" t="s">
        <v>3948</v>
      </c>
      <c r="F273" s="25" t="s">
        <v>2542</v>
      </c>
    </row>
    <row r="274">
      <c r="A274" s="24" t="s">
        <v>3980</v>
      </c>
      <c r="C274" s="26">
        <v>35000.0</v>
      </c>
      <c r="E274" s="25" t="s">
        <v>3981</v>
      </c>
      <c r="F274" s="25" t="s">
        <v>18</v>
      </c>
    </row>
    <row r="275">
      <c r="A275" s="24" t="s">
        <v>3980</v>
      </c>
      <c r="C275" s="26">
        <v>70000.0</v>
      </c>
      <c r="E275" s="25" t="s">
        <v>4127</v>
      </c>
      <c r="F275" s="25" t="s">
        <v>702</v>
      </c>
    </row>
    <row r="276">
      <c r="A276" s="24" t="s">
        <v>3980</v>
      </c>
      <c r="C276" s="26">
        <v>70000.0</v>
      </c>
      <c r="E276" s="25" t="s">
        <v>3968</v>
      </c>
      <c r="F276" s="25" t="s">
        <v>2739</v>
      </c>
    </row>
    <row r="277">
      <c r="A277" s="24" t="s">
        <v>3980</v>
      </c>
      <c r="C277" s="26">
        <v>35000.0</v>
      </c>
      <c r="E277" s="25" t="s">
        <v>3983</v>
      </c>
      <c r="F277" s="25" t="s">
        <v>373</v>
      </c>
    </row>
    <row r="278">
      <c r="A278" s="24" t="s">
        <v>4071</v>
      </c>
      <c r="C278" s="26">
        <v>70000.0</v>
      </c>
      <c r="E278" s="25" t="s">
        <v>3948</v>
      </c>
      <c r="F278" s="25" t="s">
        <v>4488</v>
      </c>
    </row>
    <row r="279">
      <c r="A279" s="24" t="s">
        <v>4071</v>
      </c>
      <c r="C279" s="26">
        <v>70000.0</v>
      </c>
      <c r="E279" s="25" t="s">
        <v>4430</v>
      </c>
      <c r="F279" s="25" t="s">
        <v>732</v>
      </c>
    </row>
    <row r="280">
      <c r="A280" s="24" t="s">
        <v>4071</v>
      </c>
      <c r="C280" s="26">
        <v>70000.0</v>
      </c>
      <c r="E280" s="25" t="s">
        <v>3946</v>
      </c>
      <c r="F280" s="25" t="s">
        <v>855</v>
      </c>
    </row>
    <row r="281">
      <c r="A281" s="24" t="s">
        <v>4071</v>
      </c>
      <c r="C281" s="26">
        <v>35000.0</v>
      </c>
      <c r="E281" s="25" t="s">
        <v>3948</v>
      </c>
      <c r="F281" s="25" t="s">
        <v>4618</v>
      </c>
    </row>
    <row r="282">
      <c r="A282" s="24" t="s">
        <v>4071</v>
      </c>
      <c r="C282" s="26">
        <v>70000.0</v>
      </c>
      <c r="E282" s="25" t="s">
        <v>3946</v>
      </c>
      <c r="F282" s="25" t="s">
        <v>4510</v>
      </c>
    </row>
    <row r="283">
      <c r="A283" s="24" t="s">
        <v>4071</v>
      </c>
      <c r="C283" s="26">
        <v>35000.0</v>
      </c>
      <c r="E283" s="25" t="s">
        <v>3941</v>
      </c>
      <c r="F283" s="25" t="s">
        <v>3839</v>
      </c>
    </row>
    <row r="284">
      <c r="A284" s="24" t="s">
        <v>4071</v>
      </c>
      <c r="C284" s="26">
        <v>70000.0</v>
      </c>
      <c r="E284" s="25" t="s">
        <v>3948</v>
      </c>
      <c r="F284" s="25" t="s">
        <v>4265</v>
      </c>
    </row>
    <row r="285">
      <c r="A285" s="24" t="s">
        <v>4071</v>
      </c>
      <c r="C285" s="26">
        <v>35000.0</v>
      </c>
      <c r="E285" s="25" t="s">
        <v>4273</v>
      </c>
      <c r="F285" s="25" t="s">
        <v>406</v>
      </c>
    </row>
    <row r="286">
      <c r="A286" s="24" t="s">
        <v>4071</v>
      </c>
      <c r="C286" s="26">
        <v>35000.0</v>
      </c>
      <c r="E286" s="25" t="s">
        <v>3983</v>
      </c>
      <c r="F286" s="25" t="s">
        <v>425</v>
      </c>
    </row>
    <row r="287">
      <c r="A287" s="24" t="s">
        <v>4071</v>
      </c>
      <c r="C287" s="26">
        <v>70000.0</v>
      </c>
      <c r="E287" s="25" t="s">
        <v>3946</v>
      </c>
      <c r="F287" s="25" t="s">
        <v>897</v>
      </c>
    </row>
    <row r="288">
      <c r="A288" s="24" t="s">
        <v>4071</v>
      </c>
      <c r="C288" s="26">
        <v>35000.0</v>
      </c>
      <c r="E288" s="25" t="s">
        <v>3948</v>
      </c>
      <c r="F288" s="25" t="s">
        <v>2778</v>
      </c>
    </row>
    <row r="289">
      <c r="A289" s="24" t="s">
        <v>4071</v>
      </c>
      <c r="C289" s="26">
        <v>35000.0</v>
      </c>
      <c r="E289" s="25" t="s">
        <v>4245</v>
      </c>
      <c r="F289" s="25" t="s">
        <v>359</v>
      </c>
    </row>
    <row r="290">
      <c r="A290" s="24" t="s">
        <v>4071</v>
      </c>
      <c r="C290" s="26">
        <v>35000.0</v>
      </c>
      <c r="E290" s="25" t="s">
        <v>4291</v>
      </c>
      <c r="F290" s="25" t="s">
        <v>435</v>
      </c>
    </row>
    <row r="291">
      <c r="A291" s="24" t="s">
        <v>4071</v>
      </c>
      <c r="C291" s="26">
        <v>35000.0</v>
      </c>
      <c r="E291" s="25" t="s">
        <v>3983</v>
      </c>
      <c r="F291" s="25" t="s">
        <v>2765</v>
      </c>
    </row>
    <row r="292">
      <c r="A292" s="24" t="s">
        <v>4071</v>
      </c>
      <c r="C292" s="26">
        <v>35000.0</v>
      </c>
      <c r="E292" s="25" t="s">
        <v>3948</v>
      </c>
      <c r="F292" s="25" t="s">
        <v>462</v>
      </c>
    </row>
    <row r="293">
      <c r="A293" s="24" t="s">
        <v>4071</v>
      </c>
      <c r="C293" s="26">
        <v>35000.0</v>
      </c>
      <c r="E293" s="25" t="s">
        <v>3946</v>
      </c>
      <c r="F293" s="25" t="s">
        <v>67</v>
      </c>
    </row>
    <row r="294">
      <c r="A294" s="24" t="s">
        <v>4071</v>
      </c>
      <c r="C294" s="26">
        <v>70000.0</v>
      </c>
      <c r="E294" s="25" t="s">
        <v>3968</v>
      </c>
      <c r="F294" s="25" t="s">
        <v>896</v>
      </c>
    </row>
    <row r="295">
      <c r="A295" s="24" t="s">
        <v>4071</v>
      </c>
      <c r="C295" s="26">
        <v>35000.0</v>
      </c>
      <c r="E295" s="25" t="s">
        <v>3983</v>
      </c>
      <c r="F295" s="25" t="s">
        <v>4386</v>
      </c>
    </row>
    <row r="296">
      <c r="A296" s="24" t="s">
        <v>4071</v>
      </c>
      <c r="C296" s="26">
        <v>35000.0</v>
      </c>
      <c r="E296" s="25" t="s">
        <v>3946</v>
      </c>
      <c r="F296" s="25" t="s">
        <v>318</v>
      </c>
    </row>
    <row r="297">
      <c r="A297" s="24" t="s">
        <v>4071</v>
      </c>
      <c r="C297" s="26">
        <v>35000.0</v>
      </c>
      <c r="E297" s="25" t="s">
        <v>4318</v>
      </c>
      <c r="F297" s="25" t="s">
        <v>3690</v>
      </c>
    </row>
    <row r="298">
      <c r="A298" s="24" t="s">
        <v>4071</v>
      </c>
      <c r="C298" s="26">
        <v>35000.0</v>
      </c>
      <c r="E298" s="25" t="s">
        <v>3948</v>
      </c>
      <c r="F298" s="25" t="s">
        <v>3149</v>
      </c>
    </row>
    <row r="299">
      <c r="A299" s="24" t="s">
        <v>4071</v>
      </c>
      <c r="C299" s="26">
        <v>70000.0</v>
      </c>
      <c r="E299" s="25" t="s">
        <v>4184</v>
      </c>
      <c r="F299" s="25" t="s">
        <v>768</v>
      </c>
    </row>
    <row r="300">
      <c r="A300" s="24" t="s">
        <v>4071</v>
      </c>
      <c r="C300" s="26">
        <v>70000.0</v>
      </c>
      <c r="E300" s="25" t="s">
        <v>3946</v>
      </c>
      <c r="F300" s="25" t="s">
        <v>914</v>
      </c>
    </row>
    <row r="301">
      <c r="A301" s="24" t="s">
        <v>4071</v>
      </c>
      <c r="C301" s="26">
        <v>35000.0</v>
      </c>
      <c r="E301" s="25" t="s">
        <v>4163</v>
      </c>
      <c r="F301" s="25" t="s">
        <v>251</v>
      </c>
    </row>
    <row r="302">
      <c r="A302" s="24" t="s">
        <v>4071</v>
      </c>
      <c r="C302" s="26">
        <v>70000.0</v>
      </c>
      <c r="E302" s="25" t="s">
        <v>3948</v>
      </c>
      <c r="F302" s="25" t="s">
        <v>1028</v>
      </c>
    </row>
    <row r="303">
      <c r="A303" s="24" t="s">
        <v>4071</v>
      </c>
      <c r="C303" s="26">
        <v>35000.0</v>
      </c>
      <c r="E303" s="25" t="s">
        <v>3941</v>
      </c>
      <c r="F303" s="25" t="s">
        <v>190</v>
      </c>
    </row>
    <row r="304">
      <c r="A304" s="24" t="s">
        <v>4071</v>
      </c>
      <c r="C304" s="26">
        <v>70000.0</v>
      </c>
      <c r="E304" s="25" t="s">
        <v>3946</v>
      </c>
      <c r="F304" s="25" t="s">
        <v>797</v>
      </c>
    </row>
    <row r="305">
      <c r="A305" s="24" t="s">
        <v>4071</v>
      </c>
      <c r="C305" s="26">
        <v>60000.0</v>
      </c>
      <c r="E305" s="25" t="s">
        <v>3948</v>
      </c>
      <c r="F305" s="25" t="s">
        <v>4396</v>
      </c>
    </row>
    <row r="306">
      <c r="A306" s="24" t="s">
        <v>4071</v>
      </c>
      <c r="C306" s="26">
        <v>35000.0</v>
      </c>
      <c r="E306" s="25" t="s">
        <v>3983</v>
      </c>
      <c r="F306" s="25" t="s">
        <v>157</v>
      </c>
    </row>
    <row r="307">
      <c r="A307" s="24" t="s">
        <v>4071</v>
      </c>
      <c r="C307" s="26">
        <v>35000.0</v>
      </c>
      <c r="E307" s="25" t="s">
        <v>3952</v>
      </c>
      <c r="F307" s="25" t="s">
        <v>4388</v>
      </c>
    </row>
    <row r="308">
      <c r="A308" s="24" t="s">
        <v>3938</v>
      </c>
      <c r="C308" s="26">
        <v>35000.0</v>
      </c>
      <c r="E308" s="25" t="s">
        <v>3961</v>
      </c>
      <c r="F308" s="25" t="s">
        <v>2960</v>
      </c>
    </row>
    <row r="309">
      <c r="A309" s="24" t="s">
        <v>3938</v>
      </c>
      <c r="C309" s="26">
        <v>70000.0</v>
      </c>
      <c r="E309" s="25" t="s">
        <v>3946</v>
      </c>
      <c r="F309" s="25" t="s">
        <v>935</v>
      </c>
    </row>
    <row r="310">
      <c r="A310" s="24" t="s">
        <v>3938</v>
      </c>
      <c r="C310" s="26">
        <v>70000.0</v>
      </c>
      <c r="E310" s="25" t="s">
        <v>4067</v>
      </c>
      <c r="F310" s="25" t="s">
        <v>645</v>
      </c>
    </row>
    <row r="311">
      <c r="A311" s="24" t="s">
        <v>3938</v>
      </c>
      <c r="C311" s="26">
        <v>70000.0</v>
      </c>
      <c r="E311" s="25" t="s">
        <v>4384</v>
      </c>
      <c r="F311" s="25" t="s">
        <v>579</v>
      </c>
    </row>
    <row r="312">
      <c r="A312" s="24" t="s">
        <v>3938</v>
      </c>
      <c r="C312" s="26">
        <v>35000.0</v>
      </c>
      <c r="E312" s="25" t="s">
        <v>3939</v>
      </c>
      <c r="F312" s="25" t="s">
        <v>2</v>
      </c>
    </row>
    <row r="313">
      <c r="A313" s="24" t="s">
        <v>3938</v>
      </c>
      <c r="C313" s="26">
        <v>70000.0</v>
      </c>
      <c r="E313" s="25" t="s">
        <v>4423</v>
      </c>
      <c r="F313" s="25" t="s">
        <v>701</v>
      </c>
    </row>
    <row r="314">
      <c r="A314" s="24" t="s">
        <v>3938</v>
      </c>
      <c r="C314" s="26">
        <v>35000.0</v>
      </c>
      <c r="E314" s="25" t="s">
        <v>3948</v>
      </c>
      <c r="F314" s="25" t="s">
        <v>4598</v>
      </c>
    </row>
    <row r="315">
      <c r="A315" s="24" t="s">
        <v>3938</v>
      </c>
      <c r="C315" s="26">
        <v>70000.0</v>
      </c>
      <c r="E315" s="25" t="s">
        <v>3990</v>
      </c>
      <c r="F315" s="25" t="s">
        <v>944</v>
      </c>
    </row>
    <row r="316">
      <c r="A316" s="24" t="s">
        <v>3938</v>
      </c>
      <c r="C316" s="26">
        <v>35000.0</v>
      </c>
      <c r="E316" s="25" t="s">
        <v>3941</v>
      </c>
      <c r="F316" s="25" t="s">
        <v>144</v>
      </c>
    </row>
    <row r="317">
      <c r="A317" s="24" t="s">
        <v>3938</v>
      </c>
      <c r="C317" s="26">
        <v>35000.0</v>
      </c>
      <c r="E317" s="25" t="s">
        <v>4438</v>
      </c>
      <c r="F317" s="25" t="s">
        <v>258</v>
      </c>
    </row>
    <row r="318">
      <c r="A318" s="24" t="s">
        <v>3938</v>
      </c>
      <c r="C318" s="26">
        <v>70000.0</v>
      </c>
      <c r="E318" s="25" t="s">
        <v>3983</v>
      </c>
      <c r="F318" s="25" t="s">
        <v>562</v>
      </c>
    </row>
    <row r="319">
      <c r="A319" s="24" t="s">
        <v>3938</v>
      </c>
      <c r="C319" s="26">
        <v>70000.0</v>
      </c>
      <c r="E319" s="25" t="s">
        <v>3978</v>
      </c>
      <c r="F319" s="25" t="s">
        <v>3977</v>
      </c>
    </row>
    <row r="320">
      <c r="A320" s="24" t="s">
        <v>3938</v>
      </c>
      <c r="C320" s="26">
        <v>35000.0</v>
      </c>
      <c r="E320" s="25" t="s">
        <v>3948</v>
      </c>
      <c r="F320" s="25" t="s">
        <v>3881</v>
      </c>
    </row>
    <row r="321">
      <c r="A321" s="24" t="s">
        <v>3938</v>
      </c>
      <c r="C321" s="26">
        <v>35000.0</v>
      </c>
      <c r="E321" s="25" t="s">
        <v>3983</v>
      </c>
      <c r="F321" s="25" t="s">
        <v>4452</v>
      </c>
    </row>
    <row r="322">
      <c r="A322" s="24" t="s">
        <v>3938</v>
      </c>
      <c r="C322" s="26">
        <v>35000.0</v>
      </c>
      <c r="E322" s="25" t="s">
        <v>3939</v>
      </c>
      <c r="F322" s="25" t="s">
        <v>2885</v>
      </c>
    </row>
    <row r="323">
      <c r="A323" s="24" t="s">
        <v>3938</v>
      </c>
      <c r="C323" s="26">
        <v>70000.0</v>
      </c>
      <c r="E323" s="25" t="s">
        <v>3948</v>
      </c>
      <c r="F323" s="25" t="s">
        <v>829</v>
      </c>
    </row>
    <row r="324">
      <c r="A324" s="24" t="s">
        <v>3938</v>
      </c>
      <c r="C324" s="26">
        <v>35000.0</v>
      </c>
      <c r="E324" s="25" t="s">
        <v>3983</v>
      </c>
      <c r="F324" s="25" t="s">
        <v>116</v>
      </c>
    </row>
    <row r="325">
      <c r="A325" s="24" t="s">
        <v>3938</v>
      </c>
      <c r="C325" s="26">
        <v>35000.0</v>
      </c>
      <c r="E325" s="25" t="s">
        <v>4006</v>
      </c>
      <c r="F325" s="25" t="s">
        <v>4369</v>
      </c>
    </row>
    <row r="326">
      <c r="A326" s="24" t="s">
        <v>3938</v>
      </c>
      <c r="C326" s="26">
        <v>35000.0</v>
      </c>
      <c r="E326" s="25" t="s">
        <v>3948</v>
      </c>
      <c r="F326" s="25" t="s">
        <v>308</v>
      </c>
    </row>
    <row r="327">
      <c r="A327" s="24" t="s">
        <v>3938</v>
      </c>
      <c r="C327" s="26">
        <v>35000.0</v>
      </c>
      <c r="E327" s="25" t="s">
        <v>3990</v>
      </c>
      <c r="F327" s="25" t="s">
        <v>314</v>
      </c>
    </row>
    <row r="328">
      <c r="A328" s="24" t="s">
        <v>3938</v>
      </c>
      <c r="C328" s="26">
        <v>35000.0</v>
      </c>
      <c r="E328" s="25" t="s">
        <v>4380</v>
      </c>
      <c r="F328" s="25" t="s">
        <v>2796</v>
      </c>
    </row>
    <row r="329">
      <c r="A329" s="24" t="s">
        <v>3938</v>
      </c>
      <c r="C329" s="26">
        <v>35000.0</v>
      </c>
      <c r="E329" s="25" t="s">
        <v>3941</v>
      </c>
      <c r="F329" s="25" t="s">
        <v>4235</v>
      </c>
    </row>
    <row r="330">
      <c r="A330" s="24" t="s">
        <v>3938</v>
      </c>
      <c r="C330" s="26">
        <v>70000.0</v>
      </c>
      <c r="E330" s="25" t="s">
        <v>3948</v>
      </c>
      <c r="F330" s="25" t="s">
        <v>966</v>
      </c>
    </row>
    <row r="331">
      <c r="A331" s="24" t="s">
        <v>3938</v>
      </c>
      <c r="C331" s="26">
        <v>70000.0</v>
      </c>
      <c r="E331" s="25" t="s">
        <v>3983</v>
      </c>
      <c r="F331" s="25" t="s">
        <v>1889</v>
      </c>
    </row>
    <row r="332">
      <c r="A332" s="24" t="s">
        <v>3938</v>
      </c>
      <c r="C332" s="26">
        <v>35000.0</v>
      </c>
      <c r="E332" s="25" t="s">
        <v>3939</v>
      </c>
      <c r="F332" s="25" t="s">
        <v>4111</v>
      </c>
    </row>
    <row r="333">
      <c r="A333" s="24" t="s">
        <v>3938</v>
      </c>
      <c r="C333" s="26">
        <v>35000.0</v>
      </c>
      <c r="E333" s="25" t="s">
        <v>3946</v>
      </c>
      <c r="F333" s="25" t="s">
        <v>135</v>
      </c>
    </row>
    <row r="334">
      <c r="A334" s="24" t="s">
        <v>3955</v>
      </c>
      <c r="C334" s="26">
        <v>35000.0</v>
      </c>
      <c r="E334" s="25" t="s">
        <v>3944</v>
      </c>
      <c r="F334" s="25" t="s">
        <v>63</v>
      </c>
    </row>
    <row r="335">
      <c r="A335" s="24" t="s">
        <v>3955</v>
      </c>
      <c r="C335" s="26">
        <v>35000.0</v>
      </c>
      <c r="E335" s="25" t="s">
        <v>3990</v>
      </c>
      <c r="F335" s="25" t="s">
        <v>3356</v>
      </c>
    </row>
    <row r="336">
      <c r="A336" s="24" t="s">
        <v>3955</v>
      </c>
      <c r="C336" s="26">
        <v>70000.0</v>
      </c>
      <c r="E336" s="25" t="s">
        <v>3946</v>
      </c>
      <c r="F336" s="25" t="s">
        <v>4206</v>
      </c>
    </row>
    <row r="337">
      <c r="A337" s="24" t="s">
        <v>3955</v>
      </c>
      <c r="C337" s="26">
        <v>70000.0</v>
      </c>
      <c r="E337" s="25" t="s">
        <v>4250</v>
      </c>
      <c r="F337" s="25" t="s">
        <v>828</v>
      </c>
    </row>
    <row r="338">
      <c r="A338" s="24" t="s">
        <v>3955</v>
      </c>
      <c r="C338" s="26">
        <v>35000.0</v>
      </c>
      <c r="E338" s="25" t="s">
        <v>3983</v>
      </c>
      <c r="F338" s="25" t="s">
        <v>4477</v>
      </c>
    </row>
    <row r="339">
      <c r="A339" s="24" t="s">
        <v>3955</v>
      </c>
      <c r="C339" s="26">
        <v>70000.0</v>
      </c>
      <c r="E339" s="25" t="s">
        <v>4006</v>
      </c>
      <c r="F339" s="25" t="s">
        <v>4422</v>
      </c>
    </row>
    <row r="340">
      <c r="A340" s="24" t="s">
        <v>3955</v>
      </c>
      <c r="C340" s="26">
        <v>60000.0</v>
      </c>
      <c r="E340" s="25" t="s">
        <v>4502</v>
      </c>
      <c r="F340" s="25" t="s">
        <v>4501</v>
      </c>
    </row>
    <row r="341">
      <c r="A341" s="24" t="s">
        <v>3955</v>
      </c>
      <c r="C341" s="26">
        <v>35000.0</v>
      </c>
      <c r="E341" s="25" t="s">
        <v>4124</v>
      </c>
      <c r="F341" s="25" t="s">
        <v>209</v>
      </c>
    </row>
    <row r="342">
      <c r="A342" s="24" t="s">
        <v>3955</v>
      </c>
      <c r="C342" s="26">
        <v>35000.0</v>
      </c>
      <c r="E342" s="25" t="s">
        <v>3983</v>
      </c>
      <c r="F342" s="25" t="s">
        <v>118</v>
      </c>
    </row>
    <row r="343">
      <c r="A343" s="24" t="s">
        <v>3955</v>
      </c>
      <c r="C343" s="26">
        <v>35000.0</v>
      </c>
      <c r="E343" s="25" t="s">
        <v>3946</v>
      </c>
      <c r="F343" s="25" t="s">
        <v>1521</v>
      </c>
    </row>
    <row r="344">
      <c r="A344" s="24" t="s">
        <v>3955</v>
      </c>
      <c r="C344" s="26">
        <v>70000.0</v>
      </c>
      <c r="E344" s="25" t="s">
        <v>3948</v>
      </c>
      <c r="F344" s="25" t="s">
        <v>480</v>
      </c>
    </row>
    <row r="345">
      <c r="A345" s="24" t="s">
        <v>3955</v>
      </c>
      <c r="C345" s="26">
        <v>70000.0</v>
      </c>
      <c r="E345" s="25" t="s">
        <v>3952</v>
      </c>
      <c r="F345" s="25" t="s">
        <v>894</v>
      </c>
    </row>
    <row r="346">
      <c r="A346" s="24" t="s">
        <v>3955</v>
      </c>
      <c r="C346" s="26">
        <v>35000.0</v>
      </c>
      <c r="E346" s="25" t="s">
        <v>3952</v>
      </c>
      <c r="F346" s="25" t="s">
        <v>2809</v>
      </c>
    </row>
    <row r="347">
      <c r="A347" s="24" t="s">
        <v>3955</v>
      </c>
      <c r="C347" s="26">
        <v>70000.0</v>
      </c>
      <c r="E347" s="25" t="s">
        <v>4420</v>
      </c>
      <c r="F347" s="25" t="s">
        <v>674</v>
      </c>
    </row>
    <row r="348">
      <c r="A348" s="24" t="s">
        <v>3955</v>
      </c>
      <c r="C348" s="26">
        <v>70000.0</v>
      </c>
      <c r="E348" s="25" t="s">
        <v>3948</v>
      </c>
      <c r="F348" s="25" t="s">
        <v>806</v>
      </c>
    </row>
    <row r="349">
      <c r="A349" s="24" t="s">
        <v>3955</v>
      </c>
      <c r="C349" s="26">
        <v>35000.0</v>
      </c>
      <c r="E349" s="25" t="s">
        <v>3983</v>
      </c>
      <c r="F349" s="25" t="s">
        <v>65</v>
      </c>
    </row>
    <row r="350">
      <c r="A350" s="24" t="s">
        <v>3955</v>
      </c>
      <c r="C350" s="26">
        <v>35000.0</v>
      </c>
      <c r="E350" s="25" t="s">
        <v>3983</v>
      </c>
      <c r="F350" s="25" t="s">
        <v>208</v>
      </c>
    </row>
    <row r="351">
      <c r="A351" s="24" t="s">
        <v>3955</v>
      </c>
      <c r="C351" s="26">
        <v>35000.0</v>
      </c>
      <c r="E351" s="25" t="s">
        <v>3948</v>
      </c>
      <c r="F351" s="25" t="s">
        <v>203</v>
      </c>
    </row>
    <row r="352">
      <c r="A352" s="24" t="s">
        <v>3955</v>
      </c>
      <c r="C352" s="26">
        <v>70000.0</v>
      </c>
      <c r="E352" s="25" t="s">
        <v>3937</v>
      </c>
      <c r="F352" s="25" t="s">
        <v>4042</v>
      </c>
    </row>
    <row r="353">
      <c r="A353" s="24" t="s">
        <v>3955</v>
      </c>
      <c r="C353" s="26">
        <v>70000.0</v>
      </c>
      <c r="E353" s="25" t="s">
        <v>3948</v>
      </c>
      <c r="F353" s="25" t="s">
        <v>4161</v>
      </c>
    </row>
    <row r="354">
      <c r="A354" s="24" t="s">
        <v>3955</v>
      </c>
      <c r="C354" s="26">
        <v>70000.0</v>
      </c>
      <c r="E354" s="25" t="s">
        <v>3946</v>
      </c>
      <c r="F354" s="25" t="s">
        <v>4317</v>
      </c>
    </row>
    <row r="355">
      <c r="A355" s="24" t="s">
        <v>3955</v>
      </c>
      <c r="C355" s="26">
        <v>70000.0</v>
      </c>
      <c r="E355" s="25" t="s">
        <v>3946</v>
      </c>
      <c r="F355" s="25" t="s">
        <v>769</v>
      </c>
    </row>
    <row r="356">
      <c r="A356" s="24" t="s">
        <v>3955</v>
      </c>
      <c r="C356" s="26">
        <v>35000.0</v>
      </c>
      <c r="E356" s="25" t="s">
        <v>3941</v>
      </c>
      <c r="F356" s="25" t="s">
        <v>133</v>
      </c>
    </row>
    <row r="357">
      <c r="A357" s="24" t="s">
        <v>3955</v>
      </c>
      <c r="C357" s="26">
        <v>70000.0</v>
      </c>
      <c r="E357" s="25" t="s">
        <v>3946</v>
      </c>
      <c r="F357" s="25" t="s">
        <v>844</v>
      </c>
    </row>
    <row r="358">
      <c r="A358" s="24" t="s">
        <v>3955</v>
      </c>
      <c r="C358" s="26">
        <v>70000.0</v>
      </c>
      <c r="E358" s="25" t="s">
        <v>4119</v>
      </c>
      <c r="F358" s="25" t="s">
        <v>691</v>
      </c>
    </row>
    <row r="359">
      <c r="A359" s="24" t="s">
        <v>3955</v>
      </c>
      <c r="C359" s="26">
        <v>70000.0</v>
      </c>
      <c r="E359" s="25" t="s">
        <v>3983</v>
      </c>
      <c r="F359" s="25" t="s">
        <v>2095</v>
      </c>
    </row>
    <row r="360">
      <c r="A360" s="24" t="s">
        <v>3955</v>
      </c>
      <c r="C360" s="26">
        <v>70000.0</v>
      </c>
      <c r="E360" s="25" t="s">
        <v>3946</v>
      </c>
      <c r="F360" s="25" t="s">
        <v>3956</v>
      </c>
    </row>
    <row r="361">
      <c r="A361" s="24" t="s">
        <v>3955</v>
      </c>
      <c r="C361" s="26">
        <v>35000.0</v>
      </c>
      <c r="E361" s="25" t="s">
        <v>3948</v>
      </c>
      <c r="F361" s="25" t="s">
        <v>3512</v>
      </c>
    </row>
    <row r="362">
      <c r="A362" s="24" t="s">
        <v>3955</v>
      </c>
      <c r="C362" s="26">
        <v>35000.0</v>
      </c>
      <c r="E362" s="25" t="s">
        <v>3948</v>
      </c>
      <c r="F362" s="25" t="s">
        <v>3163</v>
      </c>
    </row>
    <row r="363">
      <c r="A363" s="24" t="s">
        <v>3955</v>
      </c>
      <c r="C363" s="26">
        <v>70000.0</v>
      </c>
      <c r="E363" s="25" t="s">
        <v>3941</v>
      </c>
      <c r="F363" s="25" t="s">
        <v>4328</v>
      </c>
    </row>
    <row r="364">
      <c r="A364" s="24" t="s">
        <v>3955</v>
      </c>
      <c r="C364" s="26">
        <v>35000.0</v>
      </c>
      <c r="E364" s="25" t="s">
        <v>4147</v>
      </c>
      <c r="F364" s="25" t="s">
        <v>3309</v>
      </c>
    </row>
    <row r="365">
      <c r="A365" s="24" t="s">
        <v>3955</v>
      </c>
      <c r="C365" s="26">
        <v>35000.0</v>
      </c>
      <c r="E365" s="25" t="s">
        <v>3948</v>
      </c>
      <c r="F365" s="25" t="s">
        <v>4337</v>
      </c>
    </row>
    <row r="366">
      <c r="A366" s="24" t="s">
        <v>3955</v>
      </c>
      <c r="C366" s="26">
        <v>70000.0</v>
      </c>
      <c r="E366" s="25" t="s">
        <v>3948</v>
      </c>
      <c r="F366" s="25" t="s">
        <v>960</v>
      </c>
    </row>
    <row r="367">
      <c r="A367" s="24" t="s">
        <v>3955</v>
      </c>
      <c r="C367" s="26">
        <v>35000.0</v>
      </c>
      <c r="E367" s="25" t="s">
        <v>3946</v>
      </c>
      <c r="F367" s="25" t="s">
        <v>418</v>
      </c>
    </row>
    <row r="368">
      <c r="A368" s="24" t="s">
        <v>3955</v>
      </c>
      <c r="C368" s="26">
        <v>70000.0</v>
      </c>
      <c r="E368" s="25" t="s">
        <v>3983</v>
      </c>
      <c r="F368" s="25" t="s">
        <v>847</v>
      </c>
    </row>
    <row r="369">
      <c r="A369" s="24" t="s">
        <v>4002</v>
      </c>
      <c r="C369" s="26">
        <v>35000.0</v>
      </c>
      <c r="E369" s="25" t="s">
        <v>3948</v>
      </c>
      <c r="F369" s="25" t="s">
        <v>319</v>
      </c>
    </row>
    <row r="370">
      <c r="A370" s="24" t="s">
        <v>4002</v>
      </c>
      <c r="C370" s="26">
        <v>35000.0</v>
      </c>
      <c r="E370" s="25" t="s">
        <v>4087</v>
      </c>
      <c r="F370" s="25" t="s">
        <v>3554</v>
      </c>
    </row>
    <row r="371">
      <c r="A371" s="24" t="s">
        <v>4002</v>
      </c>
      <c r="C371" s="26">
        <v>60000.0</v>
      </c>
      <c r="E371" s="25" t="s">
        <v>3941</v>
      </c>
      <c r="F371" s="25" t="s">
        <v>162</v>
      </c>
    </row>
    <row r="372">
      <c r="A372" s="24" t="s">
        <v>4002</v>
      </c>
      <c r="C372" s="26">
        <v>70000.0</v>
      </c>
      <c r="E372" s="25" t="s">
        <v>3948</v>
      </c>
      <c r="F372" s="25" t="s">
        <v>605</v>
      </c>
    </row>
    <row r="373">
      <c r="A373" s="24" t="s">
        <v>4002</v>
      </c>
      <c r="C373" s="26">
        <v>35000.0</v>
      </c>
      <c r="E373" s="25" t="s">
        <v>4417</v>
      </c>
      <c r="F373" s="25" t="s">
        <v>163</v>
      </c>
    </row>
    <row r="374">
      <c r="A374" s="24" t="s">
        <v>4002</v>
      </c>
      <c r="C374" s="26">
        <v>35000.0</v>
      </c>
      <c r="E374" s="25" t="s">
        <v>3948</v>
      </c>
      <c r="F374" s="25" t="s">
        <v>3235</v>
      </c>
    </row>
    <row r="375">
      <c r="A375" s="24" t="s">
        <v>4002</v>
      </c>
      <c r="C375" s="26">
        <v>70000.0</v>
      </c>
      <c r="E375" s="25" t="s">
        <v>3952</v>
      </c>
      <c r="F375" s="25" t="s">
        <v>890</v>
      </c>
    </row>
    <row r="376">
      <c r="A376" s="24" t="s">
        <v>4002</v>
      </c>
      <c r="C376" s="26">
        <v>35000.0</v>
      </c>
      <c r="E376" s="25" t="s">
        <v>3948</v>
      </c>
      <c r="F376" s="25" t="s">
        <v>3554</v>
      </c>
    </row>
    <row r="377">
      <c r="A377" s="24" t="s">
        <v>4002</v>
      </c>
      <c r="C377" s="26">
        <v>35000.0</v>
      </c>
      <c r="E377" s="25" t="s">
        <v>4041</v>
      </c>
      <c r="F377" s="25" t="s">
        <v>99</v>
      </c>
    </row>
    <row r="378">
      <c r="A378" s="24" t="s">
        <v>4002</v>
      </c>
      <c r="C378" s="26">
        <v>35000.0</v>
      </c>
      <c r="E378" s="25" t="s">
        <v>3990</v>
      </c>
      <c r="F378" s="25" t="s">
        <v>277</v>
      </c>
    </row>
    <row r="379">
      <c r="A379" s="24" t="s">
        <v>4002</v>
      </c>
      <c r="C379" s="26">
        <v>35000.0</v>
      </c>
      <c r="E379" s="25" t="s">
        <v>3948</v>
      </c>
      <c r="F379" s="25" t="s">
        <v>178</v>
      </c>
    </row>
    <row r="380">
      <c r="A380" s="24" t="s">
        <v>4002</v>
      </c>
      <c r="C380" s="26">
        <v>35000.0</v>
      </c>
      <c r="E380" s="25" t="s">
        <v>3983</v>
      </c>
      <c r="F380" s="25" t="s">
        <v>584</v>
      </c>
    </row>
    <row r="381">
      <c r="A381" s="24" t="s">
        <v>4002</v>
      </c>
      <c r="C381" s="26">
        <v>35000.0</v>
      </c>
      <c r="E381" s="25" t="s">
        <v>3939</v>
      </c>
      <c r="F381" s="25" t="s">
        <v>481</v>
      </c>
    </row>
    <row r="382">
      <c r="A382" s="24" t="s">
        <v>4002</v>
      </c>
      <c r="C382" s="26">
        <v>35000.0</v>
      </c>
      <c r="E382" s="25" t="s">
        <v>4076</v>
      </c>
      <c r="F382" s="25" t="s">
        <v>225</v>
      </c>
    </row>
    <row r="383">
      <c r="A383" s="24" t="s">
        <v>4002</v>
      </c>
      <c r="C383" s="26">
        <v>70000.0</v>
      </c>
      <c r="E383" s="25" t="s">
        <v>4244</v>
      </c>
      <c r="F383" s="25" t="s">
        <v>824</v>
      </c>
    </row>
    <row r="384">
      <c r="A384" s="24" t="s">
        <v>4002</v>
      </c>
      <c r="C384" s="26">
        <v>35000.0</v>
      </c>
      <c r="E384" s="25" t="s">
        <v>3948</v>
      </c>
      <c r="F384" s="25" t="s">
        <v>447</v>
      </c>
    </row>
    <row r="385">
      <c r="A385" s="24" t="s">
        <v>4002</v>
      </c>
      <c r="C385" s="26">
        <v>35000.0</v>
      </c>
      <c r="E385" s="25" t="s">
        <v>3983</v>
      </c>
      <c r="F385" s="25" t="s">
        <v>70</v>
      </c>
    </row>
    <row r="386">
      <c r="A386" s="24" t="s">
        <v>4002</v>
      </c>
      <c r="C386" s="26">
        <v>35000.0</v>
      </c>
      <c r="E386" s="25" t="s">
        <v>3948</v>
      </c>
      <c r="F386" s="25" t="s">
        <v>388</v>
      </c>
    </row>
    <row r="387">
      <c r="A387" s="24" t="s">
        <v>4002</v>
      </c>
      <c r="C387" s="26">
        <v>35000.0</v>
      </c>
      <c r="E387" s="25" t="s">
        <v>4192</v>
      </c>
      <c r="F387" s="25" t="s">
        <v>295</v>
      </c>
    </row>
    <row r="388">
      <c r="A388" s="24" t="s">
        <v>4002</v>
      </c>
      <c r="C388" s="26">
        <v>35000.0</v>
      </c>
      <c r="E388" s="25" t="s">
        <v>3946</v>
      </c>
      <c r="F388" s="25" t="s">
        <v>3485</v>
      </c>
    </row>
    <row r="389">
      <c r="A389" s="24" t="s">
        <v>4002</v>
      </c>
      <c r="C389" s="26">
        <v>35000.0</v>
      </c>
      <c r="E389" s="25" t="s">
        <v>3983</v>
      </c>
      <c r="F389" s="25" t="s">
        <v>117</v>
      </c>
    </row>
    <row r="390">
      <c r="A390" s="24" t="s">
        <v>4002</v>
      </c>
      <c r="C390" s="26">
        <v>35000.0</v>
      </c>
      <c r="E390" s="25" t="s">
        <v>4344</v>
      </c>
      <c r="F390" s="25" t="s">
        <v>510</v>
      </c>
    </row>
    <row r="391">
      <c r="A391" s="24" t="s">
        <v>4002</v>
      </c>
      <c r="C391" s="26">
        <v>35000.0</v>
      </c>
      <c r="E391" s="25" t="s">
        <v>3948</v>
      </c>
      <c r="F391" s="25" t="s">
        <v>36</v>
      </c>
    </row>
    <row r="392">
      <c r="A392" s="24" t="s">
        <v>4002</v>
      </c>
      <c r="C392" s="26">
        <v>70000.0</v>
      </c>
      <c r="E392" s="25" t="s">
        <v>3952</v>
      </c>
      <c r="F392" s="25" t="s">
        <v>1780</v>
      </c>
    </row>
    <row r="393">
      <c r="A393" s="24" t="s">
        <v>4002</v>
      </c>
      <c r="C393" s="26">
        <v>35000.0</v>
      </c>
      <c r="E393" s="25" t="s">
        <v>3941</v>
      </c>
      <c r="F393" s="25" t="s">
        <v>3048</v>
      </c>
    </row>
    <row r="394">
      <c r="A394" s="24" t="s">
        <v>4002</v>
      </c>
      <c r="C394" s="26">
        <v>35000.0</v>
      </c>
      <c r="E394" s="25" t="s">
        <v>3946</v>
      </c>
      <c r="F394" s="25" t="s">
        <v>207</v>
      </c>
    </row>
    <row r="395">
      <c r="A395" s="24" t="s">
        <v>4002</v>
      </c>
      <c r="C395" s="26">
        <v>35000.0</v>
      </c>
      <c r="E395" s="25" t="s">
        <v>4041</v>
      </c>
      <c r="F395" s="25" t="s">
        <v>322</v>
      </c>
    </row>
    <row r="396">
      <c r="A396" s="24" t="s">
        <v>4002</v>
      </c>
      <c r="C396" s="26">
        <v>35000.0</v>
      </c>
      <c r="E396" s="25" t="s">
        <v>3948</v>
      </c>
      <c r="F396" s="25" t="s">
        <v>3064</v>
      </c>
    </row>
    <row r="397">
      <c r="A397" s="24" t="s">
        <v>4002</v>
      </c>
      <c r="C397" s="26">
        <v>70000.0</v>
      </c>
      <c r="E397" s="25" t="s">
        <v>4252</v>
      </c>
      <c r="F397" s="25" t="s">
        <v>1955</v>
      </c>
    </row>
    <row r="398">
      <c r="A398" s="24" t="s">
        <v>4002</v>
      </c>
      <c r="C398" s="26">
        <v>70000.0</v>
      </c>
      <c r="E398" s="25" t="s">
        <v>3983</v>
      </c>
      <c r="F398" s="25" t="s">
        <v>4595</v>
      </c>
    </row>
    <row r="399">
      <c r="A399" s="24" t="s">
        <v>4002</v>
      </c>
      <c r="C399" s="26">
        <v>35000.0</v>
      </c>
      <c r="E399" s="25" t="s">
        <v>3948</v>
      </c>
      <c r="F399" s="25" t="s">
        <v>193</v>
      </c>
    </row>
    <row r="400">
      <c r="A400" s="24" t="s">
        <v>4002</v>
      </c>
      <c r="C400" s="26">
        <v>35000.0</v>
      </c>
      <c r="E400" s="25" t="s">
        <v>4322</v>
      </c>
      <c r="F400" s="25" t="s">
        <v>484</v>
      </c>
    </row>
    <row r="401">
      <c r="A401" s="24" t="s">
        <v>4002</v>
      </c>
      <c r="C401" s="26">
        <v>70000.0</v>
      </c>
      <c r="E401" s="25" t="s">
        <v>3968</v>
      </c>
      <c r="F401" s="25" t="s">
        <v>4482</v>
      </c>
    </row>
    <row r="402">
      <c r="A402" s="24" t="s">
        <v>4002</v>
      </c>
      <c r="C402" s="26">
        <v>35000.0</v>
      </c>
      <c r="E402" s="25" t="s">
        <v>3946</v>
      </c>
      <c r="F402" s="25" t="s">
        <v>4183</v>
      </c>
    </row>
    <row r="403">
      <c r="A403" s="24" t="s">
        <v>4002</v>
      </c>
      <c r="C403" s="26">
        <v>35000.0</v>
      </c>
      <c r="E403" s="25" t="s">
        <v>4004</v>
      </c>
      <c r="F403" s="25" t="s">
        <v>4003</v>
      </c>
    </row>
    <row r="404">
      <c r="A404" s="24" t="s">
        <v>4002</v>
      </c>
      <c r="C404" s="26">
        <v>35000.0</v>
      </c>
      <c r="E404" s="25" t="s">
        <v>3946</v>
      </c>
      <c r="F404" s="25" t="s">
        <v>256</v>
      </c>
    </row>
    <row r="405">
      <c r="A405" s="24" t="s">
        <v>4002</v>
      </c>
      <c r="C405" s="26">
        <v>35000.0</v>
      </c>
      <c r="E405" s="25" t="s">
        <v>3948</v>
      </c>
      <c r="F405" s="25" t="s">
        <v>241</v>
      </c>
    </row>
    <row r="406">
      <c r="A406" s="24" t="s">
        <v>4002</v>
      </c>
      <c r="C406" s="26">
        <v>35000.0</v>
      </c>
      <c r="E406" s="25" t="s">
        <v>4141</v>
      </c>
      <c r="F406" s="25" t="s">
        <v>224</v>
      </c>
    </row>
    <row r="407">
      <c r="A407" s="24" t="s">
        <v>4002</v>
      </c>
      <c r="C407" s="26">
        <v>70000.0</v>
      </c>
      <c r="E407" s="25" t="s">
        <v>3990</v>
      </c>
      <c r="F407" s="25" t="s">
        <v>976</v>
      </c>
    </row>
    <row r="408">
      <c r="A408" s="24" t="s">
        <v>4002</v>
      </c>
      <c r="C408" s="26">
        <v>35000.0</v>
      </c>
      <c r="E408" s="25" t="s">
        <v>4543</v>
      </c>
      <c r="F408" s="25" t="s">
        <v>4542</v>
      </c>
    </row>
    <row r="409">
      <c r="A409" s="24" t="s">
        <v>4002</v>
      </c>
      <c r="C409" s="26">
        <v>35000.0</v>
      </c>
      <c r="E409" s="25" t="s">
        <v>3946</v>
      </c>
      <c r="F409" s="25" t="s">
        <v>74</v>
      </c>
    </row>
    <row r="410">
      <c r="A410" s="24" t="s">
        <v>4002</v>
      </c>
      <c r="C410" s="26">
        <v>35000.0</v>
      </c>
      <c r="E410" s="25" t="s">
        <v>3948</v>
      </c>
      <c r="F410" s="25" t="s">
        <v>550</v>
      </c>
    </row>
    <row r="411">
      <c r="A411" s="24" t="s">
        <v>4002</v>
      </c>
      <c r="C411" s="26">
        <v>70000.0</v>
      </c>
      <c r="E411" s="25" t="s">
        <v>3946</v>
      </c>
      <c r="F411" s="25" t="s">
        <v>2769</v>
      </c>
    </row>
    <row r="412">
      <c r="A412" s="24" t="s">
        <v>4002</v>
      </c>
      <c r="C412" s="26">
        <v>35000.0</v>
      </c>
      <c r="E412" s="25" t="s">
        <v>3983</v>
      </c>
      <c r="F412" s="25" t="s">
        <v>2782</v>
      </c>
    </row>
    <row r="413">
      <c r="A413" s="24" t="s">
        <v>4002</v>
      </c>
      <c r="C413" s="26">
        <v>35000.0</v>
      </c>
      <c r="E413" s="25" t="s">
        <v>4110</v>
      </c>
      <c r="F413" s="25" t="s">
        <v>182</v>
      </c>
    </row>
    <row r="414">
      <c r="A414" s="24" t="s">
        <v>4002</v>
      </c>
      <c r="C414" s="26">
        <v>70000.0</v>
      </c>
      <c r="E414" s="25" t="s">
        <v>4243</v>
      </c>
      <c r="F414" s="25" t="s">
        <v>823</v>
      </c>
    </row>
    <row r="415">
      <c r="A415" s="24" t="s">
        <v>4002</v>
      </c>
      <c r="C415" s="26">
        <v>70000.0</v>
      </c>
      <c r="E415" s="25" t="s">
        <v>3983</v>
      </c>
      <c r="F415" s="25" t="s">
        <v>885</v>
      </c>
    </row>
    <row r="416">
      <c r="A416" s="24" t="s">
        <v>4002</v>
      </c>
      <c r="C416" s="26">
        <v>70000.0</v>
      </c>
      <c r="E416" s="25" t="s">
        <v>3983</v>
      </c>
      <c r="F416" s="25" t="s">
        <v>602</v>
      </c>
    </row>
    <row r="417">
      <c r="A417" s="24" t="s">
        <v>4002</v>
      </c>
      <c r="C417" s="26">
        <v>70000.0</v>
      </c>
      <c r="E417" s="25" t="s">
        <v>3941</v>
      </c>
      <c r="F417" s="25" t="s">
        <v>1804</v>
      </c>
    </row>
    <row r="418">
      <c r="A418" s="24" t="s">
        <v>4002</v>
      </c>
      <c r="C418" s="26">
        <v>35000.0</v>
      </c>
      <c r="E418" s="25" t="s">
        <v>4340</v>
      </c>
      <c r="F418" s="25" t="s">
        <v>504</v>
      </c>
    </row>
    <row r="419">
      <c r="A419" s="24" t="s">
        <v>3985</v>
      </c>
      <c r="C419" s="26">
        <v>35000.0</v>
      </c>
      <c r="E419" s="25" t="s">
        <v>3939</v>
      </c>
      <c r="F419" s="25" t="s">
        <v>4487</v>
      </c>
    </row>
    <row r="420">
      <c r="A420" s="24" t="s">
        <v>3985</v>
      </c>
      <c r="C420" s="26">
        <v>35000.0</v>
      </c>
      <c r="E420" s="25" t="s">
        <v>3952</v>
      </c>
      <c r="F420" s="25" t="s">
        <v>433</v>
      </c>
    </row>
    <row r="421">
      <c r="A421" s="24" t="s">
        <v>3985</v>
      </c>
      <c r="C421" s="26">
        <v>70000.0</v>
      </c>
      <c r="E421" s="25" t="s">
        <v>3941</v>
      </c>
      <c r="F421" s="25" t="s">
        <v>804</v>
      </c>
    </row>
    <row r="422">
      <c r="A422" s="24" t="s">
        <v>3985</v>
      </c>
      <c r="C422" s="26">
        <v>35000.0</v>
      </c>
      <c r="E422" s="25" t="s">
        <v>3987</v>
      </c>
      <c r="F422" s="25" t="s">
        <v>25</v>
      </c>
    </row>
    <row r="423">
      <c r="A423" s="24" t="s">
        <v>3985</v>
      </c>
      <c r="C423" s="26">
        <v>35000.0</v>
      </c>
      <c r="E423" s="25" t="s">
        <v>4050</v>
      </c>
      <c r="F423" s="25" t="s">
        <v>3116</v>
      </c>
    </row>
    <row r="424">
      <c r="A424" s="24" t="s">
        <v>3985</v>
      </c>
      <c r="C424" s="26">
        <v>70000.0</v>
      </c>
      <c r="E424" s="25" t="s">
        <v>4320</v>
      </c>
      <c r="F424" s="25" t="s">
        <v>916</v>
      </c>
    </row>
    <row r="425">
      <c r="A425" s="24" t="s">
        <v>3985</v>
      </c>
      <c r="C425" s="26">
        <v>70000.0</v>
      </c>
      <c r="E425" s="25" t="s">
        <v>3990</v>
      </c>
      <c r="F425" s="25" t="s">
        <v>632</v>
      </c>
    </row>
    <row r="426">
      <c r="A426" s="24" t="s">
        <v>3985</v>
      </c>
      <c r="C426" s="26">
        <v>35000.0</v>
      </c>
      <c r="E426" s="25" t="s">
        <v>3944</v>
      </c>
      <c r="F426" s="25" t="s">
        <v>2822</v>
      </c>
    </row>
    <row r="427">
      <c r="A427" s="24" t="s">
        <v>3985</v>
      </c>
      <c r="C427" s="26">
        <v>70000.0</v>
      </c>
      <c r="E427" s="25" t="s">
        <v>4184</v>
      </c>
      <c r="F427" s="25" t="s">
        <v>767</v>
      </c>
    </row>
    <row r="428">
      <c r="A428" s="24" t="s">
        <v>3985</v>
      </c>
      <c r="C428" s="26">
        <v>70000.0</v>
      </c>
      <c r="E428" s="25" t="s">
        <v>3983</v>
      </c>
      <c r="F428" s="25" t="s">
        <v>1152</v>
      </c>
    </row>
    <row r="429">
      <c r="A429" s="24" t="s">
        <v>3985</v>
      </c>
      <c r="C429" s="26">
        <v>35000.0</v>
      </c>
      <c r="E429" s="25" t="s">
        <v>3990</v>
      </c>
      <c r="F429" s="25" t="s">
        <v>2813</v>
      </c>
    </row>
    <row r="430">
      <c r="A430" s="24" t="s">
        <v>3985</v>
      </c>
      <c r="C430" s="26">
        <v>35000.0</v>
      </c>
      <c r="E430" s="25" t="s">
        <v>3990</v>
      </c>
      <c r="F430" s="25" t="s">
        <v>488</v>
      </c>
    </row>
    <row r="431">
      <c r="A431" s="24" t="s">
        <v>3985</v>
      </c>
      <c r="C431" s="26">
        <v>70000.0</v>
      </c>
      <c r="E431" s="25" t="s">
        <v>4041</v>
      </c>
      <c r="F431" s="25" t="s">
        <v>554</v>
      </c>
    </row>
    <row r="432">
      <c r="A432" s="24" t="s">
        <v>3985</v>
      </c>
      <c r="C432" s="26">
        <v>35000.0</v>
      </c>
      <c r="E432" s="25" t="s">
        <v>3961</v>
      </c>
      <c r="F432" s="25" t="s">
        <v>544</v>
      </c>
    </row>
    <row r="433">
      <c r="A433" s="24" t="s">
        <v>3985</v>
      </c>
      <c r="C433" s="26">
        <v>35000.0</v>
      </c>
      <c r="E433" s="25" t="s">
        <v>4218</v>
      </c>
      <c r="F433" s="25" t="s">
        <v>379</v>
      </c>
    </row>
    <row r="434">
      <c r="A434" s="24" t="s">
        <v>3985</v>
      </c>
      <c r="C434" s="26">
        <v>35000.0</v>
      </c>
      <c r="E434" s="25" t="s">
        <v>4347</v>
      </c>
      <c r="F434" s="25" t="s">
        <v>515</v>
      </c>
    </row>
    <row r="435">
      <c r="A435" s="24" t="s">
        <v>3985</v>
      </c>
      <c r="C435" s="26">
        <v>35000.0</v>
      </c>
      <c r="E435" s="25" t="s">
        <v>3946</v>
      </c>
      <c r="F435" s="25" t="s">
        <v>4128</v>
      </c>
    </row>
    <row r="436">
      <c r="A436" s="24" t="s">
        <v>3985</v>
      </c>
      <c r="C436" s="26">
        <v>35000.0</v>
      </c>
      <c r="E436" s="25" t="s">
        <v>3946</v>
      </c>
      <c r="F436" s="25" t="s">
        <v>4233</v>
      </c>
    </row>
    <row r="437">
      <c r="A437" s="24" t="s">
        <v>3985</v>
      </c>
      <c r="C437" s="26">
        <v>70000.0</v>
      </c>
      <c r="E437" s="25" t="s">
        <v>4352</v>
      </c>
      <c r="F437" s="25" t="s">
        <v>958</v>
      </c>
    </row>
    <row r="438">
      <c r="A438" s="24" t="s">
        <v>3985</v>
      </c>
      <c r="C438" s="26">
        <v>70000.0</v>
      </c>
      <c r="E438" s="25" t="s">
        <v>3948</v>
      </c>
      <c r="F438" s="25" t="s">
        <v>2754</v>
      </c>
    </row>
    <row r="439">
      <c r="A439" s="24" t="s">
        <v>3985</v>
      </c>
      <c r="C439" s="26">
        <v>70000.0</v>
      </c>
      <c r="E439" s="25" t="s">
        <v>3990</v>
      </c>
      <c r="F439" s="25" t="s">
        <v>852</v>
      </c>
    </row>
    <row r="440">
      <c r="A440" s="24" t="s">
        <v>3985</v>
      </c>
      <c r="C440" s="26">
        <v>70000.0</v>
      </c>
      <c r="E440" s="25" t="s">
        <v>4458</v>
      </c>
      <c r="F440" s="25" t="s">
        <v>1187</v>
      </c>
    </row>
    <row r="441">
      <c r="A441" s="24" t="s">
        <v>3985</v>
      </c>
      <c r="C441" s="26">
        <v>70000.0</v>
      </c>
      <c r="E441" s="25" t="s">
        <v>3939</v>
      </c>
      <c r="F441" s="25" t="s">
        <v>969</v>
      </c>
    </row>
    <row r="442">
      <c r="A442" s="24" t="s">
        <v>3985</v>
      </c>
      <c r="C442" s="26">
        <v>60000.0</v>
      </c>
      <c r="E442" s="25" t="s">
        <v>3941</v>
      </c>
      <c r="F442" s="25" t="s">
        <v>736</v>
      </c>
    </row>
    <row r="443">
      <c r="A443" s="24" t="s">
        <v>3985</v>
      </c>
      <c r="C443" s="26">
        <v>35000.0</v>
      </c>
      <c r="E443" s="25" t="s">
        <v>3941</v>
      </c>
      <c r="F443" s="25" t="s">
        <v>259</v>
      </c>
    </row>
    <row r="444">
      <c r="A444" s="24" t="s">
        <v>3985</v>
      </c>
      <c r="C444" s="26">
        <v>70000.0</v>
      </c>
      <c r="E444" s="25" t="s">
        <v>3983</v>
      </c>
      <c r="F444" s="25" t="s">
        <v>636</v>
      </c>
    </row>
    <row r="445">
      <c r="A445" s="24" t="s">
        <v>3985</v>
      </c>
      <c r="C445" s="26">
        <v>70000.0</v>
      </c>
      <c r="E445" s="25" t="s">
        <v>3941</v>
      </c>
      <c r="F445" s="25" t="s">
        <v>975</v>
      </c>
    </row>
    <row r="446">
      <c r="A446" s="24" t="s">
        <v>3985</v>
      </c>
      <c r="C446" s="26">
        <v>70000.0</v>
      </c>
      <c r="E446" s="25" t="s">
        <v>3946</v>
      </c>
      <c r="F446" s="25" t="s">
        <v>903</v>
      </c>
    </row>
    <row r="447">
      <c r="A447" s="24" t="s">
        <v>3985</v>
      </c>
      <c r="C447" s="26">
        <v>35000.0</v>
      </c>
      <c r="E447" s="25" t="s">
        <v>4041</v>
      </c>
      <c r="F447" s="25" t="s">
        <v>4301</v>
      </c>
    </row>
    <row r="448">
      <c r="A448" s="24" t="s">
        <v>3985</v>
      </c>
      <c r="C448" s="26">
        <v>35000.0</v>
      </c>
      <c r="E448" s="25" t="s">
        <v>4073</v>
      </c>
      <c r="F448" s="25" t="s">
        <v>140</v>
      </c>
    </row>
    <row r="449">
      <c r="A449" s="24" t="s">
        <v>3985</v>
      </c>
      <c r="C449" s="26">
        <v>35000.0</v>
      </c>
      <c r="E449" s="25" t="s">
        <v>3948</v>
      </c>
      <c r="F449" s="25" t="s">
        <v>531</v>
      </c>
    </row>
    <row r="450">
      <c r="A450" s="24" t="s">
        <v>3985</v>
      </c>
      <c r="C450" s="26">
        <v>70000.0</v>
      </c>
      <c r="E450" s="25" t="s">
        <v>3941</v>
      </c>
      <c r="F450" s="25" t="s">
        <v>148</v>
      </c>
    </row>
    <row r="451">
      <c r="A451" s="24" t="s">
        <v>3985</v>
      </c>
      <c r="C451" s="26">
        <v>70000.0</v>
      </c>
      <c r="E451" s="25" t="s">
        <v>3983</v>
      </c>
      <c r="F451" s="25" t="s">
        <v>876</v>
      </c>
    </row>
    <row r="452">
      <c r="A452" s="24" t="s">
        <v>3985</v>
      </c>
      <c r="C452" s="26">
        <v>35000.0</v>
      </c>
      <c r="E452" s="25" t="s">
        <v>3983</v>
      </c>
      <c r="F452" s="25" t="s">
        <v>2905</v>
      </c>
    </row>
    <row r="453">
      <c r="A453" s="24" t="s">
        <v>3985</v>
      </c>
      <c r="C453" s="26">
        <v>35000.0</v>
      </c>
      <c r="E453" s="25" t="s">
        <v>4382</v>
      </c>
      <c r="F453" s="25" t="s">
        <v>29</v>
      </c>
    </row>
    <row r="454">
      <c r="A454" s="24" t="s">
        <v>3985</v>
      </c>
      <c r="C454" s="26">
        <v>70000.0</v>
      </c>
      <c r="E454" s="25" t="s">
        <v>3946</v>
      </c>
      <c r="F454" s="25" t="s">
        <v>1008</v>
      </c>
    </row>
    <row r="455">
      <c r="A455" s="24" t="s">
        <v>3985</v>
      </c>
      <c r="C455" s="26">
        <v>35000.0</v>
      </c>
      <c r="E455" s="25" t="s">
        <v>3948</v>
      </c>
      <c r="F455" s="25" t="s">
        <v>2990</v>
      </c>
    </row>
    <row r="456">
      <c r="A456" s="24" t="s">
        <v>3985</v>
      </c>
      <c r="C456" s="26">
        <v>70000.0</v>
      </c>
      <c r="E456" s="25" t="s">
        <v>3983</v>
      </c>
      <c r="F456" s="25" t="s">
        <v>1115</v>
      </c>
    </row>
    <row r="457">
      <c r="A457" s="24" t="s">
        <v>3985</v>
      </c>
      <c r="C457" s="26">
        <v>70000.0</v>
      </c>
      <c r="E457" s="25" t="s">
        <v>3948</v>
      </c>
      <c r="F457" s="25" t="s">
        <v>634</v>
      </c>
    </row>
    <row r="458">
      <c r="A458" s="24" t="s">
        <v>3985</v>
      </c>
      <c r="C458" s="26">
        <v>70000.0</v>
      </c>
      <c r="E458" s="25" t="s">
        <v>3948</v>
      </c>
      <c r="F458" s="25" t="s">
        <v>590</v>
      </c>
    </row>
    <row r="459">
      <c r="A459" s="24" t="s">
        <v>3985</v>
      </c>
      <c r="C459" s="26">
        <v>70000.0</v>
      </c>
      <c r="E459" s="25" t="s">
        <v>3948</v>
      </c>
      <c r="F459" s="25" t="s">
        <v>746</v>
      </c>
    </row>
    <row r="460">
      <c r="A460" s="24" t="s">
        <v>3985</v>
      </c>
      <c r="C460" s="26">
        <v>35000.0</v>
      </c>
      <c r="E460" s="25" t="s">
        <v>3944</v>
      </c>
      <c r="F460" s="25" t="s">
        <v>3151</v>
      </c>
    </row>
    <row r="461">
      <c r="A461" s="24" t="s">
        <v>3985</v>
      </c>
      <c r="C461" s="26">
        <v>35000.0</v>
      </c>
      <c r="E461" s="25" t="s">
        <v>3983</v>
      </c>
      <c r="F461" s="25" t="s">
        <v>95</v>
      </c>
    </row>
    <row r="462">
      <c r="A462" s="24" t="s">
        <v>3985</v>
      </c>
      <c r="C462" s="26">
        <v>70000.0</v>
      </c>
      <c r="E462" s="25" t="s">
        <v>3990</v>
      </c>
      <c r="F462" s="25" t="s">
        <v>915</v>
      </c>
    </row>
    <row r="463">
      <c r="A463" s="24" t="s">
        <v>3985</v>
      </c>
      <c r="C463" s="26">
        <v>35000.0</v>
      </c>
      <c r="E463" s="25" t="s">
        <v>4270</v>
      </c>
      <c r="F463" s="25" t="s">
        <v>2897</v>
      </c>
    </row>
    <row r="464">
      <c r="A464" s="24" t="s">
        <v>3985</v>
      </c>
      <c r="C464" s="26">
        <v>35000.0</v>
      </c>
      <c r="E464" s="25" t="s">
        <v>4224</v>
      </c>
      <c r="F464" s="25" t="s">
        <v>339</v>
      </c>
    </row>
    <row r="465">
      <c r="A465" s="24" t="s">
        <v>3985</v>
      </c>
      <c r="C465" s="26">
        <v>70000.0</v>
      </c>
      <c r="E465" s="25" t="s">
        <v>3946</v>
      </c>
      <c r="F465" s="25" t="s">
        <v>4461</v>
      </c>
    </row>
    <row r="466">
      <c r="A466" s="24" t="s">
        <v>3985</v>
      </c>
      <c r="C466" s="26">
        <v>35000.0</v>
      </c>
      <c r="E466" s="25" t="s">
        <v>3990</v>
      </c>
      <c r="F466" s="25" t="s">
        <v>121</v>
      </c>
    </row>
    <row r="467">
      <c r="A467" s="24" t="s">
        <v>3985</v>
      </c>
      <c r="C467" s="26">
        <v>35000.0</v>
      </c>
      <c r="E467" s="25" t="s">
        <v>4109</v>
      </c>
      <c r="F467" s="25" t="s">
        <v>2289</v>
      </c>
    </row>
    <row r="468">
      <c r="A468" s="24" t="s">
        <v>3985</v>
      </c>
      <c r="C468" s="26">
        <v>70000.0</v>
      </c>
      <c r="E468" s="25" t="s">
        <v>4087</v>
      </c>
      <c r="F468" s="25" t="s">
        <v>658</v>
      </c>
    </row>
    <row r="469">
      <c r="A469" s="24" t="s">
        <v>3985</v>
      </c>
      <c r="C469" s="26">
        <v>70000.0</v>
      </c>
      <c r="E469" s="25" t="s">
        <v>3941</v>
      </c>
      <c r="F469" s="25" t="s">
        <v>1253</v>
      </c>
    </row>
    <row r="470">
      <c r="A470" s="24" t="s">
        <v>3985</v>
      </c>
      <c r="C470" s="26">
        <v>35000.0</v>
      </c>
      <c r="E470" s="25" t="s">
        <v>3939</v>
      </c>
      <c r="F470" s="25" t="s">
        <v>4414</v>
      </c>
    </row>
    <row r="471">
      <c r="A471" s="24" t="s">
        <v>3985</v>
      </c>
      <c r="C471" s="26">
        <v>35000.0</v>
      </c>
      <c r="E471" s="25" t="s">
        <v>3968</v>
      </c>
      <c r="F471" s="25" t="s">
        <v>3241</v>
      </c>
    </row>
    <row r="472">
      <c r="A472" s="24" t="s">
        <v>3985</v>
      </c>
      <c r="C472" s="26">
        <v>35000.0</v>
      </c>
      <c r="E472" s="25" t="s">
        <v>3948</v>
      </c>
      <c r="F472" s="25" t="s">
        <v>39</v>
      </c>
    </row>
    <row r="473">
      <c r="A473" s="24" t="s">
        <v>3931</v>
      </c>
      <c r="C473" s="26">
        <v>35000.0</v>
      </c>
      <c r="E473" s="25" t="s">
        <v>3946</v>
      </c>
      <c r="F473" s="25" t="s">
        <v>1521</v>
      </c>
    </row>
    <row r="474">
      <c r="A474" s="24" t="s">
        <v>3931</v>
      </c>
      <c r="C474" s="26">
        <v>70000.0</v>
      </c>
      <c r="E474" s="25" t="s">
        <v>3946</v>
      </c>
      <c r="F474" s="25" t="s">
        <v>2327</v>
      </c>
    </row>
    <row r="475">
      <c r="A475" s="24" t="s">
        <v>3931</v>
      </c>
      <c r="C475" s="26">
        <v>70000.0</v>
      </c>
      <c r="E475" s="25" t="s">
        <v>3946</v>
      </c>
      <c r="F475" s="25" t="s">
        <v>2871</v>
      </c>
    </row>
    <row r="476">
      <c r="A476" s="24" t="s">
        <v>3931</v>
      </c>
      <c r="C476" s="26">
        <v>70000.0</v>
      </c>
      <c r="E476" s="25" t="s">
        <v>3983</v>
      </c>
      <c r="F476" s="25" t="s">
        <v>940</v>
      </c>
    </row>
    <row r="477">
      <c r="A477" s="24" t="s">
        <v>3931</v>
      </c>
      <c r="C477" s="26">
        <v>70000.0</v>
      </c>
      <c r="E477" s="25" t="s">
        <v>3944</v>
      </c>
      <c r="F477" s="25" t="s">
        <v>726</v>
      </c>
    </row>
    <row r="478">
      <c r="A478" s="24" t="s">
        <v>3931</v>
      </c>
      <c r="C478" s="26">
        <v>35000.0</v>
      </c>
      <c r="E478" s="25" t="s">
        <v>3946</v>
      </c>
      <c r="F478" s="25" t="s">
        <v>280</v>
      </c>
    </row>
    <row r="479">
      <c r="A479" s="24" t="s">
        <v>3931</v>
      </c>
      <c r="C479" s="26">
        <v>70000.0</v>
      </c>
      <c r="E479" s="25" t="s">
        <v>4335</v>
      </c>
      <c r="F479" s="25" t="s">
        <v>2395</v>
      </c>
    </row>
    <row r="480">
      <c r="A480" s="24" t="s">
        <v>3931</v>
      </c>
      <c r="C480" s="26">
        <v>35000.0</v>
      </c>
      <c r="E480" s="25" t="s">
        <v>3952</v>
      </c>
      <c r="F480" s="25" t="s">
        <v>1406</v>
      </c>
    </row>
    <row r="481">
      <c r="A481" s="24" t="s">
        <v>3931</v>
      </c>
      <c r="C481" s="26">
        <v>35000.0</v>
      </c>
      <c r="E481" s="25" t="s">
        <v>3941</v>
      </c>
      <c r="F481" s="25" t="s">
        <v>366</v>
      </c>
    </row>
    <row r="482">
      <c r="A482" s="24" t="s">
        <v>3931</v>
      </c>
      <c r="C482" s="26">
        <v>70000.0</v>
      </c>
      <c r="E482" s="25" t="s">
        <v>3948</v>
      </c>
      <c r="F482" s="25" t="s">
        <v>2682</v>
      </c>
    </row>
    <row r="483">
      <c r="A483" s="24" t="s">
        <v>3931</v>
      </c>
      <c r="C483" s="26">
        <v>35000.0</v>
      </c>
      <c r="E483" s="25" t="s">
        <v>3941</v>
      </c>
      <c r="F483" s="25" t="s">
        <v>2622</v>
      </c>
    </row>
    <row r="484">
      <c r="A484" s="24" t="s">
        <v>3931</v>
      </c>
      <c r="C484" s="26">
        <v>70000.0</v>
      </c>
      <c r="E484" s="25" t="s">
        <v>3941</v>
      </c>
      <c r="F484" s="25" t="s">
        <v>802</v>
      </c>
    </row>
    <row r="485">
      <c r="A485" s="24" t="s">
        <v>3931</v>
      </c>
      <c r="C485" s="26">
        <v>35000.0</v>
      </c>
      <c r="E485" s="25" t="s">
        <v>3990</v>
      </c>
      <c r="F485" s="25" t="s">
        <v>170</v>
      </c>
    </row>
    <row r="486">
      <c r="A486" s="24" t="s">
        <v>3931</v>
      </c>
      <c r="C486" s="26">
        <v>70000.0</v>
      </c>
      <c r="E486" s="25" t="s">
        <v>4006</v>
      </c>
      <c r="F486" s="25" t="s">
        <v>4010</v>
      </c>
    </row>
    <row r="487">
      <c r="A487" s="24" t="s">
        <v>3931</v>
      </c>
      <c r="C487" s="26">
        <v>70000.0</v>
      </c>
      <c r="E487" s="25" t="s">
        <v>3948</v>
      </c>
      <c r="F487" s="25" t="s">
        <v>2467</v>
      </c>
    </row>
    <row r="488">
      <c r="A488" s="24" t="s">
        <v>3931</v>
      </c>
      <c r="C488" s="26">
        <v>70000.0</v>
      </c>
      <c r="E488" s="25" t="s">
        <v>3948</v>
      </c>
      <c r="F488" s="25" t="s">
        <v>477</v>
      </c>
    </row>
    <row r="489">
      <c r="A489" s="24" t="s">
        <v>3931</v>
      </c>
      <c r="C489" s="26">
        <v>70000.0</v>
      </c>
      <c r="E489" s="25" t="s">
        <v>3990</v>
      </c>
      <c r="F489" s="25" t="s">
        <v>4525</v>
      </c>
    </row>
    <row r="490">
      <c r="A490" s="24" t="s">
        <v>3931</v>
      </c>
      <c r="C490" s="26">
        <v>35000.0</v>
      </c>
      <c r="E490" s="25" t="s">
        <v>3948</v>
      </c>
      <c r="F490" s="25" t="s">
        <v>2828</v>
      </c>
    </row>
    <row r="491">
      <c r="A491" s="24" t="s">
        <v>3931</v>
      </c>
      <c r="C491" s="26">
        <v>70000.0</v>
      </c>
      <c r="E491" s="25" t="s">
        <v>3933</v>
      </c>
      <c r="F491" s="25" t="s">
        <v>556</v>
      </c>
    </row>
    <row r="492">
      <c r="A492" s="24" t="s">
        <v>3931</v>
      </c>
      <c r="C492" s="26">
        <v>70000.0</v>
      </c>
      <c r="E492" s="25" t="s">
        <v>4095</v>
      </c>
      <c r="F492" s="25" t="s">
        <v>666</v>
      </c>
    </row>
    <row r="493">
      <c r="A493" s="24" t="s">
        <v>3931</v>
      </c>
      <c r="C493" s="26">
        <v>70000.0</v>
      </c>
      <c r="E493" s="25" t="s">
        <v>3948</v>
      </c>
      <c r="F493" s="25" t="s">
        <v>782</v>
      </c>
    </row>
    <row r="494">
      <c r="A494" s="24" t="s">
        <v>3931</v>
      </c>
      <c r="C494" s="26">
        <v>35000.0</v>
      </c>
      <c r="E494" s="25" t="s">
        <v>3983</v>
      </c>
      <c r="F494" s="25" t="s">
        <v>3614</v>
      </c>
    </row>
    <row r="495">
      <c r="A495" s="24" t="s">
        <v>3931</v>
      </c>
      <c r="C495" s="26">
        <v>70000.0</v>
      </c>
      <c r="E495" s="25" t="s">
        <v>3939</v>
      </c>
      <c r="F495" s="25" t="s">
        <v>162</v>
      </c>
    </row>
    <row r="496">
      <c r="A496" s="24" t="s">
        <v>3931</v>
      </c>
      <c r="C496" s="26">
        <v>70000.0</v>
      </c>
      <c r="E496" s="25" t="s">
        <v>3992</v>
      </c>
      <c r="F496" s="25" t="s">
        <v>665</v>
      </c>
    </row>
    <row r="497">
      <c r="A497" s="24" t="s">
        <v>3931</v>
      </c>
      <c r="C497" s="26">
        <v>35000.0</v>
      </c>
      <c r="E497" s="25" t="s">
        <v>3941</v>
      </c>
      <c r="F497" s="25" t="s">
        <v>52</v>
      </c>
    </row>
    <row r="498">
      <c r="A498" s="24" t="s">
        <v>3931</v>
      </c>
      <c r="C498" s="26">
        <v>35000.0</v>
      </c>
      <c r="E498" s="25" t="s">
        <v>3948</v>
      </c>
      <c r="F498" s="25" t="s">
        <v>367</v>
      </c>
    </row>
    <row r="499">
      <c r="A499" s="24" t="s">
        <v>3931</v>
      </c>
      <c r="C499" s="26">
        <v>70000.0</v>
      </c>
      <c r="E499" s="25" t="s">
        <v>3983</v>
      </c>
      <c r="F499" s="25" t="s">
        <v>4267</v>
      </c>
    </row>
    <row r="500">
      <c r="A500" s="24" t="s">
        <v>3931</v>
      </c>
      <c r="C500" s="26">
        <v>35000.0</v>
      </c>
      <c r="E500" s="25" t="s">
        <v>3939</v>
      </c>
      <c r="F500" s="25" t="s">
        <v>382</v>
      </c>
    </row>
    <row r="501">
      <c r="A501" s="24" t="s">
        <v>3931</v>
      </c>
      <c r="C501" s="26">
        <v>35000.0</v>
      </c>
      <c r="E501" s="25" t="s">
        <v>3983</v>
      </c>
      <c r="F501" s="25" t="s">
        <v>285</v>
      </c>
    </row>
    <row r="502">
      <c r="A502" s="24" t="s">
        <v>3931</v>
      </c>
      <c r="C502" s="26">
        <v>35000.0</v>
      </c>
      <c r="E502" s="25" t="s">
        <v>3948</v>
      </c>
      <c r="F502" s="25" t="s">
        <v>274</v>
      </c>
    </row>
    <row r="503">
      <c r="A503" s="24" t="s">
        <v>3931</v>
      </c>
      <c r="C503" s="26">
        <v>70000.0</v>
      </c>
      <c r="E503" s="25" t="s">
        <v>3948</v>
      </c>
      <c r="F503" s="25" t="s">
        <v>596</v>
      </c>
    </row>
    <row r="504">
      <c r="A504" s="24" t="s">
        <v>3931</v>
      </c>
      <c r="C504" s="26">
        <v>70000.0</v>
      </c>
      <c r="E504" s="25" t="s">
        <v>3939</v>
      </c>
      <c r="F504" s="25" t="s">
        <v>1175</v>
      </c>
    </row>
    <row r="505">
      <c r="A505" s="24" t="s">
        <v>3931</v>
      </c>
      <c r="C505" s="26">
        <v>35000.0</v>
      </c>
      <c r="E505" s="25" t="s">
        <v>3941</v>
      </c>
      <c r="F505" s="25" t="s">
        <v>4297</v>
      </c>
    </row>
    <row r="506">
      <c r="A506" s="24" t="s">
        <v>3931</v>
      </c>
      <c r="C506" s="26">
        <v>70000.0</v>
      </c>
      <c r="E506" s="25" t="s">
        <v>3983</v>
      </c>
      <c r="F506" s="25" t="s">
        <v>1946</v>
      </c>
    </row>
    <row r="507">
      <c r="A507" s="24" t="s">
        <v>3931</v>
      </c>
      <c r="C507" s="26">
        <v>35000.0</v>
      </c>
      <c r="E507" s="25" t="s">
        <v>3983</v>
      </c>
      <c r="F507" s="25" t="s">
        <v>153</v>
      </c>
    </row>
    <row r="508">
      <c r="A508" s="24" t="s">
        <v>3931</v>
      </c>
      <c r="C508" s="26">
        <v>70000.0</v>
      </c>
      <c r="E508" s="25" t="s">
        <v>4006</v>
      </c>
      <c r="F508" s="25" t="s">
        <v>583</v>
      </c>
    </row>
    <row r="509">
      <c r="A509" s="24" t="s">
        <v>3931</v>
      </c>
      <c r="C509" s="26">
        <v>60000.0</v>
      </c>
      <c r="E509" s="25" t="s">
        <v>3983</v>
      </c>
      <c r="F509" s="25" t="s">
        <v>750</v>
      </c>
    </row>
    <row r="510">
      <c r="A510" s="24" t="s">
        <v>3931</v>
      </c>
      <c r="C510" s="26">
        <v>60000.0</v>
      </c>
      <c r="E510" s="25" t="s">
        <v>4561</v>
      </c>
      <c r="F510" s="25" t="s">
        <v>1733</v>
      </c>
    </row>
    <row r="511">
      <c r="A511" s="24" t="s">
        <v>3931</v>
      </c>
      <c r="C511" s="26">
        <v>35000.0</v>
      </c>
      <c r="E511" s="25" t="s">
        <v>3948</v>
      </c>
      <c r="F511" s="25" t="s">
        <v>2778</v>
      </c>
    </row>
    <row r="512">
      <c r="A512" s="24" t="s">
        <v>3931</v>
      </c>
      <c r="C512" s="26">
        <v>70000.0</v>
      </c>
      <c r="E512" s="25" t="s">
        <v>3948</v>
      </c>
      <c r="F512" s="25" t="s">
        <v>946</v>
      </c>
    </row>
    <row r="513">
      <c r="A513" s="24" t="s">
        <v>3931</v>
      </c>
      <c r="C513" s="26">
        <v>35000.0</v>
      </c>
      <c r="E513" s="25" t="s">
        <v>4205</v>
      </c>
      <c r="F513" s="25" t="s">
        <v>3429</v>
      </c>
    </row>
    <row r="514">
      <c r="A514" s="24" t="s">
        <v>3931</v>
      </c>
      <c r="C514" s="26">
        <v>70000.0</v>
      </c>
      <c r="E514" s="25" t="s">
        <v>3948</v>
      </c>
      <c r="F514" s="25" t="s">
        <v>611</v>
      </c>
    </row>
    <row r="515">
      <c r="A515" s="24" t="s">
        <v>3931</v>
      </c>
      <c r="C515" s="26">
        <v>35000.0</v>
      </c>
      <c r="E515" s="25" t="s">
        <v>3946</v>
      </c>
      <c r="F515" s="25">
        <v>1115.0</v>
      </c>
    </row>
    <row r="516">
      <c r="A516" s="24" t="s">
        <v>3931</v>
      </c>
      <c r="C516" s="26">
        <v>70000.0</v>
      </c>
      <c r="E516" s="25" t="s">
        <v>3946</v>
      </c>
      <c r="F516" s="25" t="s">
        <v>881</v>
      </c>
    </row>
    <row r="517">
      <c r="A517" s="24" t="s">
        <v>3931</v>
      </c>
      <c r="C517" s="26">
        <v>35000.0</v>
      </c>
      <c r="E517" s="25" t="s">
        <v>3946</v>
      </c>
      <c r="F517" s="25" t="s">
        <v>4037</v>
      </c>
    </row>
    <row r="518">
      <c r="A518" s="24" t="s">
        <v>3931</v>
      </c>
      <c r="C518" s="26">
        <v>35000.0</v>
      </c>
      <c r="E518" s="25" t="s">
        <v>3946</v>
      </c>
      <c r="F518" s="25" t="s">
        <v>171</v>
      </c>
    </row>
    <row r="519">
      <c r="A519" s="24" t="s">
        <v>3931</v>
      </c>
      <c r="C519" s="26">
        <v>35000.0</v>
      </c>
      <c r="E519" s="25" t="s">
        <v>3946</v>
      </c>
      <c r="F519" s="25" t="s">
        <v>2039</v>
      </c>
    </row>
    <row r="520">
      <c r="A520" s="24" t="s">
        <v>3931</v>
      </c>
      <c r="C520" s="26">
        <v>35000.0</v>
      </c>
      <c r="E520" s="25" t="s">
        <v>3995</v>
      </c>
      <c r="F520" s="25" t="s">
        <v>34</v>
      </c>
    </row>
    <row r="521">
      <c r="A521" s="24" t="s">
        <v>3931</v>
      </c>
      <c r="C521" s="26">
        <v>35000.0</v>
      </c>
      <c r="E521" s="25" t="s">
        <v>3990</v>
      </c>
      <c r="F521" s="25" t="s">
        <v>130</v>
      </c>
    </row>
    <row r="522">
      <c r="A522" s="24" t="s">
        <v>3931</v>
      </c>
      <c r="C522" s="26">
        <v>35000.0</v>
      </c>
      <c r="E522" s="25" t="s">
        <v>3946</v>
      </c>
      <c r="F522" s="25" t="s">
        <v>3677</v>
      </c>
    </row>
    <row r="523">
      <c r="A523" s="24" t="s">
        <v>3931</v>
      </c>
      <c r="C523" s="26">
        <v>70000.0</v>
      </c>
      <c r="E523" s="25" t="s">
        <v>3948</v>
      </c>
      <c r="F523" s="25" t="s">
        <v>744</v>
      </c>
    </row>
    <row r="524">
      <c r="A524" s="24" t="s">
        <v>3931</v>
      </c>
      <c r="C524" s="26">
        <v>35000.0</v>
      </c>
      <c r="E524" s="25" t="s">
        <v>3946</v>
      </c>
      <c r="F524" s="25" t="s">
        <v>97</v>
      </c>
    </row>
    <row r="525">
      <c r="A525" s="24" t="s">
        <v>3931</v>
      </c>
      <c r="C525" s="26">
        <v>35000.0</v>
      </c>
      <c r="E525" s="25" t="s">
        <v>3946</v>
      </c>
      <c r="F525" s="25" t="s">
        <v>4407</v>
      </c>
    </row>
    <row r="526">
      <c r="A526" s="24" t="s">
        <v>3931</v>
      </c>
      <c r="C526" s="26">
        <v>70000.0</v>
      </c>
      <c r="E526" s="25" t="s">
        <v>4041</v>
      </c>
      <c r="F526" s="25" t="s">
        <v>2540</v>
      </c>
    </row>
    <row r="527">
      <c r="A527" s="24" t="s">
        <v>3931</v>
      </c>
      <c r="C527" s="26">
        <v>70000.0</v>
      </c>
      <c r="E527" s="25" t="s">
        <v>3941</v>
      </c>
      <c r="F527" s="25" t="s">
        <v>965</v>
      </c>
    </row>
    <row r="528">
      <c r="A528" s="24" t="s">
        <v>3931</v>
      </c>
      <c r="C528" s="26">
        <v>35000.0</v>
      </c>
      <c r="E528" s="25" t="s">
        <v>3939</v>
      </c>
      <c r="F528" s="25" t="s">
        <v>4591</v>
      </c>
    </row>
    <row r="529">
      <c r="A529" s="24" t="s">
        <v>3931</v>
      </c>
      <c r="C529" s="26">
        <v>70000.0</v>
      </c>
      <c r="E529" s="25" t="s">
        <v>3952</v>
      </c>
      <c r="F529" s="25" t="s">
        <v>599</v>
      </c>
    </row>
    <row r="530">
      <c r="A530" s="24" t="s">
        <v>3931</v>
      </c>
      <c r="C530" s="26">
        <v>35000.0</v>
      </c>
      <c r="E530" s="25" t="s">
        <v>3983</v>
      </c>
      <c r="F530" s="25" t="s">
        <v>2771</v>
      </c>
    </row>
    <row r="531">
      <c r="A531" s="24" t="s">
        <v>3931</v>
      </c>
      <c r="C531" s="26">
        <v>35000.0</v>
      </c>
      <c r="E531" s="25" t="s">
        <v>4296</v>
      </c>
      <c r="F531" s="25" t="s">
        <v>3760</v>
      </c>
    </row>
    <row r="532">
      <c r="A532" s="24" t="s">
        <v>3931</v>
      </c>
      <c r="C532" s="26">
        <v>70000.0</v>
      </c>
      <c r="E532" s="25" t="s">
        <v>3939</v>
      </c>
      <c r="F532" s="25" t="s">
        <v>2441</v>
      </c>
    </row>
    <row r="533">
      <c r="A533" s="24" t="s">
        <v>3931</v>
      </c>
      <c r="C533" s="26">
        <v>35000.0</v>
      </c>
      <c r="E533" s="25" t="s">
        <v>3948</v>
      </c>
      <c r="F533" s="25" t="s">
        <v>404</v>
      </c>
    </row>
    <row r="534">
      <c r="A534" s="24" t="s">
        <v>3931</v>
      </c>
      <c r="C534" s="26">
        <v>70000.0</v>
      </c>
      <c r="E534" s="25" t="s">
        <v>3990</v>
      </c>
      <c r="F534" s="25" t="s">
        <v>2212</v>
      </c>
    </row>
    <row r="535">
      <c r="A535" s="24" t="s">
        <v>3931</v>
      </c>
      <c r="C535" s="26">
        <v>70000.0</v>
      </c>
      <c r="E535" s="25" t="s">
        <v>3939</v>
      </c>
      <c r="F535" s="25" t="s">
        <v>668</v>
      </c>
    </row>
    <row r="536">
      <c r="A536" s="24" t="s">
        <v>3931</v>
      </c>
      <c r="C536" s="26">
        <v>70000.0</v>
      </c>
      <c r="E536" s="25" t="s">
        <v>3939</v>
      </c>
      <c r="F536" s="25" t="s">
        <v>934</v>
      </c>
    </row>
    <row r="537">
      <c r="A537" s="24" t="s">
        <v>3931</v>
      </c>
      <c r="C537" s="26">
        <v>35000.0</v>
      </c>
      <c r="E537" s="25" t="s">
        <v>3983</v>
      </c>
      <c r="F537" s="25" t="s">
        <v>4304</v>
      </c>
    </row>
    <row r="538">
      <c r="A538" s="24" t="s">
        <v>3931</v>
      </c>
      <c r="C538" s="26">
        <v>70000.0</v>
      </c>
      <c r="E538" s="25" t="s">
        <v>3948</v>
      </c>
      <c r="F538" s="25" t="s">
        <v>2643</v>
      </c>
    </row>
    <row r="539">
      <c r="A539" s="24" t="s">
        <v>3931</v>
      </c>
      <c r="C539" s="26">
        <v>35000.0</v>
      </c>
      <c r="E539" s="25" t="s">
        <v>3983</v>
      </c>
      <c r="F539" s="25" t="s">
        <v>42</v>
      </c>
    </row>
    <row r="540">
      <c r="A540" s="24" t="s">
        <v>3931</v>
      </c>
      <c r="C540" s="26">
        <v>70000.0</v>
      </c>
      <c r="E540" s="25" t="s">
        <v>3983</v>
      </c>
      <c r="F540" s="25" t="s">
        <v>725</v>
      </c>
    </row>
    <row r="541">
      <c r="A541" s="24" t="s">
        <v>3931</v>
      </c>
      <c r="C541" s="26">
        <v>35000.0</v>
      </c>
      <c r="E541" s="25" t="s">
        <v>3939</v>
      </c>
      <c r="F541" s="25" t="s">
        <v>523</v>
      </c>
    </row>
    <row r="542">
      <c r="A542" s="24" t="s">
        <v>3931</v>
      </c>
      <c r="C542" s="26">
        <v>70000.0</v>
      </c>
      <c r="E542" s="25" t="s">
        <v>3944</v>
      </c>
      <c r="F542" s="25" t="s">
        <v>2459</v>
      </c>
    </row>
    <row r="543">
      <c r="A543" s="24" t="s">
        <v>3931</v>
      </c>
      <c r="C543" s="26">
        <v>70000.0</v>
      </c>
      <c r="E543" s="25" t="s">
        <v>4331</v>
      </c>
      <c r="F543" s="25" t="s">
        <v>937</v>
      </c>
    </row>
    <row r="544">
      <c r="A544" s="24" t="s">
        <v>3931</v>
      </c>
      <c r="C544" s="26">
        <v>35000.0</v>
      </c>
      <c r="E544" s="25" t="s">
        <v>3944</v>
      </c>
      <c r="F544" s="25" t="s">
        <v>4336</v>
      </c>
    </row>
    <row r="545">
      <c r="A545" s="24" t="s">
        <v>3931</v>
      </c>
      <c r="C545" s="26">
        <v>35000.0</v>
      </c>
      <c r="E545" s="25" t="s">
        <v>3948</v>
      </c>
      <c r="F545" s="25" t="s">
        <v>206</v>
      </c>
    </row>
    <row r="546">
      <c r="A546" s="24" t="s">
        <v>3931</v>
      </c>
      <c r="C546" s="26">
        <v>70000.0</v>
      </c>
      <c r="E546" s="25" t="s">
        <v>3948</v>
      </c>
      <c r="F546" s="25" t="s">
        <v>849</v>
      </c>
    </row>
    <row r="547">
      <c r="A547" s="24" t="s">
        <v>3931</v>
      </c>
      <c r="C547" s="26">
        <v>35000.0</v>
      </c>
      <c r="E547" s="25" t="s">
        <v>3946</v>
      </c>
      <c r="F547" s="25" t="s">
        <v>4466</v>
      </c>
    </row>
    <row r="548">
      <c r="A548" s="24" t="s">
        <v>3962</v>
      </c>
      <c r="C548" s="26">
        <v>70000.0</v>
      </c>
      <c r="E548" s="25" t="s">
        <v>4319</v>
      </c>
      <c r="F548" s="25" t="s">
        <v>913</v>
      </c>
    </row>
    <row r="549">
      <c r="A549" s="24" t="s">
        <v>3962</v>
      </c>
      <c r="C549" s="26">
        <v>70000.0</v>
      </c>
      <c r="E549" s="25" t="s">
        <v>4270</v>
      </c>
      <c r="F549" s="25" t="s">
        <v>756</v>
      </c>
    </row>
    <row r="550">
      <c r="A550" s="24" t="s">
        <v>3962</v>
      </c>
      <c r="C550" s="26">
        <v>70000.0</v>
      </c>
      <c r="E550" s="25" t="s">
        <v>3941</v>
      </c>
      <c r="F550" s="25" t="s">
        <v>4585</v>
      </c>
    </row>
    <row r="551">
      <c r="A551" s="24" t="s">
        <v>3962</v>
      </c>
      <c r="C551" s="26">
        <v>70000.0</v>
      </c>
      <c r="E551" s="25" t="s">
        <v>3946</v>
      </c>
      <c r="F551" s="25" t="s">
        <v>810</v>
      </c>
    </row>
    <row r="552">
      <c r="A552" s="24" t="s">
        <v>3962</v>
      </c>
      <c r="C552" s="26">
        <v>35000.0</v>
      </c>
      <c r="E552" s="25" t="s">
        <v>3941</v>
      </c>
      <c r="F552" s="25" t="s">
        <v>427</v>
      </c>
    </row>
    <row r="553">
      <c r="A553" s="24" t="s">
        <v>3962</v>
      </c>
      <c r="C553" s="26">
        <v>35000.0</v>
      </c>
      <c r="E553" s="25" t="s">
        <v>4201</v>
      </c>
      <c r="F553" s="25" t="s">
        <v>304</v>
      </c>
    </row>
    <row r="554">
      <c r="A554" s="24" t="s">
        <v>3962</v>
      </c>
      <c r="C554" s="26">
        <v>70000.0</v>
      </c>
      <c r="E554" s="25" t="s">
        <v>3948</v>
      </c>
      <c r="F554" s="25" t="s">
        <v>534</v>
      </c>
    </row>
    <row r="555">
      <c r="A555" s="24" t="s">
        <v>3962</v>
      </c>
      <c r="C555" s="26">
        <v>70000.0</v>
      </c>
      <c r="E555" s="25" t="s">
        <v>4234</v>
      </c>
      <c r="F555" s="25" t="s">
        <v>814</v>
      </c>
    </row>
    <row r="556">
      <c r="A556" s="24" t="s">
        <v>3962</v>
      </c>
      <c r="C556" s="26">
        <v>70000.0</v>
      </c>
      <c r="E556" s="25" t="s">
        <v>4006</v>
      </c>
      <c r="F556" s="25" t="s">
        <v>4325</v>
      </c>
    </row>
    <row r="557">
      <c r="A557" s="24" t="s">
        <v>3962</v>
      </c>
      <c r="C557" s="26">
        <v>70000.0</v>
      </c>
      <c r="E557" s="25" t="s">
        <v>3983</v>
      </c>
      <c r="F557" s="25" t="s">
        <v>1593</v>
      </c>
    </row>
    <row r="558">
      <c r="A558" s="24" t="s">
        <v>3962</v>
      </c>
      <c r="C558" s="26">
        <v>35000.0</v>
      </c>
      <c r="E558" s="25" t="s">
        <v>3941</v>
      </c>
      <c r="F558" s="25" t="s">
        <v>3650</v>
      </c>
    </row>
    <row r="559">
      <c r="A559" s="24" t="s">
        <v>3962</v>
      </c>
      <c r="C559" s="26">
        <v>35000.0</v>
      </c>
      <c r="E559" s="25" t="s">
        <v>4045</v>
      </c>
      <c r="F559" s="25" t="s">
        <v>105</v>
      </c>
    </row>
    <row r="560">
      <c r="A560" s="24" t="s">
        <v>3962</v>
      </c>
      <c r="C560" s="26">
        <v>35000.0</v>
      </c>
      <c r="E560" s="25" t="s">
        <v>3948</v>
      </c>
      <c r="F560" s="25" t="s">
        <v>4321</v>
      </c>
    </row>
    <row r="561">
      <c r="A561" s="24" t="s">
        <v>3962</v>
      </c>
      <c r="C561" s="26">
        <v>35000.0</v>
      </c>
      <c r="E561" s="25" t="s">
        <v>3941</v>
      </c>
      <c r="F561" s="25" t="s">
        <v>453</v>
      </c>
    </row>
    <row r="562">
      <c r="A562" s="24" t="s">
        <v>3962</v>
      </c>
      <c r="C562" s="26">
        <v>70000.0</v>
      </c>
      <c r="E562" s="25" t="s">
        <v>3983</v>
      </c>
      <c r="F562" s="25" t="s">
        <v>949</v>
      </c>
    </row>
    <row r="563">
      <c r="A563" s="24" t="s">
        <v>3962</v>
      </c>
      <c r="C563" s="26">
        <v>35000.0</v>
      </c>
      <c r="E563" s="25" t="s">
        <v>3952</v>
      </c>
      <c r="F563" s="25" t="s">
        <v>156</v>
      </c>
    </row>
    <row r="564">
      <c r="A564" s="24" t="s">
        <v>3962</v>
      </c>
      <c r="C564" s="26">
        <v>35000.0</v>
      </c>
      <c r="E564" s="25" t="s">
        <v>3983</v>
      </c>
      <c r="F564" s="25" t="s">
        <v>4345</v>
      </c>
    </row>
    <row r="565">
      <c r="A565" s="24" t="s">
        <v>3962</v>
      </c>
      <c r="C565" s="26">
        <v>70000.0</v>
      </c>
      <c r="E565" s="25" t="s">
        <v>3939</v>
      </c>
      <c r="F565" s="25" t="s">
        <v>1248</v>
      </c>
    </row>
    <row r="566">
      <c r="A566" s="24" t="s">
        <v>3962</v>
      </c>
      <c r="C566" s="26">
        <v>70000.0</v>
      </c>
      <c r="E566" s="25" t="s">
        <v>4184</v>
      </c>
      <c r="F566" s="25" t="s">
        <v>4406</v>
      </c>
    </row>
    <row r="567">
      <c r="A567" s="24" t="s">
        <v>3962</v>
      </c>
      <c r="C567" s="26">
        <v>70000.0</v>
      </c>
      <c r="E567" s="25" t="s">
        <v>3941</v>
      </c>
      <c r="F567" s="25" t="s">
        <v>809</v>
      </c>
    </row>
    <row r="568">
      <c r="A568" s="24" t="s">
        <v>3962</v>
      </c>
      <c r="C568" s="26">
        <v>35000.0</v>
      </c>
      <c r="E568" s="25" t="s">
        <v>4384</v>
      </c>
      <c r="F568" s="25" t="s">
        <v>579</v>
      </c>
    </row>
    <row r="569">
      <c r="A569" s="24" t="s">
        <v>3962</v>
      </c>
      <c r="C569" s="26">
        <v>35000.0</v>
      </c>
      <c r="E569" s="25" t="s">
        <v>3941</v>
      </c>
      <c r="F569" s="25" t="s">
        <v>4349</v>
      </c>
    </row>
    <row r="570">
      <c r="A570" s="24" t="s">
        <v>3962</v>
      </c>
      <c r="C570" s="26">
        <v>35000.0</v>
      </c>
      <c r="E570" s="25" t="s">
        <v>3939</v>
      </c>
      <c r="F570" s="25" t="s">
        <v>2885</v>
      </c>
    </row>
    <row r="571">
      <c r="A571" s="24" t="s">
        <v>3962</v>
      </c>
      <c r="C571" s="26">
        <v>35000.0</v>
      </c>
      <c r="E571" s="25" t="s">
        <v>4044</v>
      </c>
      <c r="F571" s="25" t="s">
        <v>103</v>
      </c>
    </row>
    <row r="572">
      <c r="A572" s="24" t="s">
        <v>3962</v>
      </c>
      <c r="C572" s="26">
        <v>70000.0</v>
      </c>
      <c r="E572" s="25" t="s">
        <v>3990</v>
      </c>
      <c r="F572" s="25" t="s">
        <v>1237</v>
      </c>
    </row>
    <row r="573">
      <c r="A573" s="24" t="s">
        <v>3962</v>
      </c>
      <c r="C573" s="26">
        <v>35000.0</v>
      </c>
      <c r="E573" s="25" t="s">
        <v>4033</v>
      </c>
      <c r="F573" s="25" t="s">
        <v>88</v>
      </c>
    </row>
    <row r="574">
      <c r="A574" s="24" t="s">
        <v>3962</v>
      </c>
      <c r="C574" s="26">
        <v>35000.0</v>
      </c>
      <c r="E574" s="25" t="s">
        <v>3948</v>
      </c>
      <c r="F574" s="25" t="s">
        <v>2943</v>
      </c>
    </row>
    <row r="575">
      <c r="A575" s="24" t="s">
        <v>3962</v>
      </c>
      <c r="C575" s="26">
        <v>35000.0</v>
      </c>
      <c r="E575" s="25" t="s">
        <v>3937</v>
      </c>
      <c r="F575" s="25" t="s">
        <v>276</v>
      </c>
    </row>
    <row r="576">
      <c r="A576" s="24" t="s">
        <v>3962</v>
      </c>
      <c r="C576" s="26">
        <v>35000.0</v>
      </c>
      <c r="E576" s="25" t="s">
        <v>4041</v>
      </c>
      <c r="F576" s="25" t="s">
        <v>3560</v>
      </c>
    </row>
    <row r="577">
      <c r="A577" s="24" t="s">
        <v>3962</v>
      </c>
      <c r="C577" s="26">
        <v>70000.0</v>
      </c>
      <c r="E577" s="25" t="s">
        <v>3948</v>
      </c>
      <c r="F577" s="25" t="s">
        <v>155</v>
      </c>
    </row>
    <row r="578">
      <c r="A578" s="24" t="s">
        <v>3962</v>
      </c>
      <c r="C578" s="26">
        <v>35000.0</v>
      </c>
      <c r="E578" s="25" t="s">
        <v>3946</v>
      </c>
      <c r="F578" s="25">
        <v>9091.0</v>
      </c>
    </row>
    <row r="579">
      <c r="A579" s="24" t="s">
        <v>3962</v>
      </c>
      <c r="C579" s="26">
        <v>35000.0</v>
      </c>
      <c r="E579" s="25" t="s">
        <v>3948</v>
      </c>
      <c r="F579" s="25" t="s">
        <v>3276</v>
      </c>
    </row>
    <row r="580">
      <c r="A580" s="24" t="s">
        <v>3962</v>
      </c>
      <c r="C580" s="26">
        <v>35000.0</v>
      </c>
      <c r="E580" s="25" t="s">
        <v>4374</v>
      </c>
      <c r="F580" s="25" t="s">
        <v>553</v>
      </c>
    </row>
    <row r="581">
      <c r="A581" s="24" t="s">
        <v>3962</v>
      </c>
      <c r="C581" s="26">
        <v>70000.0</v>
      </c>
      <c r="E581" s="25" t="s">
        <v>4209</v>
      </c>
      <c r="F581" s="25" t="s">
        <v>2484</v>
      </c>
    </row>
    <row r="582">
      <c r="A582" s="24" t="s">
        <v>3962</v>
      </c>
      <c r="C582" s="26">
        <v>70000.0</v>
      </c>
      <c r="E582" s="25" t="s">
        <v>3941</v>
      </c>
      <c r="F582" s="25" t="s">
        <v>931</v>
      </c>
    </row>
    <row r="583">
      <c r="A583" s="24" t="s">
        <v>3962</v>
      </c>
      <c r="C583" s="26">
        <v>35000.0</v>
      </c>
      <c r="E583" s="25" t="s">
        <v>3946</v>
      </c>
      <c r="F583" s="25" t="s">
        <v>3315</v>
      </c>
    </row>
    <row r="584">
      <c r="A584" s="24" t="s">
        <v>3962</v>
      </c>
      <c r="C584" s="26">
        <v>35000.0</v>
      </c>
      <c r="E584" s="25" t="s">
        <v>3946</v>
      </c>
      <c r="F584" s="25" t="s">
        <v>393</v>
      </c>
    </row>
    <row r="585">
      <c r="A585" s="24" t="s">
        <v>3962</v>
      </c>
      <c r="C585" s="26">
        <v>70000.0</v>
      </c>
      <c r="E585" s="25" t="s">
        <v>3948</v>
      </c>
      <c r="F585" s="25" t="s">
        <v>4263</v>
      </c>
    </row>
    <row r="586">
      <c r="A586" s="24" t="s">
        <v>3962</v>
      </c>
      <c r="C586" s="26">
        <v>70000.0</v>
      </c>
      <c r="E586" s="25" t="s">
        <v>3948</v>
      </c>
      <c r="F586" s="25" t="s">
        <v>2536</v>
      </c>
    </row>
    <row r="587">
      <c r="A587" s="24" t="s">
        <v>3962</v>
      </c>
      <c r="C587" s="26">
        <v>70000.0</v>
      </c>
      <c r="E587" s="25" t="s">
        <v>3983</v>
      </c>
      <c r="F587" s="25" t="s">
        <v>663</v>
      </c>
    </row>
    <row r="588">
      <c r="A588" s="24" t="s">
        <v>3962</v>
      </c>
      <c r="C588" s="26">
        <v>35000.0</v>
      </c>
      <c r="E588" s="25" t="s">
        <v>3952</v>
      </c>
      <c r="F588" s="25" t="s">
        <v>307</v>
      </c>
    </row>
    <row r="589">
      <c r="A589" s="24" t="s">
        <v>3962</v>
      </c>
      <c r="C589" s="26">
        <v>35000.0</v>
      </c>
      <c r="E589" s="25" t="s">
        <v>4097</v>
      </c>
      <c r="F589" s="25" t="s">
        <v>166</v>
      </c>
    </row>
    <row r="590">
      <c r="A590" s="24" t="s">
        <v>3962</v>
      </c>
      <c r="C590" s="26">
        <v>70000.0</v>
      </c>
      <c r="E590" s="25" t="s">
        <v>3983</v>
      </c>
      <c r="F590" s="25" t="s">
        <v>619</v>
      </c>
    </row>
    <row r="591">
      <c r="A591" s="24" t="s">
        <v>3962</v>
      </c>
      <c r="C591" s="26">
        <v>35000.0</v>
      </c>
      <c r="E591" s="25" t="s">
        <v>3939</v>
      </c>
      <c r="F591" s="25" t="s">
        <v>4153</v>
      </c>
    </row>
    <row r="592">
      <c r="A592" s="24" t="s">
        <v>3962</v>
      </c>
      <c r="C592" s="26">
        <v>35000.0</v>
      </c>
      <c r="E592" s="25" t="s">
        <v>3948</v>
      </c>
      <c r="F592" s="25" t="s">
        <v>139</v>
      </c>
    </row>
    <row r="593">
      <c r="A593" s="24" t="s">
        <v>3962</v>
      </c>
      <c r="C593" s="26">
        <v>35000.0</v>
      </c>
      <c r="E593" s="25" t="s">
        <v>3941</v>
      </c>
      <c r="F593" s="25" t="s">
        <v>413</v>
      </c>
    </row>
    <row r="594">
      <c r="A594" s="24" t="s">
        <v>3962</v>
      </c>
      <c r="C594" s="26">
        <v>70000.0</v>
      </c>
      <c r="E594" s="25" t="s">
        <v>3983</v>
      </c>
      <c r="F594" s="25" t="s">
        <v>774</v>
      </c>
    </row>
    <row r="595">
      <c r="A595" s="24" t="s">
        <v>3962</v>
      </c>
      <c r="C595" s="26">
        <v>70000.0</v>
      </c>
      <c r="E595" s="25" t="s">
        <v>3948</v>
      </c>
      <c r="F595" s="25" t="s">
        <v>1270</v>
      </c>
    </row>
    <row r="596">
      <c r="A596" s="24" t="s">
        <v>3962</v>
      </c>
      <c r="C596" s="26">
        <v>35000.0</v>
      </c>
      <c r="E596" s="25" t="s">
        <v>3948</v>
      </c>
      <c r="F596" s="25" t="s">
        <v>3766</v>
      </c>
    </row>
    <row r="597">
      <c r="A597" s="24" t="s">
        <v>3962</v>
      </c>
      <c r="C597" s="26">
        <v>70000.0</v>
      </c>
      <c r="E597" s="25" t="s">
        <v>3941</v>
      </c>
      <c r="F597" s="25" t="s">
        <v>783</v>
      </c>
    </row>
    <row r="598">
      <c r="A598" s="24" t="s">
        <v>3962</v>
      </c>
      <c r="C598" s="26">
        <v>70000.0</v>
      </c>
      <c r="E598" s="25" t="s">
        <v>4242</v>
      </c>
      <c r="F598" s="25" t="s">
        <v>822</v>
      </c>
    </row>
    <row r="599">
      <c r="A599" s="24" t="s">
        <v>3962</v>
      </c>
      <c r="C599" s="26">
        <v>35000.0</v>
      </c>
      <c r="E599" s="25" t="s">
        <v>4006</v>
      </c>
      <c r="F599" s="25" t="s">
        <v>223</v>
      </c>
    </row>
    <row r="600">
      <c r="A600" s="24" t="s">
        <v>3962</v>
      </c>
      <c r="C600" s="26">
        <v>35000.0</v>
      </c>
      <c r="E600" s="25" t="s">
        <v>3948</v>
      </c>
      <c r="F600" s="25" t="s">
        <v>3126</v>
      </c>
    </row>
    <row r="601">
      <c r="A601" s="24" t="s">
        <v>3962</v>
      </c>
      <c r="C601" s="26">
        <v>70000.0</v>
      </c>
      <c r="E601" s="25" t="s">
        <v>3992</v>
      </c>
      <c r="F601" s="25" t="s">
        <v>4394</v>
      </c>
    </row>
    <row r="602">
      <c r="A602" s="24" t="s">
        <v>3962</v>
      </c>
      <c r="C602" s="26">
        <v>70000.0</v>
      </c>
      <c r="E602" s="25" t="s">
        <v>3983</v>
      </c>
      <c r="F602" s="25" t="s">
        <v>627</v>
      </c>
    </row>
    <row r="603">
      <c r="A603" s="24" t="s">
        <v>3962</v>
      </c>
      <c r="C603" s="26">
        <v>35000.0</v>
      </c>
      <c r="E603" s="25" t="s">
        <v>3948</v>
      </c>
      <c r="F603" s="25" t="s">
        <v>3353</v>
      </c>
    </row>
    <row r="604">
      <c r="A604" s="24" t="s">
        <v>3962</v>
      </c>
      <c r="C604" s="26">
        <v>70000.0</v>
      </c>
      <c r="E604" s="25" t="s">
        <v>3941</v>
      </c>
      <c r="F604" s="25" t="s">
        <v>936</v>
      </c>
    </row>
    <row r="605">
      <c r="A605" s="24" t="s">
        <v>3962</v>
      </c>
      <c r="C605" s="26">
        <v>70000.0</v>
      </c>
      <c r="E605" s="25" t="s">
        <v>3948</v>
      </c>
      <c r="F605" s="25" t="s">
        <v>1897</v>
      </c>
    </row>
    <row r="606">
      <c r="A606" s="24" t="s">
        <v>3962</v>
      </c>
      <c r="C606" s="26">
        <v>70000.0</v>
      </c>
      <c r="E606" s="25" t="s">
        <v>3948</v>
      </c>
      <c r="F606" s="25" t="s">
        <v>688</v>
      </c>
    </row>
    <row r="607">
      <c r="A607" s="24" t="s">
        <v>3962</v>
      </c>
      <c r="C607" s="26">
        <v>35000.0</v>
      </c>
      <c r="E607" s="25" t="s">
        <v>4041</v>
      </c>
      <c r="F607" s="25" t="s">
        <v>423</v>
      </c>
    </row>
    <row r="608">
      <c r="A608" s="24" t="s">
        <v>3962</v>
      </c>
      <c r="C608" s="26">
        <v>70000.0</v>
      </c>
      <c r="E608" s="25" t="s">
        <v>3948</v>
      </c>
      <c r="F608" s="25" t="s">
        <v>784</v>
      </c>
    </row>
    <row r="609">
      <c r="A609" s="24" t="s">
        <v>3962</v>
      </c>
      <c r="C609" s="26">
        <v>35000.0</v>
      </c>
      <c r="E609" s="25" t="s">
        <v>3941</v>
      </c>
      <c r="F609" s="25" t="s">
        <v>4356</v>
      </c>
    </row>
    <row r="610">
      <c r="A610" s="24" t="s">
        <v>3962</v>
      </c>
      <c r="C610" s="26">
        <v>35000.0</v>
      </c>
      <c r="E610" s="25" t="s">
        <v>3941</v>
      </c>
      <c r="F610" s="25" t="s">
        <v>152</v>
      </c>
    </row>
    <row r="611">
      <c r="A611" s="24" t="s">
        <v>3962</v>
      </c>
      <c r="C611" s="26">
        <v>35000.0</v>
      </c>
      <c r="E611" s="25" t="s">
        <v>3948</v>
      </c>
      <c r="F611" s="25" t="s">
        <v>2964</v>
      </c>
    </row>
    <row r="612">
      <c r="A612" s="24" t="s">
        <v>3962</v>
      </c>
      <c r="C612" s="26">
        <v>35000.0</v>
      </c>
      <c r="E612" s="25" t="s">
        <v>3946</v>
      </c>
      <c r="F612" s="25" t="s">
        <v>50</v>
      </c>
    </row>
    <row r="613">
      <c r="A613" s="24" t="s">
        <v>3962</v>
      </c>
      <c r="C613" s="26">
        <v>35000.0</v>
      </c>
      <c r="E613" s="25" t="s">
        <v>3948</v>
      </c>
      <c r="F613" s="25" t="s">
        <v>530</v>
      </c>
    </row>
    <row r="614">
      <c r="A614" s="24" t="s">
        <v>3962</v>
      </c>
      <c r="C614" s="26">
        <v>35000.0</v>
      </c>
      <c r="E614" s="25" t="s">
        <v>3941</v>
      </c>
      <c r="F614" s="25" t="s">
        <v>4588</v>
      </c>
    </row>
    <row r="615">
      <c r="A615" s="24" t="s">
        <v>3962</v>
      </c>
      <c r="C615" s="26">
        <v>70000.0</v>
      </c>
      <c r="E615" s="25" t="s">
        <v>4212</v>
      </c>
      <c r="F615" s="25" t="s">
        <v>791</v>
      </c>
    </row>
    <row r="616">
      <c r="A616" s="24" t="s">
        <v>3962</v>
      </c>
      <c r="C616" s="26">
        <v>35000.0</v>
      </c>
      <c r="E616" s="25" t="s">
        <v>3941</v>
      </c>
      <c r="F616" s="25" t="s">
        <v>3066</v>
      </c>
    </row>
    <row r="617">
      <c r="A617" s="24" t="s">
        <v>3962</v>
      </c>
      <c r="C617" s="26">
        <v>35000.0</v>
      </c>
      <c r="E617" s="25" t="s">
        <v>4225</v>
      </c>
      <c r="F617" s="25" t="s">
        <v>340</v>
      </c>
    </row>
    <row r="618">
      <c r="A618" s="24" t="s">
        <v>3962</v>
      </c>
      <c r="C618" s="26">
        <v>70000.0</v>
      </c>
      <c r="E618" s="25" t="s">
        <v>3983</v>
      </c>
      <c r="F618" s="25" t="s">
        <v>4023</v>
      </c>
    </row>
    <row r="619">
      <c r="A619" s="24" t="s">
        <v>3962</v>
      </c>
      <c r="C619" s="26">
        <v>35000.0</v>
      </c>
      <c r="E619" s="25" t="s">
        <v>3946</v>
      </c>
      <c r="F619" s="25" t="s">
        <v>2962</v>
      </c>
    </row>
    <row r="620">
      <c r="A620" s="24" t="s">
        <v>3962</v>
      </c>
      <c r="C620" s="26">
        <v>70000.0</v>
      </c>
      <c r="E620" s="25" t="s">
        <v>3983</v>
      </c>
      <c r="F620" s="25" t="s">
        <v>1274</v>
      </c>
    </row>
    <row r="621">
      <c r="A621" s="24" t="s">
        <v>3962</v>
      </c>
      <c r="C621" s="26">
        <v>35000.0</v>
      </c>
      <c r="E621" s="25" t="s">
        <v>4353</v>
      </c>
      <c r="F621" s="25" t="s">
        <v>522</v>
      </c>
    </row>
    <row r="622">
      <c r="A622" s="24" t="s">
        <v>3962</v>
      </c>
      <c r="C622" s="26">
        <v>35000.0</v>
      </c>
      <c r="E622" s="25" t="s">
        <v>3941</v>
      </c>
      <c r="F622" s="25" t="s">
        <v>3487</v>
      </c>
    </row>
    <row r="623">
      <c r="A623" s="24" t="s">
        <v>3962</v>
      </c>
      <c r="C623" s="26">
        <v>35000.0</v>
      </c>
      <c r="E623" s="25" t="s">
        <v>3944</v>
      </c>
      <c r="F623" s="25" t="s">
        <v>354</v>
      </c>
    </row>
    <row r="624">
      <c r="A624" s="24" t="s">
        <v>3962</v>
      </c>
      <c r="C624" s="26">
        <v>35000.0</v>
      </c>
      <c r="E624" s="25" t="s">
        <v>4312</v>
      </c>
      <c r="F624" s="25" t="s">
        <v>3672</v>
      </c>
    </row>
    <row r="625">
      <c r="A625" s="24" t="s">
        <v>3962</v>
      </c>
      <c r="C625" s="26">
        <v>70000.0</v>
      </c>
      <c r="E625" s="25" t="s">
        <v>3948</v>
      </c>
      <c r="F625" s="25" t="s">
        <v>1813</v>
      </c>
    </row>
    <row r="626">
      <c r="A626" s="24" t="s">
        <v>3962</v>
      </c>
      <c r="C626" s="26">
        <v>35000.0</v>
      </c>
      <c r="E626" s="25" t="s">
        <v>4029</v>
      </c>
      <c r="F626" s="25" t="s">
        <v>275</v>
      </c>
    </row>
    <row r="627">
      <c r="A627" s="24" t="s">
        <v>3962</v>
      </c>
      <c r="C627" s="26">
        <v>35000.0</v>
      </c>
      <c r="E627" s="25" t="s">
        <v>4272</v>
      </c>
      <c r="F627" s="25" t="s">
        <v>397</v>
      </c>
    </row>
    <row r="628">
      <c r="A628" s="24" t="s">
        <v>3962</v>
      </c>
      <c r="C628" s="26">
        <v>35000.0</v>
      </c>
      <c r="E628" s="25" t="s">
        <v>4274</v>
      </c>
      <c r="F628" s="25" t="s">
        <v>401</v>
      </c>
    </row>
    <row r="629">
      <c r="A629" s="24" t="s">
        <v>3962</v>
      </c>
      <c r="C629" s="26">
        <v>35000.0</v>
      </c>
      <c r="E629" s="25" t="s">
        <v>3946</v>
      </c>
      <c r="F629" s="25" t="s">
        <v>386</v>
      </c>
    </row>
    <row r="630">
      <c r="A630" s="24" t="s">
        <v>3962</v>
      </c>
      <c r="C630" s="26">
        <v>35000.0</v>
      </c>
      <c r="E630" s="25" t="s">
        <v>4385</v>
      </c>
      <c r="F630" s="25" t="s">
        <v>44</v>
      </c>
    </row>
    <row r="631">
      <c r="A631" s="24" t="s">
        <v>3962</v>
      </c>
      <c r="C631" s="26">
        <v>35000.0</v>
      </c>
      <c r="E631" s="25" t="s">
        <v>3983</v>
      </c>
      <c r="F631" s="25" t="s">
        <v>3403</v>
      </c>
    </row>
    <row r="632">
      <c r="A632" s="24" t="s">
        <v>3962</v>
      </c>
      <c r="C632" s="26">
        <v>70000.0</v>
      </c>
      <c r="E632" s="25" t="s">
        <v>4346</v>
      </c>
      <c r="F632" s="25" t="s">
        <v>2928</v>
      </c>
    </row>
    <row r="633">
      <c r="A633" s="24" t="s">
        <v>3962</v>
      </c>
      <c r="C633" s="26">
        <v>70000.0</v>
      </c>
      <c r="E633" s="25" t="s">
        <v>3946</v>
      </c>
      <c r="F633" s="25" t="s">
        <v>4055</v>
      </c>
    </row>
    <row r="634">
      <c r="A634" s="24" t="s">
        <v>3962</v>
      </c>
      <c r="C634" s="26">
        <v>70000.0</v>
      </c>
      <c r="E634" s="25" t="s">
        <v>3983</v>
      </c>
      <c r="F634" s="25" t="s">
        <v>1873</v>
      </c>
    </row>
    <row r="635">
      <c r="A635" s="24" t="s">
        <v>3962</v>
      </c>
      <c r="C635" s="26">
        <v>35000.0</v>
      </c>
      <c r="E635" s="25" t="s">
        <v>4264</v>
      </c>
      <c r="F635" s="25" t="s">
        <v>2744</v>
      </c>
    </row>
    <row r="636">
      <c r="A636" s="24" t="s">
        <v>3962</v>
      </c>
      <c r="C636" s="26">
        <v>35000.0</v>
      </c>
      <c r="E636" s="25" t="s">
        <v>3944</v>
      </c>
      <c r="F636" s="25" t="s">
        <v>355</v>
      </c>
    </row>
    <row r="637">
      <c r="A637" s="24" t="s">
        <v>3962</v>
      </c>
      <c r="C637" s="26">
        <v>70000.0</v>
      </c>
      <c r="E637" s="25" t="s">
        <v>4430</v>
      </c>
      <c r="F637" s="25" t="s">
        <v>1166</v>
      </c>
    </row>
    <row r="638">
      <c r="A638" s="24" t="s">
        <v>3962</v>
      </c>
      <c r="C638" s="26">
        <v>70000.0</v>
      </c>
      <c r="E638" s="25" t="s">
        <v>3995</v>
      </c>
      <c r="F638" s="25" t="s">
        <v>4259</v>
      </c>
    </row>
    <row r="639">
      <c r="A639" s="24" t="s">
        <v>3962</v>
      </c>
      <c r="C639" s="26">
        <v>35000.0</v>
      </c>
      <c r="E639" s="25" t="s">
        <v>3983</v>
      </c>
      <c r="F639" s="25" t="s">
        <v>291</v>
      </c>
    </row>
    <row r="640">
      <c r="A640" s="24" t="s">
        <v>3962</v>
      </c>
      <c r="C640" s="26">
        <v>35000.0</v>
      </c>
      <c r="E640" s="25" t="s">
        <v>3948</v>
      </c>
      <c r="F640" s="25" t="s">
        <v>2945</v>
      </c>
    </row>
    <row r="641">
      <c r="A641" s="24" t="s">
        <v>3962</v>
      </c>
      <c r="C641" s="26">
        <v>70000.0</v>
      </c>
      <c r="E641" s="25" t="s">
        <v>4420</v>
      </c>
      <c r="F641" s="25" t="s">
        <v>1023</v>
      </c>
    </row>
    <row r="642">
      <c r="A642" s="24" t="s">
        <v>3962</v>
      </c>
      <c r="C642" s="26">
        <v>35000.0</v>
      </c>
      <c r="E642" s="25" t="s">
        <v>3939</v>
      </c>
      <c r="F642" s="25" t="s">
        <v>117</v>
      </c>
    </row>
    <row r="643">
      <c r="A643" s="24" t="s">
        <v>3962</v>
      </c>
      <c r="C643" s="26">
        <v>70000.0</v>
      </c>
      <c r="E643" s="25" t="s">
        <v>3948</v>
      </c>
      <c r="F643" s="25" t="s">
        <v>735</v>
      </c>
    </row>
    <row r="644">
      <c r="A644" s="24" t="s">
        <v>3945</v>
      </c>
      <c r="C644" s="26">
        <v>35000.0</v>
      </c>
      <c r="E644" s="25" t="s">
        <v>3968</v>
      </c>
      <c r="F644" s="25" t="s">
        <v>3967</v>
      </c>
    </row>
    <row r="645">
      <c r="A645" s="24" t="s">
        <v>3945</v>
      </c>
      <c r="C645" s="26">
        <v>70000.0</v>
      </c>
      <c r="E645" s="25" t="s">
        <v>3964</v>
      </c>
      <c r="F645" s="25" t="s">
        <v>2635</v>
      </c>
    </row>
    <row r="646">
      <c r="A646" s="24" t="s">
        <v>3945</v>
      </c>
      <c r="C646" s="26">
        <v>70000.0</v>
      </c>
      <c r="E646" s="25" t="s">
        <v>3946</v>
      </c>
      <c r="F646" s="25" t="s">
        <v>600</v>
      </c>
    </row>
    <row r="647">
      <c r="A647" s="24" t="s">
        <v>3945</v>
      </c>
      <c r="C647" s="26">
        <v>70000.0</v>
      </c>
      <c r="E647" s="25" t="s">
        <v>4162</v>
      </c>
      <c r="F647" s="25" t="s">
        <v>819</v>
      </c>
    </row>
    <row r="648">
      <c r="A648" s="24" t="s">
        <v>3945</v>
      </c>
      <c r="C648" s="26">
        <v>70000.0</v>
      </c>
      <c r="E648" s="25" t="s">
        <v>3983</v>
      </c>
      <c r="F648" s="25" t="s">
        <v>607</v>
      </c>
    </row>
    <row r="649">
      <c r="A649" s="24" t="s">
        <v>3945</v>
      </c>
      <c r="C649" s="26">
        <v>35000.0</v>
      </c>
      <c r="E649" s="25" t="s">
        <v>3944</v>
      </c>
      <c r="F649" s="25" t="s">
        <v>86</v>
      </c>
    </row>
    <row r="650">
      <c r="A650" s="24" t="s">
        <v>3945</v>
      </c>
      <c r="C650" s="26">
        <v>35000.0</v>
      </c>
      <c r="E650" s="25" t="s">
        <v>3948</v>
      </c>
      <c r="F650" s="25" t="s">
        <v>2935</v>
      </c>
    </row>
    <row r="651">
      <c r="A651" s="24" t="s">
        <v>3945</v>
      </c>
      <c r="C651" s="26">
        <v>70000.0</v>
      </c>
      <c r="E651" s="25" t="s">
        <v>3946</v>
      </c>
      <c r="F651" s="25" t="s">
        <v>1129</v>
      </c>
    </row>
    <row r="652">
      <c r="A652" s="24" t="s">
        <v>3945</v>
      </c>
      <c r="C652" s="26">
        <v>70000.0</v>
      </c>
      <c r="E652" s="25" t="s">
        <v>3948</v>
      </c>
      <c r="F652" s="25" t="s">
        <v>1120</v>
      </c>
    </row>
    <row r="653">
      <c r="A653" s="24" t="s">
        <v>3945</v>
      </c>
      <c r="C653" s="26">
        <v>35000.0</v>
      </c>
      <c r="E653" s="25" t="s">
        <v>3990</v>
      </c>
      <c r="F653" s="25" t="s">
        <v>3141</v>
      </c>
    </row>
    <row r="654">
      <c r="A654" s="24" t="s">
        <v>3945</v>
      </c>
      <c r="C654" s="26">
        <v>70000.0</v>
      </c>
      <c r="E654" s="25" t="s">
        <v>3946</v>
      </c>
      <c r="F654" s="25" t="s">
        <v>4211</v>
      </c>
    </row>
    <row r="655">
      <c r="A655" s="24" t="s">
        <v>3945</v>
      </c>
      <c r="C655" s="26">
        <v>35000.0</v>
      </c>
      <c r="E655" s="25" t="s">
        <v>3946</v>
      </c>
      <c r="F655" s="25" t="s">
        <v>4064</v>
      </c>
    </row>
    <row r="656">
      <c r="A656" s="24" t="s">
        <v>3945</v>
      </c>
      <c r="C656" s="26">
        <v>35000.0</v>
      </c>
      <c r="E656" s="25" t="s">
        <v>4485</v>
      </c>
      <c r="F656" s="25" t="s">
        <v>471</v>
      </c>
    </row>
    <row r="657">
      <c r="A657" s="24" t="s">
        <v>3945</v>
      </c>
      <c r="C657" s="26">
        <v>70000.0</v>
      </c>
      <c r="E657" s="25" t="s">
        <v>3948</v>
      </c>
      <c r="F657" s="25" t="s">
        <v>1215</v>
      </c>
    </row>
    <row r="658">
      <c r="A658" s="24" t="s">
        <v>3945</v>
      </c>
      <c r="C658" s="26">
        <v>70000.0</v>
      </c>
      <c r="E658" s="25" t="s">
        <v>4122</v>
      </c>
      <c r="F658" s="25" t="s">
        <v>1058</v>
      </c>
    </row>
    <row r="659">
      <c r="A659" s="24" t="s">
        <v>3945</v>
      </c>
      <c r="C659" s="26">
        <v>70000.0</v>
      </c>
      <c r="E659" s="25" t="s">
        <v>3983</v>
      </c>
      <c r="F659" s="25" t="s">
        <v>585</v>
      </c>
    </row>
    <row r="660">
      <c r="A660" s="24" t="s">
        <v>3945</v>
      </c>
      <c r="C660" s="26">
        <v>35000.0</v>
      </c>
      <c r="E660" s="25" t="s">
        <v>3941</v>
      </c>
      <c r="F660" s="25" t="s">
        <v>4455</v>
      </c>
    </row>
    <row r="661">
      <c r="A661" s="24" t="s">
        <v>3945</v>
      </c>
      <c r="C661" s="26">
        <v>70000.0</v>
      </c>
      <c r="E661" s="25" t="s">
        <v>4309</v>
      </c>
      <c r="F661" s="25" t="s">
        <v>902</v>
      </c>
    </row>
    <row r="662">
      <c r="A662" s="24" t="s">
        <v>3945</v>
      </c>
      <c r="C662" s="26">
        <v>70000.0</v>
      </c>
      <c r="E662" s="25" t="s">
        <v>3939</v>
      </c>
      <c r="F662" s="25" t="s">
        <v>672</v>
      </c>
    </row>
    <row r="663">
      <c r="A663" s="24" t="s">
        <v>3945</v>
      </c>
      <c r="C663" s="26">
        <v>35000.0</v>
      </c>
      <c r="E663" s="25" t="s">
        <v>3983</v>
      </c>
      <c r="F663" s="25" t="s">
        <v>440</v>
      </c>
    </row>
    <row r="664">
      <c r="A664" s="24" t="s">
        <v>3945</v>
      </c>
      <c r="C664" s="26">
        <v>70000.0</v>
      </c>
      <c r="E664" s="25" t="s">
        <v>3990</v>
      </c>
      <c r="F664" s="25" t="s">
        <v>766</v>
      </c>
    </row>
    <row r="665">
      <c r="A665" s="24" t="s">
        <v>3945</v>
      </c>
      <c r="C665" s="26">
        <v>35000.0</v>
      </c>
      <c r="E665" s="25" t="s">
        <v>4244</v>
      </c>
      <c r="F665" s="25" t="s">
        <v>3762</v>
      </c>
    </row>
    <row r="666">
      <c r="A666" s="24" t="s">
        <v>3945</v>
      </c>
      <c r="C666" s="26">
        <v>70000.0</v>
      </c>
      <c r="E666" s="25" t="s">
        <v>3948</v>
      </c>
      <c r="F666" s="25" t="s">
        <v>573</v>
      </c>
    </row>
    <row r="667">
      <c r="A667" s="24" t="s">
        <v>3945</v>
      </c>
      <c r="C667" s="26">
        <v>70000.0</v>
      </c>
      <c r="E667" s="25" t="s">
        <v>3946</v>
      </c>
      <c r="F667" s="25" t="s">
        <v>4468</v>
      </c>
    </row>
    <row r="668">
      <c r="A668" s="24" t="s">
        <v>3945</v>
      </c>
      <c r="C668" s="26">
        <v>70000.0</v>
      </c>
      <c r="E668" s="25" t="s">
        <v>3941</v>
      </c>
      <c r="F668" s="25" t="s">
        <v>798</v>
      </c>
    </row>
    <row r="669">
      <c r="A669" s="24" t="s">
        <v>3945</v>
      </c>
      <c r="C669" s="26">
        <v>70000.0</v>
      </c>
      <c r="E669" s="25" t="s">
        <v>3992</v>
      </c>
      <c r="F669" s="25" t="s">
        <v>657</v>
      </c>
    </row>
    <row r="670">
      <c r="A670" s="24" t="s">
        <v>3945</v>
      </c>
      <c r="C670" s="26">
        <v>70000.0</v>
      </c>
      <c r="E670" s="25" t="s">
        <v>3948</v>
      </c>
      <c r="F670" s="25" t="s">
        <v>803</v>
      </c>
    </row>
    <row r="671">
      <c r="A671" s="24" t="s">
        <v>3945</v>
      </c>
      <c r="C671" s="26">
        <v>35000.0</v>
      </c>
      <c r="E671" s="25" t="s">
        <v>3948</v>
      </c>
      <c r="F671" s="25" t="s">
        <v>439</v>
      </c>
    </row>
    <row r="672">
      <c r="A672" s="24" t="s">
        <v>3945</v>
      </c>
      <c r="C672" s="26">
        <v>35000.0</v>
      </c>
      <c r="E672" s="25" t="s">
        <v>4175</v>
      </c>
      <c r="F672" s="25" t="s">
        <v>4174</v>
      </c>
    </row>
    <row r="673">
      <c r="A673" s="24" t="s">
        <v>3945</v>
      </c>
      <c r="C673" s="26">
        <v>70000.0</v>
      </c>
      <c r="E673" s="25" t="s">
        <v>3939</v>
      </c>
      <c r="F673" s="25" t="s">
        <v>712</v>
      </c>
    </row>
    <row r="674">
      <c r="A674" s="24" t="s">
        <v>3945</v>
      </c>
      <c r="C674" s="26">
        <v>70000.0</v>
      </c>
      <c r="E674" s="25" t="s">
        <v>4105</v>
      </c>
      <c r="F674" s="25" t="s">
        <v>1748</v>
      </c>
    </row>
    <row r="675">
      <c r="A675" s="24" t="s">
        <v>3945</v>
      </c>
      <c r="C675" s="26">
        <v>35000.0</v>
      </c>
      <c r="E675" s="25" t="s">
        <v>3941</v>
      </c>
      <c r="F675" s="25" t="s">
        <v>541</v>
      </c>
    </row>
    <row r="676">
      <c r="A676" s="24" t="s">
        <v>3945</v>
      </c>
      <c r="C676" s="26">
        <v>70000.0</v>
      </c>
      <c r="E676" s="25" t="s">
        <v>3937</v>
      </c>
      <c r="F676" s="25" t="s">
        <v>4108</v>
      </c>
    </row>
    <row r="677">
      <c r="A677" s="24" t="s">
        <v>3945</v>
      </c>
      <c r="C677" s="26">
        <v>70000.0</v>
      </c>
      <c r="E677" s="25" t="s">
        <v>3946</v>
      </c>
      <c r="F677" s="25" t="s">
        <v>781</v>
      </c>
    </row>
    <row r="678">
      <c r="A678" s="24" t="s">
        <v>3945</v>
      </c>
      <c r="C678" s="26">
        <v>35000.0</v>
      </c>
      <c r="E678" s="25" t="s">
        <v>4080</v>
      </c>
      <c r="F678" s="25" t="s">
        <v>150</v>
      </c>
    </row>
    <row r="679">
      <c r="A679" s="24" t="s">
        <v>3945</v>
      </c>
      <c r="C679" s="26">
        <v>35000.0</v>
      </c>
      <c r="E679" s="25" t="s">
        <v>3944</v>
      </c>
      <c r="F679" s="25" t="s">
        <v>161</v>
      </c>
    </row>
    <row r="680">
      <c r="A680" s="24" t="s">
        <v>3945</v>
      </c>
      <c r="C680" s="26">
        <v>35000.0</v>
      </c>
      <c r="E680" s="25" t="s">
        <v>3939</v>
      </c>
      <c r="F680" s="25" t="s">
        <v>184</v>
      </c>
    </row>
    <row r="681">
      <c r="A681" s="24" t="s">
        <v>3945</v>
      </c>
      <c r="C681" s="26">
        <v>70000.0</v>
      </c>
      <c r="E681" s="25" t="s">
        <v>3990</v>
      </c>
      <c r="F681" s="25" t="s">
        <v>1125</v>
      </c>
    </row>
    <row r="682">
      <c r="A682" s="24" t="s">
        <v>3945</v>
      </c>
      <c r="C682" s="26">
        <v>70000.0</v>
      </c>
      <c r="E682" s="25" t="s">
        <v>3946</v>
      </c>
      <c r="F682" s="25" t="s">
        <v>640</v>
      </c>
    </row>
    <row r="683">
      <c r="A683" s="24" t="s">
        <v>3945</v>
      </c>
      <c r="C683" s="26">
        <v>35000.0</v>
      </c>
      <c r="E683" s="25" t="s">
        <v>3946</v>
      </c>
      <c r="F683" s="25" t="s">
        <v>3702</v>
      </c>
    </row>
    <row r="684">
      <c r="A684" s="24" t="s">
        <v>3945</v>
      </c>
      <c r="C684" s="26">
        <v>70000.0</v>
      </c>
      <c r="E684" s="25" t="s">
        <v>3968</v>
      </c>
      <c r="F684" s="25" t="s">
        <v>610</v>
      </c>
    </row>
    <row r="685">
      <c r="A685" s="24" t="s">
        <v>3945</v>
      </c>
      <c r="C685" s="26">
        <v>35000.0</v>
      </c>
      <c r="E685" s="25" t="s">
        <v>3946</v>
      </c>
      <c r="F685" s="25" t="s">
        <v>4107</v>
      </c>
    </row>
    <row r="686">
      <c r="A686" s="24" t="s">
        <v>3945</v>
      </c>
      <c r="C686" s="26">
        <v>35000.0</v>
      </c>
      <c r="E686" s="25" t="s">
        <v>3983</v>
      </c>
      <c r="F686" s="25" t="s">
        <v>400</v>
      </c>
    </row>
    <row r="687">
      <c r="A687" s="24" t="s">
        <v>3945</v>
      </c>
      <c r="C687" s="26">
        <v>70000.0</v>
      </c>
      <c r="E687" s="25" t="s">
        <v>3946</v>
      </c>
      <c r="F687" s="25" t="s">
        <v>2491</v>
      </c>
    </row>
    <row r="688">
      <c r="A688" s="24" t="s">
        <v>3945</v>
      </c>
      <c r="C688" s="26">
        <v>70000.0</v>
      </c>
      <c r="E688" s="25" t="s">
        <v>3983</v>
      </c>
      <c r="F688" s="25" t="s">
        <v>853</v>
      </c>
    </row>
    <row r="689">
      <c r="A689" s="24" t="s">
        <v>3945</v>
      </c>
      <c r="C689" s="26">
        <v>35000.0</v>
      </c>
      <c r="E689" s="25" t="s">
        <v>3948</v>
      </c>
      <c r="F689" s="25" t="s">
        <v>521</v>
      </c>
    </row>
    <row r="690">
      <c r="A690" s="24" t="s">
        <v>3945</v>
      </c>
      <c r="C690" s="26">
        <v>35000.0</v>
      </c>
      <c r="E690" s="25" t="s">
        <v>3939</v>
      </c>
      <c r="F690" s="25" t="s">
        <v>395</v>
      </c>
    </row>
    <row r="691">
      <c r="A691" s="24" t="s">
        <v>3945</v>
      </c>
      <c r="C691" s="26">
        <v>70000.0</v>
      </c>
      <c r="E691" s="25" t="s">
        <v>3983</v>
      </c>
      <c r="F691" s="25" t="s">
        <v>721</v>
      </c>
    </row>
    <row r="692">
      <c r="A692" s="24" t="s">
        <v>3945</v>
      </c>
      <c r="C692" s="26">
        <v>70000.0</v>
      </c>
      <c r="E692" s="25" t="s">
        <v>3939</v>
      </c>
      <c r="F692" s="25" t="s">
        <v>4036</v>
      </c>
    </row>
    <row r="693">
      <c r="A693" s="24" t="s">
        <v>3945</v>
      </c>
      <c r="C693" s="26">
        <v>35000.0</v>
      </c>
      <c r="E693" s="25" t="s">
        <v>3941</v>
      </c>
      <c r="F693" s="25" t="s">
        <v>4522</v>
      </c>
    </row>
    <row r="694">
      <c r="A694" s="24" t="s">
        <v>3945</v>
      </c>
      <c r="C694" s="26">
        <v>70000.0</v>
      </c>
      <c r="E694" s="25" t="s">
        <v>3941</v>
      </c>
      <c r="F694" s="25" t="s">
        <v>2037</v>
      </c>
    </row>
    <row r="695">
      <c r="A695" s="24" t="s">
        <v>3945</v>
      </c>
      <c r="C695" s="26">
        <v>35000.0</v>
      </c>
      <c r="E695" s="25" t="s">
        <v>3990</v>
      </c>
      <c r="F695" s="25" t="s">
        <v>282</v>
      </c>
    </row>
    <row r="696">
      <c r="A696" s="24" t="s">
        <v>3945</v>
      </c>
      <c r="C696" s="26">
        <v>35000.0</v>
      </c>
      <c r="E696" s="25" t="s">
        <v>3990</v>
      </c>
      <c r="F696" s="25" t="s">
        <v>543</v>
      </c>
    </row>
    <row r="697">
      <c r="A697" s="24" t="s">
        <v>3945</v>
      </c>
      <c r="C697" s="26">
        <v>35000.0</v>
      </c>
      <c r="E697" s="25" t="s">
        <v>3948</v>
      </c>
      <c r="F697" s="25" t="s">
        <v>108</v>
      </c>
    </row>
    <row r="698">
      <c r="A698" s="24" t="s">
        <v>3945</v>
      </c>
      <c r="C698" s="26">
        <v>70000.0</v>
      </c>
      <c r="E698" s="25" t="s">
        <v>3939</v>
      </c>
      <c r="F698" s="25" t="s">
        <v>954</v>
      </c>
    </row>
    <row r="699">
      <c r="A699" s="24" t="s">
        <v>3945</v>
      </c>
      <c r="C699" s="26">
        <v>35000.0</v>
      </c>
      <c r="E699" s="25" t="s">
        <v>3946</v>
      </c>
      <c r="F699" s="25" t="s">
        <v>394</v>
      </c>
    </row>
    <row r="700">
      <c r="A700" s="24" t="s">
        <v>3945</v>
      </c>
      <c r="C700" s="26">
        <v>70000.0</v>
      </c>
      <c r="E700" s="25" t="s">
        <v>3948</v>
      </c>
      <c r="F700" s="25" t="s">
        <v>2503</v>
      </c>
    </row>
    <row r="701">
      <c r="A701" s="24" t="s">
        <v>3945</v>
      </c>
      <c r="C701" s="26">
        <v>70000.0</v>
      </c>
      <c r="E701" s="25" t="s">
        <v>3952</v>
      </c>
      <c r="F701" s="25" t="s">
        <v>4580</v>
      </c>
    </row>
    <row r="702">
      <c r="A702" s="24" t="s">
        <v>3945</v>
      </c>
      <c r="C702" s="26">
        <v>35000.0</v>
      </c>
      <c r="E702" s="25" t="s">
        <v>3941</v>
      </c>
      <c r="F702" s="25" t="s">
        <v>415</v>
      </c>
    </row>
    <row r="703">
      <c r="A703" s="24" t="s">
        <v>3945</v>
      </c>
      <c r="C703" s="26">
        <v>70000.0</v>
      </c>
      <c r="E703" s="25" t="s">
        <v>3946</v>
      </c>
      <c r="F703" s="25" t="s">
        <v>558</v>
      </c>
    </row>
    <row r="704">
      <c r="A704" s="24" t="s">
        <v>3945</v>
      </c>
      <c r="C704" s="26">
        <v>70000.0</v>
      </c>
      <c r="E704" s="25" t="s">
        <v>4139</v>
      </c>
      <c r="F704" s="25" t="s">
        <v>711</v>
      </c>
    </row>
    <row r="705">
      <c r="A705" s="24" t="s">
        <v>3945</v>
      </c>
      <c r="C705" s="26">
        <v>70000.0</v>
      </c>
      <c r="E705" s="25" t="s">
        <v>3990</v>
      </c>
      <c r="F705" s="25" t="s">
        <v>4583</v>
      </c>
    </row>
    <row r="706">
      <c r="A706" s="24" t="s">
        <v>3945</v>
      </c>
      <c r="C706" s="26">
        <v>70000.0</v>
      </c>
      <c r="E706" s="25" t="s">
        <v>4097</v>
      </c>
      <c r="F706" s="25" t="s">
        <v>4098</v>
      </c>
    </row>
    <row r="707">
      <c r="A707" s="24" t="s">
        <v>3945</v>
      </c>
      <c r="C707" s="26">
        <v>70000.0</v>
      </c>
      <c r="E707" s="25" t="s">
        <v>3948</v>
      </c>
      <c r="F707" s="25" t="s">
        <v>582</v>
      </c>
    </row>
    <row r="708">
      <c r="A708" s="24" t="s">
        <v>3945</v>
      </c>
      <c r="C708" s="26">
        <v>70000.0</v>
      </c>
      <c r="E708" s="25" t="s">
        <v>3948</v>
      </c>
      <c r="F708" s="25" t="s">
        <v>1731</v>
      </c>
    </row>
    <row r="709">
      <c r="A709" s="24" t="s">
        <v>3945</v>
      </c>
      <c r="C709" s="26">
        <v>70000.0</v>
      </c>
      <c r="E709" s="25" t="s">
        <v>3939</v>
      </c>
      <c r="F709" s="25" t="s">
        <v>959</v>
      </c>
    </row>
    <row r="710">
      <c r="A710" s="24" t="s">
        <v>3945</v>
      </c>
      <c r="C710" s="26">
        <v>70000.0</v>
      </c>
      <c r="E710" s="25" t="s">
        <v>3941</v>
      </c>
      <c r="F710" s="25" t="s">
        <v>565</v>
      </c>
    </row>
    <row r="711">
      <c r="A711" s="24" t="s">
        <v>3945</v>
      </c>
      <c r="C711" s="26">
        <v>35000.0</v>
      </c>
      <c r="E711" s="25" t="s">
        <v>3939</v>
      </c>
      <c r="F711" s="25" t="s">
        <v>1804</v>
      </c>
    </row>
    <row r="712">
      <c r="A712" s="24" t="s">
        <v>3945</v>
      </c>
      <c r="C712" s="26">
        <v>35000.0</v>
      </c>
      <c r="E712" s="25" t="s">
        <v>3941</v>
      </c>
      <c r="F712" s="25" t="s">
        <v>3706</v>
      </c>
    </row>
    <row r="713">
      <c r="A713" s="24" t="s">
        <v>3945</v>
      </c>
      <c r="C713" s="26">
        <v>35000.0</v>
      </c>
      <c r="E713" s="25" t="s">
        <v>3948</v>
      </c>
      <c r="F713" s="25" t="s">
        <v>205</v>
      </c>
    </row>
    <row r="714">
      <c r="A714" s="24" t="s">
        <v>3945</v>
      </c>
      <c r="C714" s="26">
        <v>35000.0</v>
      </c>
      <c r="E714" s="25" t="s">
        <v>3939</v>
      </c>
      <c r="F714" s="25" t="s">
        <v>431</v>
      </c>
    </row>
    <row r="715">
      <c r="A715" s="24" t="s">
        <v>3945</v>
      </c>
      <c r="C715" s="26">
        <v>35000.0</v>
      </c>
      <c r="E715" s="25" t="s">
        <v>3939</v>
      </c>
      <c r="F715" s="25" t="s">
        <v>4</v>
      </c>
    </row>
    <row r="716">
      <c r="A716" s="24" t="s">
        <v>3945</v>
      </c>
      <c r="C716" s="26">
        <v>70000.0</v>
      </c>
      <c r="E716" s="25" t="s">
        <v>3946</v>
      </c>
      <c r="F716" s="25" t="s">
        <v>1735</v>
      </c>
    </row>
    <row r="717">
      <c r="A717" s="24" t="s">
        <v>3945</v>
      </c>
      <c r="C717" s="26">
        <v>35000.0</v>
      </c>
      <c r="E717" s="25" t="s">
        <v>4417</v>
      </c>
      <c r="F717" s="25" t="s">
        <v>2333</v>
      </c>
    </row>
    <row r="718">
      <c r="A718" s="24" t="s">
        <v>3945</v>
      </c>
      <c r="C718" s="26">
        <v>70000.0</v>
      </c>
      <c r="E718" s="25" t="s">
        <v>4063</v>
      </c>
      <c r="F718" s="25" t="s">
        <v>639</v>
      </c>
    </row>
    <row r="719">
      <c r="A719" s="24" t="s">
        <v>3945</v>
      </c>
      <c r="C719" s="26">
        <v>70000.0</v>
      </c>
      <c r="E719" s="25" t="s">
        <v>4006</v>
      </c>
      <c r="F719" s="25" t="s">
        <v>4421</v>
      </c>
    </row>
    <row r="720">
      <c r="A720" s="24" t="s">
        <v>3945</v>
      </c>
      <c r="C720" s="26">
        <v>70000.0</v>
      </c>
      <c r="E720" s="25" t="s">
        <v>3990</v>
      </c>
      <c r="F720" s="25" t="s">
        <v>1695</v>
      </c>
    </row>
    <row r="721">
      <c r="A721" s="24" t="s">
        <v>3945</v>
      </c>
      <c r="C721" s="26">
        <v>35000.0</v>
      </c>
      <c r="E721" s="25" t="s">
        <v>4076</v>
      </c>
      <c r="F721" s="25" t="s">
        <v>143</v>
      </c>
    </row>
    <row r="722">
      <c r="A722" s="24" t="s">
        <v>3945</v>
      </c>
      <c r="C722" s="26">
        <v>35000.0</v>
      </c>
      <c r="E722" s="25" t="s">
        <v>3941</v>
      </c>
      <c r="F722" s="25" t="s">
        <v>4302</v>
      </c>
    </row>
    <row r="723">
      <c r="A723" s="24" t="s">
        <v>3945</v>
      </c>
      <c r="C723" s="26">
        <v>70000.0</v>
      </c>
      <c r="E723" s="25" t="s">
        <v>3948</v>
      </c>
      <c r="F723" s="25" t="s">
        <v>1096</v>
      </c>
    </row>
    <row r="724">
      <c r="A724" s="24" t="s">
        <v>3945</v>
      </c>
      <c r="C724" s="26">
        <v>35000.0</v>
      </c>
      <c r="E724" s="25" t="s">
        <v>3948</v>
      </c>
      <c r="F724" s="25" t="s">
        <v>213</v>
      </c>
    </row>
    <row r="725">
      <c r="A725" s="24" t="s">
        <v>3945</v>
      </c>
      <c r="C725" s="26">
        <v>70000.0</v>
      </c>
      <c r="E725" s="25" t="s">
        <v>4243</v>
      </c>
      <c r="F725" s="25" t="s">
        <v>875</v>
      </c>
    </row>
    <row r="726">
      <c r="A726" s="24" t="s">
        <v>3945</v>
      </c>
      <c r="C726" s="26">
        <v>70000.0</v>
      </c>
      <c r="E726" s="25" t="s">
        <v>4103</v>
      </c>
      <c r="F726" s="25" t="s">
        <v>673</v>
      </c>
    </row>
    <row r="727">
      <c r="A727" s="24" t="s">
        <v>3945</v>
      </c>
      <c r="C727" s="26">
        <v>70000.0</v>
      </c>
      <c r="E727" s="25" t="s">
        <v>3946</v>
      </c>
      <c r="F727" s="25" t="s">
        <v>2119</v>
      </c>
    </row>
    <row r="728">
      <c r="A728" s="24" t="s">
        <v>3945</v>
      </c>
      <c r="C728" s="26">
        <v>35000.0</v>
      </c>
      <c r="E728" s="25" t="s">
        <v>3941</v>
      </c>
      <c r="F728" s="25" t="s">
        <v>2877</v>
      </c>
    </row>
    <row r="729">
      <c r="A729" s="24" t="s">
        <v>3945</v>
      </c>
      <c r="C729" s="26">
        <v>70000.0</v>
      </c>
      <c r="E729" s="25" t="s">
        <v>3937</v>
      </c>
      <c r="F729" s="25" t="s">
        <v>4578</v>
      </c>
    </row>
    <row r="730">
      <c r="A730" s="24" t="s">
        <v>3945</v>
      </c>
      <c r="C730" s="26">
        <v>35000.0</v>
      </c>
      <c r="E730" s="25" t="s">
        <v>3946</v>
      </c>
      <c r="F730" s="25" t="s">
        <v>3289</v>
      </c>
    </row>
    <row r="731">
      <c r="A731" s="24" t="s">
        <v>3945</v>
      </c>
      <c r="C731" s="26">
        <v>70000.0</v>
      </c>
      <c r="E731" s="25" t="s">
        <v>3952</v>
      </c>
      <c r="F731" s="25" t="s">
        <v>770</v>
      </c>
    </row>
    <row r="732">
      <c r="A732" s="24" t="s">
        <v>3945</v>
      </c>
      <c r="C732" s="26">
        <v>35000.0</v>
      </c>
      <c r="E732" s="25" t="s">
        <v>3944</v>
      </c>
      <c r="F732" s="25" t="s">
        <v>288</v>
      </c>
    </row>
    <row r="733">
      <c r="A733" s="24" t="s">
        <v>3945</v>
      </c>
      <c r="C733" s="26">
        <v>70000.0</v>
      </c>
      <c r="E733" s="25" t="s">
        <v>3939</v>
      </c>
      <c r="F733" s="25" t="s">
        <v>1990</v>
      </c>
    </row>
    <row r="734">
      <c r="A734" s="24" t="s">
        <v>3945</v>
      </c>
      <c r="C734" s="26">
        <v>70000.0</v>
      </c>
      <c r="E734" s="25" t="s">
        <v>4116</v>
      </c>
      <c r="F734" s="25" t="s">
        <v>687</v>
      </c>
    </row>
    <row r="735">
      <c r="A735" s="24" t="s">
        <v>3945</v>
      </c>
      <c r="C735" s="26">
        <v>70000.0</v>
      </c>
      <c r="E735" s="25" t="s">
        <v>3941</v>
      </c>
      <c r="F735" s="25" t="s">
        <v>953</v>
      </c>
    </row>
    <row r="736">
      <c r="A736" s="24" t="s">
        <v>3945</v>
      </c>
      <c r="C736" s="26">
        <v>70000.0</v>
      </c>
      <c r="E736" s="25" t="s">
        <v>4296</v>
      </c>
      <c r="F736" s="25" t="s">
        <v>4295</v>
      </c>
    </row>
    <row r="737">
      <c r="A737" s="24" t="s">
        <v>3945</v>
      </c>
      <c r="C737" s="26">
        <v>35000.0</v>
      </c>
      <c r="E737" s="25" t="s">
        <v>3946</v>
      </c>
      <c r="F737" s="25" t="s">
        <v>53</v>
      </c>
    </row>
    <row r="738">
      <c r="A738" s="24" t="s">
        <v>3945</v>
      </c>
      <c r="C738" s="26">
        <v>70000.0</v>
      </c>
      <c r="E738" s="25" t="s">
        <v>3948</v>
      </c>
      <c r="F738" s="25" t="s">
        <v>4528</v>
      </c>
    </row>
    <row r="739">
      <c r="A739" s="24" t="s">
        <v>3945</v>
      </c>
      <c r="C739" s="26">
        <v>70000.0</v>
      </c>
      <c r="E739" s="25" t="s">
        <v>4162</v>
      </c>
      <c r="F739" s="25" t="s">
        <v>743</v>
      </c>
    </row>
    <row r="740">
      <c r="A740" s="24" t="s">
        <v>3945</v>
      </c>
      <c r="C740" s="26">
        <v>70000.0</v>
      </c>
      <c r="E740" s="25" t="s">
        <v>3946</v>
      </c>
      <c r="F740" s="25" t="s">
        <v>737</v>
      </c>
    </row>
    <row r="741">
      <c r="A741" s="24" t="s">
        <v>3945</v>
      </c>
      <c r="C741" s="26">
        <v>70000.0</v>
      </c>
      <c r="E741" s="25" t="s">
        <v>3948</v>
      </c>
      <c r="F741" s="25" t="s">
        <v>1553</v>
      </c>
    </row>
    <row r="742">
      <c r="A742" s="24" t="s">
        <v>3945</v>
      </c>
      <c r="C742" s="26">
        <v>35000.0</v>
      </c>
      <c r="E742" s="25" t="s">
        <v>3948</v>
      </c>
      <c r="F742" s="25" t="s">
        <v>352</v>
      </c>
    </row>
    <row r="743">
      <c r="A743" s="24" t="s">
        <v>3945</v>
      </c>
      <c r="B743" s="99"/>
      <c r="C743" s="26">
        <v>35000.0</v>
      </c>
      <c r="D743" s="100"/>
      <c r="E743" s="25" t="s">
        <v>3983</v>
      </c>
      <c r="F743" s="25" t="s">
        <v>4180</v>
      </c>
      <c r="G743" s="101"/>
    </row>
    <row r="744">
      <c r="A744" s="24" t="s">
        <v>3945</v>
      </c>
      <c r="C744" s="26">
        <v>70000.0</v>
      </c>
      <c r="E744" s="25" t="s">
        <v>3983</v>
      </c>
      <c r="F744" s="25" t="s">
        <v>757</v>
      </c>
    </row>
    <row r="745">
      <c r="A745" s="24" t="s">
        <v>3945</v>
      </c>
      <c r="C745" s="26">
        <v>70000.0</v>
      </c>
      <c r="E745" s="25" t="s">
        <v>4040</v>
      </c>
      <c r="F745" s="25" t="s">
        <v>615</v>
      </c>
    </row>
    <row r="746">
      <c r="A746" s="24" t="s">
        <v>3945</v>
      </c>
      <c r="C746" s="26">
        <v>35000.0</v>
      </c>
      <c r="E746" s="25" t="s">
        <v>4048</v>
      </c>
      <c r="F746" s="25" t="s">
        <v>195</v>
      </c>
    </row>
    <row r="747">
      <c r="A747" s="24" t="s">
        <v>3945</v>
      </c>
      <c r="C747" s="26">
        <v>35000.0</v>
      </c>
      <c r="E747" s="25" t="s">
        <v>3983</v>
      </c>
      <c r="F747" s="25" t="s">
        <v>176</v>
      </c>
    </row>
    <row r="748">
      <c r="A748" s="24" t="s">
        <v>3945</v>
      </c>
      <c r="C748" s="26">
        <v>35000.0</v>
      </c>
      <c r="E748" s="25" t="s">
        <v>4041</v>
      </c>
      <c r="F748" s="25" t="s">
        <v>2824</v>
      </c>
    </row>
    <row r="749">
      <c r="A749" s="24" t="s">
        <v>3945</v>
      </c>
      <c r="C749" s="26">
        <v>70000.0</v>
      </c>
      <c r="E749" s="25" t="s">
        <v>3941</v>
      </c>
      <c r="F749" s="25" t="s">
        <v>1200</v>
      </c>
    </row>
    <row r="750">
      <c r="A750" s="24" t="s">
        <v>3945</v>
      </c>
      <c r="C750" s="26">
        <v>35000.0</v>
      </c>
      <c r="E750" s="25" t="s">
        <v>3946</v>
      </c>
      <c r="F750" s="25" t="s">
        <v>552</v>
      </c>
    </row>
    <row r="751">
      <c r="A751" s="24" t="s">
        <v>3945</v>
      </c>
      <c r="C751" s="26">
        <v>70000.0</v>
      </c>
      <c r="E751" s="25" t="s">
        <v>3983</v>
      </c>
      <c r="F751" s="25" t="s">
        <v>912</v>
      </c>
    </row>
    <row r="752">
      <c r="A752" s="24" t="s">
        <v>3945</v>
      </c>
      <c r="C752" s="26">
        <v>70000.0</v>
      </c>
      <c r="E752" s="25" t="s">
        <v>4258</v>
      </c>
      <c r="F752" s="25" t="s">
        <v>2639</v>
      </c>
    </row>
    <row r="753">
      <c r="A753" s="24" t="s">
        <v>3945</v>
      </c>
      <c r="C753" s="26">
        <v>35000.0</v>
      </c>
      <c r="E753" s="25" t="s">
        <v>3983</v>
      </c>
      <c r="F753" s="25" t="s">
        <v>2355</v>
      </c>
    </row>
    <row r="754">
      <c r="A754" s="24" t="s">
        <v>3945</v>
      </c>
      <c r="C754" s="26">
        <v>35000.0</v>
      </c>
      <c r="E754" s="25" t="s">
        <v>3983</v>
      </c>
      <c r="F754" s="25" t="s">
        <v>249</v>
      </c>
    </row>
    <row r="755">
      <c r="A755" s="24" t="s">
        <v>3945</v>
      </c>
      <c r="C755" s="26">
        <v>70000.0</v>
      </c>
      <c r="E755" s="25" t="s">
        <v>3946</v>
      </c>
      <c r="F755" s="25" t="s">
        <v>597</v>
      </c>
    </row>
    <row r="756">
      <c r="A756" s="24" t="s">
        <v>3945</v>
      </c>
      <c r="C756" s="26">
        <v>70000.0</v>
      </c>
      <c r="E756" s="25" t="s">
        <v>3946</v>
      </c>
      <c r="F756" s="25" t="s">
        <v>4398</v>
      </c>
    </row>
    <row r="757">
      <c r="A757" s="24" t="s">
        <v>3945</v>
      </c>
      <c r="C757" s="26">
        <v>35000.0</v>
      </c>
      <c r="E757" s="25" t="s">
        <v>3983</v>
      </c>
      <c r="F757" s="25" t="s">
        <v>2101</v>
      </c>
    </row>
    <row r="758">
      <c r="A758" s="24" t="s">
        <v>3945</v>
      </c>
      <c r="C758" s="26">
        <v>70000.0</v>
      </c>
      <c r="E758" s="25" t="s">
        <v>3983</v>
      </c>
      <c r="F758" s="25" t="s">
        <v>1187</v>
      </c>
    </row>
    <row r="759">
      <c r="A759" s="24" t="s">
        <v>3945</v>
      </c>
      <c r="C759" s="26">
        <v>70000.0</v>
      </c>
      <c r="E759" s="25" t="s">
        <v>3948</v>
      </c>
      <c r="F759" s="25" t="s">
        <v>1256</v>
      </c>
    </row>
    <row r="760">
      <c r="A760" s="24" t="s">
        <v>3945</v>
      </c>
      <c r="C760" s="26">
        <v>70000.0</v>
      </c>
      <c r="E760" s="25" t="s">
        <v>3983</v>
      </c>
      <c r="F760" s="25" t="s">
        <v>1959</v>
      </c>
    </row>
    <row r="761">
      <c r="A761" s="24" t="s">
        <v>3945</v>
      </c>
      <c r="C761" s="26">
        <v>35000.0</v>
      </c>
      <c r="E761" s="25" t="s">
        <v>4025</v>
      </c>
      <c r="F761" s="25" t="s">
        <v>77</v>
      </c>
    </row>
    <row r="762">
      <c r="A762" s="24" t="s">
        <v>3945</v>
      </c>
      <c r="C762" s="26">
        <v>35000.0</v>
      </c>
      <c r="E762" s="25" t="s">
        <v>3946</v>
      </c>
      <c r="F762" s="25" t="s">
        <v>96</v>
      </c>
    </row>
    <row r="763">
      <c r="A763" s="24" t="s">
        <v>3945</v>
      </c>
      <c r="C763" s="26">
        <v>35000.0</v>
      </c>
      <c r="E763" s="25" t="s">
        <v>3983</v>
      </c>
      <c r="F763" s="25" t="s">
        <v>2911</v>
      </c>
    </row>
    <row r="764">
      <c r="A764" s="24" t="s">
        <v>3945</v>
      </c>
      <c r="C764" s="26">
        <v>35000.0</v>
      </c>
      <c r="E764" s="25" t="s">
        <v>3948</v>
      </c>
      <c r="F764" s="25" t="s">
        <v>252</v>
      </c>
    </row>
    <row r="765">
      <c r="A765" s="24" t="s">
        <v>3945</v>
      </c>
      <c r="C765" s="26">
        <v>35000.0</v>
      </c>
      <c r="E765" s="25" t="s">
        <v>3937</v>
      </c>
      <c r="F765" s="25" t="s">
        <v>242</v>
      </c>
    </row>
    <row r="766">
      <c r="A766" s="24" t="s">
        <v>3945</v>
      </c>
      <c r="C766" s="26">
        <v>70000.0</v>
      </c>
      <c r="E766" s="25" t="s">
        <v>3948</v>
      </c>
      <c r="F766" s="25" t="s">
        <v>873</v>
      </c>
    </row>
    <row r="767">
      <c r="A767" s="24" t="s">
        <v>3945</v>
      </c>
      <c r="C767" s="26">
        <v>70000.0</v>
      </c>
      <c r="E767" s="25" t="s">
        <v>3946</v>
      </c>
      <c r="F767" s="25" t="s">
        <v>1241</v>
      </c>
    </row>
    <row r="768">
      <c r="A768" s="24" t="s">
        <v>3945</v>
      </c>
      <c r="C768" s="26">
        <v>70000.0</v>
      </c>
      <c r="E768" s="25" t="s">
        <v>3941</v>
      </c>
      <c r="F768" s="25" t="s">
        <v>588</v>
      </c>
    </row>
    <row r="769">
      <c r="A769" s="24" t="s">
        <v>3945</v>
      </c>
      <c r="C769" s="26">
        <v>70000.0</v>
      </c>
      <c r="E769" s="25" t="s">
        <v>3948</v>
      </c>
      <c r="F769" s="25" t="s">
        <v>4254</v>
      </c>
    </row>
    <row r="770">
      <c r="A770" s="24" t="s">
        <v>3945</v>
      </c>
      <c r="C770" s="26">
        <v>70000.0</v>
      </c>
      <c r="E770" s="25" t="s">
        <v>4464</v>
      </c>
      <c r="F770" s="25" t="s">
        <v>1077</v>
      </c>
    </row>
    <row r="771">
      <c r="A771" s="24" t="s">
        <v>3945</v>
      </c>
      <c r="C771" s="26">
        <v>35000.0</v>
      </c>
      <c r="E771" s="25" t="s">
        <v>3944</v>
      </c>
      <c r="F771" s="25" t="s">
        <v>234</v>
      </c>
    </row>
    <row r="772">
      <c r="A772" s="24" t="s">
        <v>3945</v>
      </c>
      <c r="C772" s="26">
        <v>35000.0</v>
      </c>
      <c r="E772" s="25" t="s">
        <v>4009</v>
      </c>
      <c r="F772" s="25" t="s">
        <v>495</v>
      </c>
    </row>
    <row r="773">
      <c r="A773" s="24" t="s">
        <v>3945</v>
      </c>
      <c r="C773" s="26">
        <v>35000.0</v>
      </c>
      <c r="E773" s="25" t="s">
        <v>3983</v>
      </c>
      <c r="F773" s="25" t="s">
        <v>494</v>
      </c>
    </row>
    <row r="774">
      <c r="A774" s="24" t="s">
        <v>3945</v>
      </c>
      <c r="C774" s="26">
        <v>70000.0</v>
      </c>
      <c r="E774" s="25" t="s">
        <v>3983</v>
      </c>
      <c r="F774" s="25" t="s">
        <v>1224</v>
      </c>
    </row>
    <row r="775">
      <c r="A775" s="24" t="s">
        <v>3945</v>
      </c>
      <c r="C775" s="26">
        <v>35000.0</v>
      </c>
      <c r="E775" s="25" t="s">
        <v>4041</v>
      </c>
      <c r="F775" s="25" t="s">
        <v>4492</v>
      </c>
    </row>
    <row r="776">
      <c r="A776" s="24" t="s">
        <v>3945</v>
      </c>
      <c r="C776" s="26">
        <v>35000.0</v>
      </c>
      <c r="E776" s="25" t="s">
        <v>3946</v>
      </c>
      <c r="F776" s="25" t="s">
        <v>292</v>
      </c>
    </row>
    <row r="777">
      <c r="A777" s="24" t="s">
        <v>3945</v>
      </c>
      <c r="C777" s="26">
        <v>35000.0</v>
      </c>
      <c r="E777" s="25" t="s">
        <v>3983</v>
      </c>
      <c r="F777" s="25" t="s">
        <v>3982</v>
      </c>
    </row>
    <row r="778">
      <c r="A778" s="24" t="s">
        <v>3945</v>
      </c>
      <c r="C778" s="26">
        <v>35000.0</v>
      </c>
      <c r="E778" s="25" t="s">
        <v>4237</v>
      </c>
      <c r="F778" s="25" t="s">
        <v>348</v>
      </c>
    </row>
    <row r="779">
      <c r="A779" s="24" t="s">
        <v>3945</v>
      </c>
      <c r="C779" s="26">
        <v>70000.0</v>
      </c>
      <c r="E779" s="25" t="s">
        <v>3983</v>
      </c>
      <c r="F779" s="25" t="s">
        <v>974</v>
      </c>
    </row>
    <row r="780">
      <c r="A780" s="24" t="s">
        <v>3945</v>
      </c>
      <c r="C780" s="26">
        <v>70000.0</v>
      </c>
      <c r="E780" s="25" t="s">
        <v>4094</v>
      </c>
      <c r="F780" s="25" t="s">
        <v>664</v>
      </c>
    </row>
    <row r="781">
      <c r="A781" s="24" t="s">
        <v>3945</v>
      </c>
      <c r="C781" s="26">
        <v>35000.0</v>
      </c>
      <c r="E781" s="25" t="s">
        <v>3948</v>
      </c>
      <c r="F781" s="25" t="s">
        <v>3794</v>
      </c>
    </row>
    <row r="782">
      <c r="A782" s="24" t="s">
        <v>3945</v>
      </c>
      <c r="C782" s="26">
        <v>35000.0</v>
      </c>
      <c r="E782" s="25" t="s">
        <v>3946</v>
      </c>
      <c r="F782" s="25" t="s">
        <v>361</v>
      </c>
    </row>
    <row r="783">
      <c r="A783" s="24" t="s">
        <v>3945</v>
      </c>
      <c r="C783" s="26">
        <v>35000.0</v>
      </c>
      <c r="E783" s="25" t="s">
        <v>4223</v>
      </c>
      <c r="F783" s="25" t="s">
        <v>336</v>
      </c>
    </row>
    <row r="784">
      <c r="A784" s="24" t="s">
        <v>3945</v>
      </c>
      <c r="C784" s="26">
        <v>70000.0</v>
      </c>
      <c r="E784" s="25" t="s">
        <v>3939</v>
      </c>
      <c r="F784" s="25" t="s">
        <v>4332</v>
      </c>
    </row>
    <row r="785">
      <c r="A785" s="24" t="s">
        <v>3945</v>
      </c>
      <c r="C785" s="26">
        <v>35000.0</v>
      </c>
      <c r="E785" s="25" t="s">
        <v>3946</v>
      </c>
      <c r="F785" s="25" t="s">
        <v>496</v>
      </c>
    </row>
    <row r="786">
      <c r="A786" s="24" t="s">
        <v>3945</v>
      </c>
      <c r="C786" s="26">
        <v>70000.0</v>
      </c>
      <c r="E786" s="25" t="s">
        <v>4132</v>
      </c>
      <c r="F786" s="25" t="s">
        <v>709</v>
      </c>
    </row>
    <row r="787">
      <c r="A787" s="24" t="s">
        <v>3945</v>
      </c>
      <c r="C787" s="26">
        <v>35000.0</v>
      </c>
      <c r="E787" s="25" t="s">
        <v>3939</v>
      </c>
      <c r="F787" s="25" t="s">
        <v>4454</v>
      </c>
    </row>
    <row r="788">
      <c r="A788" s="24" t="s">
        <v>3945</v>
      </c>
      <c r="C788" s="26">
        <v>70000.0</v>
      </c>
      <c r="E788" s="25" t="s">
        <v>3946</v>
      </c>
      <c r="F788" s="25" t="s">
        <v>2670</v>
      </c>
    </row>
    <row r="789">
      <c r="A789" s="24" t="s">
        <v>3945</v>
      </c>
      <c r="C789" s="26">
        <v>70000.0</v>
      </c>
      <c r="E789" s="25" t="s">
        <v>3983</v>
      </c>
      <c r="F789" s="25" t="s">
        <v>793</v>
      </c>
    </row>
    <row r="790">
      <c r="A790" s="24" t="s">
        <v>3945</v>
      </c>
      <c r="C790" s="26">
        <v>70000.0</v>
      </c>
      <c r="E790" s="25" t="s">
        <v>3983</v>
      </c>
      <c r="F790" s="25" t="s">
        <v>4439</v>
      </c>
    </row>
    <row r="791">
      <c r="A791" s="24" t="s">
        <v>3945</v>
      </c>
      <c r="C791" s="26">
        <v>35000.0</v>
      </c>
      <c r="E791" s="25" t="s">
        <v>3983</v>
      </c>
      <c r="F791" s="25" t="s">
        <v>3042</v>
      </c>
    </row>
    <row r="792">
      <c r="A792" s="24" t="s">
        <v>3945</v>
      </c>
      <c r="C792" s="26">
        <v>35000.0</v>
      </c>
      <c r="E792" s="25" t="s">
        <v>3939</v>
      </c>
      <c r="F792" s="25" t="s">
        <v>411</v>
      </c>
    </row>
    <row r="793">
      <c r="A793" s="24" t="s">
        <v>3945</v>
      </c>
      <c r="C793" s="26">
        <v>70000.0</v>
      </c>
      <c r="E793" s="25" t="s">
        <v>3946</v>
      </c>
      <c r="F793" s="25" t="s">
        <v>2132</v>
      </c>
    </row>
    <row r="794">
      <c r="A794" s="24" t="s">
        <v>3945</v>
      </c>
      <c r="C794" s="26">
        <v>35000.0</v>
      </c>
      <c r="E794" s="25" t="s">
        <v>3983</v>
      </c>
      <c r="F794" s="25" t="s">
        <v>338</v>
      </c>
    </row>
    <row r="795">
      <c r="A795" s="24" t="s">
        <v>3940</v>
      </c>
      <c r="C795" s="26">
        <v>35000.0</v>
      </c>
      <c r="E795" s="25" t="s">
        <v>4453</v>
      </c>
      <c r="F795" s="25" t="s">
        <v>320</v>
      </c>
    </row>
    <row r="796">
      <c r="A796" s="24" t="s">
        <v>3940</v>
      </c>
      <c r="C796" s="26">
        <v>35000.0</v>
      </c>
      <c r="E796" s="25" t="s">
        <v>3961</v>
      </c>
      <c r="F796" s="25" t="s">
        <v>279</v>
      </c>
    </row>
    <row r="797">
      <c r="A797" s="24" t="s">
        <v>3940</v>
      </c>
      <c r="C797" s="26">
        <v>35000.0</v>
      </c>
      <c r="E797" s="25" t="s">
        <v>3944</v>
      </c>
      <c r="F797" s="25" t="s">
        <v>362</v>
      </c>
    </row>
    <row r="798">
      <c r="A798" s="24" t="s">
        <v>3940</v>
      </c>
      <c r="C798" s="26">
        <v>70000.0</v>
      </c>
      <c r="E798" s="25" t="s">
        <v>3983</v>
      </c>
      <c r="F798" s="25" t="s">
        <v>821</v>
      </c>
    </row>
    <row r="799">
      <c r="A799" s="24" t="s">
        <v>3940</v>
      </c>
      <c r="C799" s="26">
        <v>35000.0</v>
      </c>
      <c r="E799" s="25" t="s">
        <v>4185</v>
      </c>
      <c r="F799" s="25" t="s">
        <v>286</v>
      </c>
    </row>
    <row r="800">
      <c r="A800" s="24" t="s">
        <v>3940</v>
      </c>
      <c r="C800" s="26">
        <v>35000.0</v>
      </c>
      <c r="E800" s="25" t="s">
        <v>3983</v>
      </c>
      <c r="F800" s="25" t="s">
        <v>172</v>
      </c>
    </row>
    <row r="801">
      <c r="A801" s="24" t="s">
        <v>3940</v>
      </c>
      <c r="C801" s="26">
        <v>35000.0</v>
      </c>
      <c r="E801" s="25" t="s">
        <v>3941</v>
      </c>
      <c r="F801" s="25" t="s">
        <v>106</v>
      </c>
    </row>
    <row r="802">
      <c r="A802" s="24" t="s">
        <v>3940</v>
      </c>
      <c r="C802" s="26">
        <v>35000.0</v>
      </c>
      <c r="E802" s="25" t="s">
        <v>3948</v>
      </c>
      <c r="F802" s="25" t="s">
        <v>53</v>
      </c>
    </row>
    <row r="803">
      <c r="A803" s="24" t="s">
        <v>3940</v>
      </c>
      <c r="C803" s="26">
        <v>70000.0</v>
      </c>
      <c r="E803" s="25" t="s">
        <v>3948</v>
      </c>
      <c r="F803" s="25" t="s">
        <v>4486</v>
      </c>
    </row>
    <row r="804">
      <c r="A804" s="24" t="s">
        <v>3940</v>
      </c>
      <c r="C804" s="26">
        <v>35000.0</v>
      </c>
      <c r="E804" s="25" t="s">
        <v>3952</v>
      </c>
      <c r="F804" s="25" t="s">
        <v>2875</v>
      </c>
    </row>
    <row r="805">
      <c r="A805" s="24" t="s">
        <v>3940</v>
      </c>
      <c r="C805" s="26">
        <v>70000.0</v>
      </c>
      <c r="E805" s="25" t="s">
        <v>4006</v>
      </c>
      <c r="F805" s="25" t="s">
        <v>833</v>
      </c>
    </row>
    <row r="806">
      <c r="A806" s="24" t="s">
        <v>3940</v>
      </c>
      <c r="C806" s="26">
        <v>35000.0</v>
      </c>
      <c r="E806" s="25" t="s">
        <v>4048</v>
      </c>
      <c r="F806" s="25" t="s">
        <v>3114</v>
      </c>
    </row>
    <row r="807">
      <c r="A807" s="24" t="s">
        <v>3940</v>
      </c>
      <c r="C807" s="26">
        <v>70000.0</v>
      </c>
      <c r="E807" s="25" t="s">
        <v>3946</v>
      </c>
      <c r="F807" s="25" t="s">
        <v>4311</v>
      </c>
    </row>
    <row r="808">
      <c r="A808" s="24" t="s">
        <v>3940</v>
      </c>
      <c r="C808" s="26">
        <v>35000.0</v>
      </c>
      <c r="E808" s="25" t="s">
        <v>3946</v>
      </c>
      <c r="F808" s="25" t="s">
        <v>4412</v>
      </c>
    </row>
    <row r="809">
      <c r="A809" s="24" t="s">
        <v>3940</v>
      </c>
      <c r="C809" s="26">
        <v>35000.0</v>
      </c>
      <c r="E809" s="25" t="s">
        <v>3948</v>
      </c>
      <c r="F809" s="25" t="s">
        <v>527</v>
      </c>
    </row>
    <row r="810">
      <c r="A810" s="24" t="s">
        <v>3940</v>
      </c>
      <c r="C810" s="26">
        <v>70000.0</v>
      </c>
      <c r="E810" s="25" t="s">
        <v>3941</v>
      </c>
      <c r="F810" s="25" t="s">
        <v>2021</v>
      </c>
    </row>
    <row r="811">
      <c r="A811" s="24" t="s">
        <v>3940</v>
      </c>
      <c r="C811" s="26">
        <v>35000.0</v>
      </c>
      <c r="E811" s="25" t="s">
        <v>3983</v>
      </c>
      <c r="F811" s="25" t="s">
        <v>436</v>
      </c>
    </row>
    <row r="812">
      <c r="A812" s="24" t="s">
        <v>3940</v>
      </c>
      <c r="C812" s="26">
        <v>70000.0</v>
      </c>
      <c r="E812" s="25" t="s">
        <v>3983</v>
      </c>
      <c r="F812" s="25" t="s">
        <v>601</v>
      </c>
    </row>
    <row r="813">
      <c r="A813" s="24" t="s">
        <v>3940</v>
      </c>
      <c r="C813" s="26">
        <v>70000.0</v>
      </c>
      <c r="E813" s="25" t="s">
        <v>3990</v>
      </c>
      <c r="F813" s="25" t="s">
        <v>4490</v>
      </c>
    </row>
    <row r="814">
      <c r="A814" s="24" t="s">
        <v>3940</v>
      </c>
      <c r="C814" s="26">
        <v>70000.0</v>
      </c>
      <c r="E814" s="25" t="s">
        <v>3983</v>
      </c>
      <c r="F814" s="25" t="s">
        <v>4575</v>
      </c>
    </row>
    <row r="815">
      <c r="A815" s="24" t="s">
        <v>3940</v>
      </c>
      <c r="C815" s="26">
        <v>70000.0</v>
      </c>
      <c r="E815" s="25" t="s">
        <v>4046</v>
      </c>
      <c r="F815" s="25" t="s">
        <v>1671</v>
      </c>
    </row>
    <row r="816">
      <c r="A816" s="24" t="s">
        <v>3940</v>
      </c>
      <c r="C816" s="26">
        <v>35000.0</v>
      </c>
      <c r="E816" s="25" t="s">
        <v>4117</v>
      </c>
      <c r="F816" s="25" t="s">
        <v>199</v>
      </c>
    </row>
    <row r="817">
      <c r="A817" s="24" t="s">
        <v>3940</v>
      </c>
      <c r="C817" s="26">
        <v>35000.0</v>
      </c>
      <c r="E817" s="25" t="s">
        <v>3937</v>
      </c>
      <c r="F817" s="25" t="s">
        <v>4359</v>
      </c>
    </row>
    <row r="818">
      <c r="A818" s="24" t="s">
        <v>3940</v>
      </c>
      <c r="C818" s="26">
        <v>35000.0</v>
      </c>
      <c r="E818" s="25" t="s">
        <v>3939</v>
      </c>
      <c r="F818" s="25" t="s">
        <v>2597</v>
      </c>
    </row>
    <row r="819">
      <c r="A819" s="24" t="s">
        <v>3940</v>
      </c>
      <c r="C819" s="26">
        <v>35000.0</v>
      </c>
      <c r="E819" s="25" t="s">
        <v>4041</v>
      </c>
      <c r="F819" s="25" t="s">
        <v>2612</v>
      </c>
    </row>
    <row r="820">
      <c r="A820" s="24" t="s">
        <v>3940</v>
      </c>
      <c r="C820" s="26">
        <v>70000.0</v>
      </c>
      <c r="E820" s="25" t="s">
        <v>3948</v>
      </c>
      <c r="F820" s="25" t="s">
        <v>3947</v>
      </c>
    </row>
    <row r="821">
      <c r="A821" s="24" t="s">
        <v>3940</v>
      </c>
      <c r="C821" s="26">
        <v>35000.0</v>
      </c>
      <c r="E821" s="25" t="s">
        <v>3937</v>
      </c>
      <c r="F821" s="25" t="s">
        <v>396</v>
      </c>
    </row>
    <row r="822">
      <c r="A822" s="24" t="s">
        <v>3940</v>
      </c>
      <c r="C822" s="26">
        <v>35000.0</v>
      </c>
      <c r="E822" s="25" t="s">
        <v>3941</v>
      </c>
      <c r="F822" s="25" t="s">
        <v>795</v>
      </c>
    </row>
    <row r="823">
      <c r="A823" s="24" t="s">
        <v>3940</v>
      </c>
      <c r="C823" s="26">
        <v>35000.0</v>
      </c>
      <c r="E823" s="25" t="s">
        <v>3983</v>
      </c>
      <c r="F823" s="25" t="s">
        <v>2860</v>
      </c>
    </row>
    <row r="824">
      <c r="A824" s="24" t="s">
        <v>3940</v>
      </c>
      <c r="C824" s="26">
        <v>35000.0</v>
      </c>
      <c r="E824" s="25" t="s">
        <v>3983</v>
      </c>
      <c r="F824" s="25" t="s">
        <v>218</v>
      </c>
    </row>
    <row r="825">
      <c r="A825" s="24" t="s">
        <v>3940</v>
      </c>
      <c r="C825" s="26">
        <v>70000.0</v>
      </c>
      <c r="E825" s="25" t="s">
        <v>3941</v>
      </c>
      <c r="F825" s="25" t="s">
        <v>1210</v>
      </c>
    </row>
    <row r="826">
      <c r="A826" s="24" t="s">
        <v>3940</v>
      </c>
      <c r="C826" s="26">
        <v>35000.0</v>
      </c>
      <c r="E826" s="25" t="s">
        <v>3941</v>
      </c>
      <c r="F826" s="25" t="s">
        <v>125</v>
      </c>
    </row>
    <row r="827">
      <c r="A827" s="24" t="s">
        <v>3940</v>
      </c>
      <c r="C827" s="26">
        <v>70000.0</v>
      </c>
      <c r="E827" s="25" t="s">
        <v>3983</v>
      </c>
      <c r="F827" s="25" t="s">
        <v>882</v>
      </c>
    </row>
    <row r="828">
      <c r="A828" s="24" t="s">
        <v>3940</v>
      </c>
      <c r="C828" s="26">
        <v>35000.0</v>
      </c>
      <c r="E828" s="25" t="s">
        <v>3939</v>
      </c>
      <c r="F828" s="25" t="s">
        <v>61</v>
      </c>
    </row>
    <row r="829">
      <c r="A829" s="24" t="s">
        <v>3940</v>
      </c>
      <c r="C829" s="26">
        <v>35000.0</v>
      </c>
      <c r="E829" s="25" t="s">
        <v>3944</v>
      </c>
      <c r="F829" s="25" t="s">
        <v>248</v>
      </c>
    </row>
    <row r="830">
      <c r="A830" s="24" t="s">
        <v>3940</v>
      </c>
      <c r="C830" s="26">
        <v>35000.0</v>
      </c>
      <c r="E830" s="25" t="s">
        <v>3948</v>
      </c>
      <c r="F830" s="25" t="s">
        <v>298</v>
      </c>
    </row>
    <row r="831">
      <c r="A831" s="24" t="s">
        <v>3940</v>
      </c>
      <c r="C831" s="26">
        <v>70000.0</v>
      </c>
      <c r="E831" s="25" t="s">
        <v>4305</v>
      </c>
      <c r="F831" s="25" t="s">
        <v>899</v>
      </c>
    </row>
    <row r="832">
      <c r="A832" s="24" t="s">
        <v>3940</v>
      </c>
      <c r="C832" s="26">
        <v>70000.0</v>
      </c>
      <c r="E832" s="25" t="s">
        <v>3948</v>
      </c>
      <c r="F832" s="25" t="s">
        <v>572</v>
      </c>
    </row>
    <row r="833">
      <c r="A833" s="24" t="s">
        <v>3940</v>
      </c>
      <c r="C833" s="26">
        <v>70000.0</v>
      </c>
      <c r="E833" s="25" t="s">
        <v>4155</v>
      </c>
      <c r="F833" s="25" t="s">
        <v>741</v>
      </c>
    </row>
    <row r="834">
      <c r="A834" s="24" t="s">
        <v>3940</v>
      </c>
      <c r="C834" s="26">
        <v>35000.0</v>
      </c>
      <c r="E834" s="25" t="s">
        <v>3948</v>
      </c>
      <c r="F834" s="25" t="s">
        <v>64</v>
      </c>
    </row>
    <row r="835">
      <c r="A835" s="24" t="s">
        <v>3940</v>
      </c>
      <c r="C835" s="26">
        <v>35000.0</v>
      </c>
      <c r="E835" s="25" t="s">
        <v>3990</v>
      </c>
      <c r="F835" s="25" t="s">
        <v>467</v>
      </c>
    </row>
    <row r="836">
      <c r="A836" s="24" t="s">
        <v>3940</v>
      </c>
      <c r="C836" s="26">
        <v>35000.0</v>
      </c>
      <c r="E836" s="25" t="s">
        <v>4214</v>
      </c>
      <c r="F836" s="25" t="s">
        <v>381</v>
      </c>
    </row>
    <row r="837">
      <c r="A837" s="24" t="s">
        <v>3940</v>
      </c>
      <c r="C837" s="26">
        <v>70000.0</v>
      </c>
      <c r="E837" s="25" t="s">
        <v>3948</v>
      </c>
      <c r="F837" s="25" t="s">
        <v>952</v>
      </c>
    </row>
    <row r="838">
      <c r="A838" s="24" t="s">
        <v>3940</v>
      </c>
      <c r="C838" s="26">
        <v>35000.0</v>
      </c>
      <c r="E838" s="25" t="s">
        <v>3948</v>
      </c>
      <c r="F838" s="25" t="s">
        <v>501</v>
      </c>
    </row>
    <row r="839">
      <c r="A839" s="24" t="s">
        <v>3940</v>
      </c>
      <c r="C839" s="26">
        <v>35000.0</v>
      </c>
      <c r="E839" s="25" t="s">
        <v>3990</v>
      </c>
      <c r="F839" s="25" t="s">
        <v>2869</v>
      </c>
    </row>
    <row r="840">
      <c r="A840" s="24" t="s">
        <v>3940</v>
      </c>
      <c r="C840" s="26">
        <v>35000.0</v>
      </c>
      <c r="E840" s="25" t="s">
        <v>3983</v>
      </c>
      <c r="F840" s="25" t="s">
        <v>3165</v>
      </c>
    </row>
    <row r="841">
      <c r="A841" s="24" t="s">
        <v>3940</v>
      </c>
      <c r="C841" s="26">
        <v>35000.0</v>
      </c>
      <c r="E841" s="25" t="s">
        <v>3941</v>
      </c>
      <c r="F841" s="25" t="s">
        <v>159</v>
      </c>
    </row>
    <row r="842">
      <c r="A842" s="24" t="s">
        <v>3940</v>
      </c>
      <c r="C842" s="26">
        <v>70000.0</v>
      </c>
      <c r="E842" s="25" t="s">
        <v>3948</v>
      </c>
      <c r="F842" s="25" t="s">
        <v>2380</v>
      </c>
    </row>
    <row r="843">
      <c r="A843" s="24" t="s">
        <v>3940</v>
      </c>
      <c r="C843" s="26">
        <v>35000.0</v>
      </c>
      <c r="E843" s="25" t="s">
        <v>3946</v>
      </c>
      <c r="F843" s="25" t="s">
        <v>475</v>
      </c>
    </row>
    <row r="844">
      <c r="A844" s="24" t="s">
        <v>3940</v>
      </c>
      <c r="C844" s="26">
        <v>35000.0</v>
      </c>
      <c r="E844" s="25" t="s">
        <v>3941</v>
      </c>
      <c r="F844" s="25" t="s">
        <v>3652</v>
      </c>
    </row>
    <row r="845">
      <c r="A845" s="24" t="s">
        <v>3940</v>
      </c>
      <c r="C845" s="26">
        <v>35000.0</v>
      </c>
      <c r="E845" s="25" t="s">
        <v>3948</v>
      </c>
      <c r="F845" s="25" t="s">
        <v>2933</v>
      </c>
    </row>
    <row r="846">
      <c r="A846" s="24" t="s">
        <v>3940</v>
      </c>
      <c r="C846" s="26">
        <v>35000.0</v>
      </c>
      <c r="E846" s="25" t="s">
        <v>4409</v>
      </c>
      <c r="F846" s="25" t="s">
        <v>131</v>
      </c>
    </row>
    <row r="847">
      <c r="A847" s="24" t="s">
        <v>3940</v>
      </c>
      <c r="C847" s="26">
        <v>35000.0</v>
      </c>
      <c r="E847" s="25" t="s">
        <v>3952</v>
      </c>
      <c r="F847" s="25" t="s">
        <v>158</v>
      </c>
    </row>
    <row r="848">
      <c r="A848" s="24" t="s">
        <v>3940</v>
      </c>
      <c r="C848" s="26">
        <v>35000.0</v>
      </c>
      <c r="E848" s="25" t="s">
        <v>3990</v>
      </c>
      <c r="F848" s="25" t="s">
        <v>3435</v>
      </c>
    </row>
    <row r="849">
      <c r="A849" s="24" t="s">
        <v>3940</v>
      </c>
      <c r="C849" s="26">
        <v>70000.0</v>
      </c>
      <c r="E849" s="25" t="s">
        <v>3939</v>
      </c>
      <c r="F849" s="25" t="s">
        <v>4173</v>
      </c>
    </row>
    <row r="850">
      <c r="A850" s="24" t="s">
        <v>3940</v>
      </c>
      <c r="C850" s="26">
        <v>70000.0</v>
      </c>
      <c r="E850" s="25" t="s">
        <v>3948</v>
      </c>
      <c r="F850" s="25" t="s">
        <v>861</v>
      </c>
    </row>
    <row r="851">
      <c r="A851" s="24" t="s">
        <v>3940</v>
      </c>
      <c r="C851" s="26">
        <v>70000.0</v>
      </c>
      <c r="E851" s="25" t="s">
        <v>3939</v>
      </c>
      <c r="F851" s="25" t="s">
        <v>4248</v>
      </c>
    </row>
    <row r="852">
      <c r="A852" s="24" t="s">
        <v>3940</v>
      </c>
      <c r="C852" s="26">
        <v>60000.0</v>
      </c>
      <c r="E852" s="25" t="s">
        <v>3941</v>
      </c>
      <c r="F852" s="25" t="s">
        <v>4434</v>
      </c>
    </row>
    <row r="853">
      <c r="A853" s="24" t="s">
        <v>3940</v>
      </c>
      <c r="C853" s="26">
        <v>70000.0</v>
      </c>
      <c r="E853" s="25" t="s">
        <v>4423</v>
      </c>
      <c r="F853" s="25" t="s">
        <v>1138</v>
      </c>
    </row>
    <row r="854">
      <c r="A854" s="24" t="s">
        <v>3940</v>
      </c>
      <c r="C854" s="26">
        <v>35000.0</v>
      </c>
      <c r="E854" s="25" t="s">
        <v>3946</v>
      </c>
      <c r="F854" s="25" t="s">
        <v>4294</v>
      </c>
    </row>
    <row r="855">
      <c r="A855" s="24" t="s">
        <v>3940</v>
      </c>
      <c r="C855" s="26">
        <v>35000.0</v>
      </c>
      <c r="E855" s="25" t="s">
        <v>4358</v>
      </c>
      <c r="F855" s="25" t="s">
        <v>3774</v>
      </c>
    </row>
    <row r="856">
      <c r="A856" s="24" t="s">
        <v>3940</v>
      </c>
      <c r="C856" s="26">
        <v>70000.0</v>
      </c>
      <c r="E856" s="25" t="s">
        <v>3983</v>
      </c>
      <c r="F856" s="25" t="s">
        <v>4334</v>
      </c>
    </row>
    <row r="857">
      <c r="A857" s="24" t="s">
        <v>3940</v>
      </c>
      <c r="C857" s="26">
        <v>35000.0</v>
      </c>
      <c r="E857" s="25" t="s">
        <v>4473</v>
      </c>
      <c r="F857" s="25" t="s">
        <v>2901</v>
      </c>
    </row>
    <row r="858">
      <c r="A858" s="24" t="s">
        <v>3940</v>
      </c>
      <c r="C858" s="26">
        <v>70000.0</v>
      </c>
      <c r="E858" s="25" t="s">
        <v>3990</v>
      </c>
      <c r="F858" s="25" t="s">
        <v>1839</v>
      </c>
    </row>
    <row r="859">
      <c r="A859" s="24" t="s">
        <v>3940</v>
      </c>
      <c r="C859" s="26">
        <v>35000.0</v>
      </c>
      <c r="E859" s="25" t="s">
        <v>3946</v>
      </c>
      <c r="F859" s="25" t="s">
        <v>350</v>
      </c>
    </row>
    <row r="860">
      <c r="A860" s="24" t="s">
        <v>3940</v>
      </c>
      <c r="C860" s="26">
        <v>70000.0</v>
      </c>
      <c r="E860" s="25" t="s">
        <v>3939</v>
      </c>
      <c r="F860" s="25" t="s">
        <v>633</v>
      </c>
    </row>
    <row r="861">
      <c r="A861" s="24" t="s">
        <v>3940</v>
      </c>
      <c r="C861" s="26">
        <v>35000.0</v>
      </c>
      <c r="E861" s="25" t="s">
        <v>3948</v>
      </c>
      <c r="F861" s="25" t="s">
        <v>4196</v>
      </c>
    </row>
    <row r="862">
      <c r="A862" s="24" t="s">
        <v>3940</v>
      </c>
      <c r="C862" s="26">
        <v>35000.0</v>
      </c>
      <c r="E862" s="25" t="s">
        <v>3983</v>
      </c>
      <c r="F862" s="25" t="s">
        <v>3670</v>
      </c>
    </row>
    <row r="863">
      <c r="A863" s="24" t="s">
        <v>3940</v>
      </c>
      <c r="C863" s="26">
        <v>70000.0</v>
      </c>
      <c r="E863" s="25" t="s">
        <v>3983</v>
      </c>
      <c r="F863" s="25" t="s">
        <v>4249</v>
      </c>
    </row>
    <row r="864">
      <c r="A864" s="24" t="s">
        <v>3940</v>
      </c>
      <c r="C864" s="26">
        <v>35000.0</v>
      </c>
      <c r="E864" s="25" t="s">
        <v>3983</v>
      </c>
      <c r="F864" s="25" t="s">
        <v>127</v>
      </c>
    </row>
    <row r="865">
      <c r="A865" s="24" t="s">
        <v>3940</v>
      </c>
      <c r="C865" s="26">
        <v>35000.0</v>
      </c>
      <c r="E865" s="25" t="s">
        <v>3948</v>
      </c>
      <c r="F865" s="25" t="s">
        <v>2895</v>
      </c>
    </row>
    <row r="866">
      <c r="A866" s="24" t="s">
        <v>3940</v>
      </c>
      <c r="C866" s="26">
        <v>35000.0</v>
      </c>
      <c r="E866" s="25" t="s">
        <v>3941</v>
      </c>
      <c r="F866" s="25" t="s">
        <v>347</v>
      </c>
    </row>
    <row r="867">
      <c r="A867" s="24" t="s">
        <v>3940</v>
      </c>
      <c r="C867" s="26">
        <v>35000.0</v>
      </c>
      <c r="E867" s="25" t="s">
        <v>3983</v>
      </c>
      <c r="F867" s="25" t="s">
        <v>3988</v>
      </c>
    </row>
    <row r="868">
      <c r="A868" s="24" t="s">
        <v>3940</v>
      </c>
      <c r="C868" s="26">
        <v>35000.0</v>
      </c>
      <c r="E868" s="25" t="s">
        <v>3939</v>
      </c>
      <c r="F868" s="25" t="s">
        <v>54</v>
      </c>
    </row>
    <row r="869">
      <c r="A869" s="24" t="s">
        <v>3940</v>
      </c>
      <c r="C869" s="26">
        <v>35000.0</v>
      </c>
      <c r="E869" s="25" t="s">
        <v>4034</v>
      </c>
      <c r="F869" s="25" t="s">
        <v>89</v>
      </c>
    </row>
    <row r="870">
      <c r="A870" s="24" t="s">
        <v>3940</v>
      </c>
      <c r="C870" s="26">
        <v>35000.0</v>
      </c>
      <c r="E870" s="25" t="s">
        <v>3952</v>
      </c>
      <c r="F870" s="25" t="s">
        <v>4362</v>
      </c>
    </row>
    <row r="871">
      <c r="A871" s="24" t="s">
        <v>3940</v>
      </c>
      <c r="C871" s="26">
        <v>35000.0</v>
      </c>
      <c r="E871" s="25" t="s">
        <v>3939</v>
      </c>
      <c r="F871" s="25" t="s">
        <v>358</v>
      </c>
    </row>
    <row r="872">
      <c r="A872" s="24" t="s">
        <v>3940</v>
      </c>
      <c r="C872" s="26">
        <v>35000.0</v>
      </c>
      <c r="E872" s="25" t="s">
        <v>3946</v>
      </c>
      <c r="F872" s="25" t="s">
        <v>492</v>
      </c>
    </row>
    <row r="873">
      <c r="A873" s="24" t="s">
        <v>3940</v>
      </c>
      <c r="C873" s="26">
        <v>35000.0</v>
      </c>
      <c r="E873" s="25" t="s">
        <v>3941</v>
      </c>
      <c r="F873" s="25" t="s">
        <v>429</v>
      </c>
    </row>
    <row r="874">
      <c r="A874" s="24" t="s">
        <v>3940</v>
      </c>
      <c r="C874" s="26">
        <v>35000.0</v>
      </c>
      <c r="E874" s="25" t="s">
        <v>3939</v>
      </c>
      <c r="F874" s="25" t="s">
        <v>167</v>
      </c>
    </row>
    <row r="875">
      <c r="A875" s="24" t="s">
        <v>3940</v>
      </c>
      <c r="C875" s="26">
        <v>35000.0</v>
      </c>
      <c r="E875" s="25" t="s">
        <v>3937</v>
      </c>
      <c r="F875" s="25" t="s">
        <v>3427</v>
      </c>
    </row>
    <row r="876">
      <c r="A876" s="24" t="s">
        <v>3940</v>
      </c>
      <c r="C876" s="26">
        <v>35000.0</v>
      </c>
      <c r="E876" s="25" t="s">
        <v>3939</v>
      </c>
      <c r="F876" s="25" t="s">
        <v>463</v>
      </c>
    </row>
    <row r="877">
      <c r="A877" s="24" t="s">
        <v>3940</v>
      </c>
      <c r="C877" s="26">
        <v>35000.0</v>
      </c>
      <c r="E877" s="25" t="s">
        <v>3968</v>
      </c>
      <c r="F877" s="25" t="s">
        <v>2819</v>
      </c>
    </row>
    <row r="878">
      <c r="A878" s="24" t="s">
        <v>3940</v>
      </c>
      <c r="C878" s="26">
        <v>35000.0</v>
      </c>
      <c r="E878" s="25" t="s">
        <v>4041</v>
      </c>
      <c r="F878" s="25" t="s">
        <v>217</v>
      </c>
    </row>
    <row r="879">
      <c r="A879" s="24" t="s">
        <v>3940</v>
      </c>
      <c r="C879" s="26">
        <v>35000.0</v>
      </c>
      <c r="E879" s="25" t="s">
        <v>4287</v>
      </c>
      <c r="F879" s="25" t="s">
        <v>3592</v>
      </c>
    </row>
    <row r="880">
      <c r="A880" s="24" t="s">
        <v>3940</v>
      </c>
      <c r="C880" s="26">
        <v>70000.0</v>
      </c>
      <c r="E880" s="25" t="s">
        <v>3983</v>
      </c>
      <c r="F880" s="25" t="s">
        <v>2563</v>
      </c>
    </row>
    <row r="881">
      <c r="A881" s="24" t="s">
        <v>3940</v>
      </c>
      <c r="C881" s="26">
        <v>70000.0</v>
      </c>
      <c r="E881" s="25" t="s">
        <v>4025</v>
      </c>
      <c r="F881" s="25" t="s">
        <v>794</v>
      </c>
    </row>
    <row r="882">
      <c r="A882" s="24" t="s">
        <v>3940</v>
      </c>
      <c r="C882" s="26">
        <v>70000.0</v>
      </c>
      <c r="E882" s="25" t="s">
        <v>3946</v>
      </c>
      <c r="F882" s="25" t="s">
        <v>4494</v>
      </c>
    </row>
    <row r="883">
      <c r="A883" s="24" t="s">
        <v>3940</v>
      </c>
      <c r="C883" s="26">
        <v>35000.0</v>
      </c>
      <c r="E883" s="25" t="s">
        <v>3946</v>
      </c>
      <c r="F883" s="25" t="s">
        <v>3467</v>
      </c>
    </row>
    <row r="884">
      <c r="A884" s="24" t="s">
        <v>3940</v>
      </c>
      <c r="C884" s="26">
        <v>35000.0</v>
      </c>
      <c r="E884" s="25" t="s">
        <v>4348</v>
      </c>
      <c r="F884" s="25" t="s">
        <v>1065</v>
      </c>
    </row>
    <row r="885">
      <c r="A885" s="24" t="s">
        <v>3940</v>
      </c>
      <c r="C885" s="26">
        <v>70000.0</v>
      </c>
      <c r="E885" s="25" t="s">
        <v>4116</v>
      </c>
      <c r="F885" s="25" t="s">
        <v>652</v>
      </c>
    </row>
    <row r="886">
      <c r="A886" s="24" t="s">
        <v>3940</v>
      </c>
      <c r="C886" s="26">
        <v>35000.0</v>
      </c>
      <c r="E886" s="25" t="s">
        <v>3941</v>
      </c>
      <c r="F886" s="25" t="s">
        <v>4197</v>
      </c>
    </row>
    <row r="887">
      <c r="A887" s="24" t="s">
        <v>3940</v>
      </c>
      <c r="C887" s="26">
        <v>35000.0</v>
      </c>
      <c r="E887" s="25" t="s">
        <v>3948</v>
      </c>
      <c r="F887" s="25" t="s">
        <v>407</v>
      </c>
    </row>
    <row r="888">
      <c r="A888" s="24" t="s">
        <v>3940</v>
      </c>
      <c r="C888" s="26">
        <v>70000.0</v>
      </c>
      <c r="E888" s="25" t="s">
        <v>3946</v>
      </c>
      <c r="F888" s="25" t="s">
        <v>4113</v>
      </c>
    </row>
    <row r="889">
      <c r="A889" s="24" t="s">
        <v>3940</v>
      </c>
      <c r="C889" s="26">
        <v>35000.0</v>
      </c>
      <c r="E889" s="25" t="s">
        <v>3983</v>
      </c>
      <c r="F889" s="25" t="s">
        <v>2889</v>
      </c>
    </row>
    <row r="890">
      <c r="A890" s="24" t="s">
        <v>3940</v>
      </c>
      <c r="C890" s="26">
        <v>35000.0</v>
      </c>
      <c r="E890" s="25" t="s">
        <v>4006</v>
      </c>
      <c r="F890" s="25" t="s">
        <v>107</v>
      </c>
    </row>
    <row r="891">
      <c r="A891" s="24" t="s">
        <v>3940</v>
      </c>
      <c r="C891" s="26">
        <v>35000.0</v>
      </c>
      <c r="E891" s="25" t="s">
        <v>4029</v>
      </c>
      <c r="F891" s="25" t="s">
        <v>3097</v>
      </c>
    </row>
    <row r="892">
      <c r="A892" s="24" t="s">
        <v>3940</v>
      </c>
      <c r="C892" s="26">
        <v>70000.0</v>
      </c>
      <c r="E892" s="25" t="s">
        <v>3948</v>
      </c>
      <c r="F892" s="25" t="s">
        <v>1718</v>
      </c>
    </row>
    <row r="893">
      <c r="A893" s="24" t="s">
        <v>3940</v>
      </c>
      <c r="C893" s="26">
        <v>70000.0</v>
      </c>
      <c r="E893" s="25" t="s">
        <v>3944</v>
      </c>
      <c r="F893" s="25" t="s">
        <v>661</v>
      </c>
    </row>
    <row r="894">
      <c r="A894" s="24" t="s">
        <v>3940</v>
      </c>
      <c r="C894" s="26">
        <v>70000.0</v>
      </c>
      <c r="E894" s="25" t="s">
        <v>4086</v>
      </c>
      <c r="F894" s="25" t="s">
        <v>656</v>
      </c>
    </row>
    <row r="895">
      <c r="A895" s="24" t="s">
        <v>3940</v>
      </c>
      <c r="C895" s="26">
        <v>35000.0</v>
      </c>
      <c r="E895" s="25" t="s">
        <v>3946</v>
      </c>
      <c r="F895" s="25" t="s">
        <v>228</v>
      </c>
    </row>
    <row r="896">
      <c r="A896" s="24" t="s">
        <v>3940</v>
      </c>
      <c r="C896" s="26">
        <v>35000.0</v>
      </c>
      <c r="E896" s="25" t="s">
        <v>3983</v>
      </c>
      <c r="F896" s="25" t="s">
        <v>202</v>
      </c>
    </row>
    <row r="897">
      <c r="A897" s="24" t="s">
        <v>3940</v>
      </c>
      <c r="C897" s="26">
        <v>70000.0</v>
      </c>
      <c r="E897" s="25" t="s">
        <v>3946</v>
      </c>
      <c r="F897" s="25" t="s">
        <v>1171</v>
      </c>
    </row>
    <row r="898">
      <c r="A898" s="24" t="s">
        <v>3940</v>
      </c>
      <c r="C898" s="26">
        <v>35000.0</v>
      </c>
      <c r="E898" s="25" t="s">
        <v>3983</v>
      </c>
      <c r="F898" s="25" t="s">
        <v>333</v>
      </c>
    </row>
    <row r="899">
      <c r="A899" s="24" t="s">
        <v>3940</v>
      </c>
      <c r="C899" s="26">
        <v>70000.0</v>
      </c>
      <c r="E899" s="25" t="s">
        <v>3983</v>
      </c>
      <c r="F899" s="25" t="s">
        <v>648</v>
      </c>
    </row>
    <row r="900">
      <c r="A900" s="24" t="s">
        <v>3940</v>
      </c>
      <c r="C900" s="26">
        <v>70000.0</v>
      </c>
      <c r="E900" s="25" t="s">
        <v>3990</v>
      </c>
      <c r="F900" s="25" t="s">
        <v>2741</v>
      </c>
    </row>
    <row r="901">
      <c r="A901" s="24" t="s">
        <v>3940</v>
      </c>
      <c r="C901" s="26">
        <v>35000.0</v>
      </c>
      <c r="E901" s="25" t="s">
        <v>3946</v>
      </c>
      <c r="F901" s="25" t="s">
        <v>2858</v>
      </c>
    </row>
    <row r="902">
      <c r="A902" s="24" t="s">
        <v>3940</v>
      </c>
      <c r="C902" s="26">
        <v>35000.0</v>
      </c>
      <c r="E902" s="25" t="s">
        <v>3983</v>
      </c>
      <c r="F902" s="25" t="s">
        <v>451</v>
      </c>
    </row>
    <row r="903">
      <c r="A903" s="24" t="s">
        <v>3940</v>
      </c>
      <c r="C903" s="26">
        <v>70000.0</v>
      </c>
      <c r="E903" s="25" t="s">
        <v>3983</v>
      </c>
      <c r="F903" s="25" t="s">
        <v>2582</v>
      </c>
    </row>
    <row r="904">
      <c r="A904" s="24" t="s">
        <v>3940</v>
      </c>
      <c r="C904" s="26">
        <v>35000.0</v>
      </c>
      <c r="E904" s="25" t="s">
        <v>3946</v>
      </c>
      <c r="F904" s="25" t="s">
        <v>4187</v>
      </c>
    </row>
    <row r="905">
      <c r="A905" s="24" t="s">
        <v>3940</v>
      </c>
      <c r="C905" s="26">
        <v>70000.0</v>
      </c>
      <c r="E905" s="25" t="s">
        <v>3944</v>
      </c>
      <c r="F905" s="25" t="s">
        <v>972</v>
      </c>
    </row>
    <row r="906">
      <c r="A906" s="24" t="s">
        <v>3940</v>
      </c>
      <c r="C906" s="26">
        <v>35000.0</v>
      </c>
      <c r="E906" s="25" t="s">
        <v>3948</v>
      </c>
      <c r="F906" s="25" t="s">
        <v>100</v>
      </c>
    </row>
    <row r="907">
      <c r="A907" s="24" t="s">
        <v>3940</v>
      </c>
      <c r="C907" s="26">
        <v>35000.0</v>
      </c>
      <c r="E907" s="25" t="s">
        <v>4218</v>
      </c>
      <c r="F907" s="25" t="s">
        <v>2893</v>
      </c>
    </row>
    <row r="908">
      <c r="A908" s="24" t="s">
        <v>3940</v>
      </c>
      <c r="C908" s="26">
        <v>35000.0</v>
      </c>
      <c r="E908" s="25" t="s">
        <v>3983</v>
      </c>
      <c r="F908" s="25" t="s">
        <v>306</v>
      </c>
    </row>
    <row r="909">
      <c r="A909" s="24" t="s">
        <v>3940</v>
      </c>
      <c r="C909" s="26">
        <v>35000.0</v>
      </c>
      <c r="E909" s="25" t="s">
        <v>3944</v>
      </c>
      <c r="F909" s="25" t="s">
        <v>60</v>
      </c>
    </row>
    <row r="910">
      <c r="A910" s="24" t="s">
        <v>3940</v>
      </c>
      <c r="C910" s="26">
        <v>35000.0</v>
      </c>
      <c r="E910" s="25" t="s">
        <v>3939</v>
      </c>
      <c r="F910" s="25" t="s">
        <v>78</v>
      </c>
    </row>
    <row r="911">
      <c r="A911" s="24" t="s">
        <v>3940</v>
      </c>
      <c r="C911" s="26">
        <v>70000.0</v>
      </c>
      <c r="E911" s="25" t="s">
        <v>4006</v>
      </c>
      <c r="F911" s="25" t="s">
        <v>4465</v>
      </c>
    </row>
    <row r="912">
      <c r="A912" s="24" t="s">
        <v>3940</v>
      </c>
      <c r="C912" s="26">
        <v>35000.0</v>
      </c>
      <c r="E912" s="25" t="s">
        <v>3983</v>
      </c>
      <c r="F912" s="25" t="s">
        <v>142</v>
      </c>
    </row>
    <row r="913">
      <c r="A913" s="24" t="s">
        <v>3940</v>
      </c>
      <c r="C913" s="26">
        <v>35000.0</v>
      </c>
      <c r="E913" s="25" t="s">
        <v>3983</v>
      </c>
      <c r="F913" s="25" t="s">
        <v>2459</v>
      </c>
    </row>
    <row r="914">
      <c r="A914" s="24" t="s">
        <v>3940</v>
      </c>
      <c r="C914" s="26">
        <v>35000.0</v>
      </c>
      <c r="E914" s="25" t="s">
        <v>3992</v>
      </c>
      <c r="F914" s="25" t="s">
        <v>3991</v>
      </c>
    </row>
    <row r="915">
      <c r="A915" s="24" t="s">
        <v>3940</v>
      </c>
      <c r="C915" s="26">
        <v>35000.0</v>
      </c>
      <c r="E915" s="25" t="s">
        <v>3946</v>
      </c>
      <c r="F915" s="25" t="s">
        <v>3750</v>
      </c>
    </row>
    <row r="916">
      <c r="A916" s="24" t="s">
        <v>3940</v>
      </c>
      <c r="C916" s="26">
        <v>70000.0</v>
      </c>
      <c r="E916" s="25" t="s">
        <v>4184</v>
      </c>
      <c r="F916" s="25" t="s">
        <v>1063</v>
      </c>
    </row>
    <row r="917">
      <c r="A917" s="24" t="s">
        <v>3940</v>
      </c>
      <c r="C917" s="26">
        <v>35000.0</v>
      </c>
      <c r="E917" s="25" t="s">
        <v>4125</v>
      </c>
      <c r="F917" s="25" t="s">
        <v>212</v>
      </c>
    </row>
    <row r="918">
      <c r="A918" s="24" t="s">
        <v>3940</v>
      </c>
      <c r="C918" s="26">
        <v>35000.0</v>
      </c>
      <c r="E918" s="25" t="s">
        <v>3939</v>
      </c>
      <c r="F918" s="25" t="s">
        <v>459</v>
      </c>
    </row>
    <row r="919">
      <c r="A919" s="24" t="s">
        <v>3940</v>
      </c>
      <c r="C919" s="26">
        <v>35000.0</v>
      </c>
      <c r="E919" s="25" t="s">
        <v>4142</v>
      </c>
      <c r="F919" s="25" t="s">
        <v>226</v>
      </c>
    </row>
    <row r="920">
      <c r="A920" s="24" t="s">
        <v>3940</v>
      </c>
      <c r="C920" s="26">
        <v>35000.0</v>
      </c>
      <c r="E920" s="25" t="s">
        <v>3990</v>
      </c>
      <c r="F920" s="25" t="s">
        <v>450</v>
      </c>
    </row>
    <row r="921">
      <c r="A921" s="24" t="s">
        <v>3940</v>
      </c>
      <c r="C921" s="26">
        <v>35000.0</v>
      </c>
      <c r="E921" s="25" t="s">
        <v>3990</v>
      </c>
      <c r="F921" s="25" t="s">
        <v>3543</v>
      </c>
    </row>
    <row r="922">
      <c r="A922" s="24" t="s">
        <v>3940</v>
      </c>
      <c r="C922" s="26">
        <v>35000.0</v>
      </c>
      <c r="E922" s="25" t="s">
        <v>4387</v>
      </c>
      <c r="F922" s="25" t="s">
        <v>56</v>
      </c>
    </row>
    <row r="923">
      <c r="A923" s="24" t="s">
        <v>3940</v>
      </c>
      <c r="C923" s="26">
        <v>70000.0</v>
      </c>
      <c r="E923" s="25" t="s">
        <v>3983</v>
      </c>
      <c r="F923" s="25" t="s">
        <v>4341</v>
      </c>
    </row>
    <row r="924">
      <c r="A924" s="24" t="s">
        <v>3940</v>
      </c>
      <c r="C924" s="26">
        <v>70000.0</v>
      </c>
      <c r="E924" s="25" t="s">
        <v>3948</v>
      </c>
      <c r="F924" s="25" t="s">
        <v>1038</v>
      </c>
    </row>
    <row r="925">
      <c r="A925" s="24" t="s">
        <v>3940</v>
      </c>
      <c r="C925" s="26">
        <v>35000.0</v>
      </c>
      <c r="E925" s="25" t="s">
        <v>4253</v>
      </c>
      <c r="F925" s="25" t="s">
        <v>372</v>
      </c>
    </row>
    <row r="926">
      <c r="A926" s="24" t="s">
        <v>3940</v>
      </c>
      <c r="C926" s="26">
        <v>35000.0</v>
      </c>
      <c r="E926" s="25" t="s">
        <v>4281</v>
      </c>
      <c r="F926" s="25" t="s">
        <v>416</v>
      </c>
    </row>
    <row r="927">
      <c r="A927" s="24" t="s">
        <v>3940</v>
      </c>
      <c r="C927" s="26">
        <v>35000.0</v>
      </c>
      <c r="E927" s="25" t="s">
        <v>3983</v>
      </c>
      <c r="F927" s="25" t="s">
        <v>4413</v>
      </c>
    </row>
    <row r="928">
      <c r="A928" s="24" t="s">
        <v>3940</v>
      </c>
      <c r="C928" s="26">
        <v>35000.0</v>
      </c>
      <c r="E928" s="25" t="s">
        <v>3983</v>
      </c>
      <c r="F928" s="25" t="s">
        <v>2826</v>
      </c>
    </row>
    <row r="929">
      <c r="A929" s="24" t="s">
        <v>3940</v>
      </c>
      <c r="C929" s="26">
        <v>35000.0</v>
      </c>
      <c r="E929" s="25" t="s">
        <v>3941</v>
      </c>
      <c r="F929" s="25" t="s">
        <v>3780</v>
      </c>
    </row>
    <row r="930">
      <c r="A930" s="24" t="s">
        <v>3940</v>
      </c>
      <c r="C930" s="26">
        <v>35000.0</v>
      </c>
      <c r="E930" s="25" t="s">
        <v>3941</v>
      </c>
      <c r="F930" s="25" t="s">
        <v>45</v>
      </c>
    </row>
    <row r="931">
      <c r="A931" s="24" t="s">
        <v>3940</v>
      </c>
      <c r="C931" s="26">
        <v>70000.0</v>
      </c>
      <c r="E931" s="25" t="s">
        <v>3948</v>
      </c>
      <c r="F931" s="25" t="s">
        <v>1133</v>
      </c>
    </row>
    <row r="932">
      <c r="A932" s="24" t="s">
        <v>3940</v>
      </c>
      <c r="C932" s="26">
        <v>35000.0</v>
      </c>
      <c r="E932" s="25" t="s">
        <v>3948</v>
      </c>
      <c r="F932" s="25" t="s">
        <v>2925</v>
      </c>
    </row>
    <row r="933">
      <c r="A933" s="24" t="s">
        <v>3940</v>
      </c>
      <c r="C933" s="26">
        <v>70000.0</v>
      </c>
      <c r="E933" s="25" t="s">
        <v>3961</v>
      </c>
      <c r="F933" s="25" t="s">
        <v>2343</v>
      </c>
    </row>
    <row r="934">
      <c r="A934" s="24" t="s">
        <v>3940</v>
      </c>
      <c r="C934" s="26">
        <v>70000.0</v>
      </c>
      <c r="E934" s="25" t="s">
        <v>3983</v>
      </c>
      <c r="F934" s="25" t="s">
        <v>1700</v>
      </c>
    </row>
    <row r="935">
      <c r="A935" s="24" t="s">
        <v>3940</v>
      </c>
      <c r="C935" s="26">
        <v>35000.0</v>
      </c>
      <c r="E935" s="25" t="s">
        <v>3948</v>
      </c>
      <c r="F935" s="25" t="s">
        <v>196</v>
      </c>
    </row>
    <row r="936">
      <c r="A936" s="24" t="s">
        <v>3940</v>
      </c>
      <c r="C936" s="26">
        <v>35000.0</v>
      </c>
      <c r="E936" s="25" t="s">
        <v>3983</v>
      </c>
      <c r="F936" s="25" t="s">
        <v>474</v>
      </c>
    </row>
    <row r="937">
      <c r="A937" s="24" t="s">
        <v>3940</v>
      </c>
      <c r="C937" s="26">
        <v>70000.0</v>
      </c>
      <c r="E937" s="25" t="s">
        <v>4420</v>
      </c>
      <c r="F937" s="25" t="s">
        <v>4419</v>
      </c>
    </row>
    <row r="938">
      <c r="A938" s="24" t="s">
        <v>3940</v>
      </c>
      <c r="C938" s="26">
        <v>70000.0</v>
      </c>
      <c r="E938" s="25" t="s">
        <v>3944</v>
      </c>
      <c r="F938" s="25" t="s">
        <v>567</v>
      </c>
    </row>
    <row r="939">
      <c r="A939" s="24" t="s">
        <v>3940</v>
      </c>
      <c r="C939" s="26">
        <v>35000.0</v>
      </c>
      <c r="E939" s="25" t="s">
        <v>4303</v>
      </c>
      <c r="F939" s="25" t="s">
        <v>448</v>
      </c>
    </row>
    <row r="940">
      <c r="A940" s="24" t="s">
        <v>3940</v>
      </c>
      <c r="C940" s="26">
        <v>35000.0</v>
      </c>
      <c r="E940" s="25" t="s">
        <v>4480</v>
      </c>
      <c r="F940" s="25" t="s">
        <v>2909</v>
      </c>
    </row>
    <row r="941">
      <c r="A941" s="24" t="s">
        <v>3940</v>
      </c>
      <c r="C941" s="26">
        <v>70000.0</v>
      </c>
      <c r="E941" s="25" t="s">
        <v>4041</v>
      </c>
      <c r="F941" s="25" t="s">
        <v>855</v>
      </c>
    </row>
    <row r="942">
      <c r="A942" s="24" t="s">
        <v>3940</v>
      </c>
      <c r="C942" s="26">
        <v>70000.0</v>
      </c>
      <c r="E942" s="25" t="s">
        <v>3946</v>
      </c>
      <c r="F942" s="25" t="s">
        <v>699</v>
      </c>
    </row>
    <row r="943">
      <c r="A943" s="24" t="s">
        <v>3940</v>
      </c>
      <c r="C943" s="26">
        <v>35000.0</v>
      </c>
      <c r="E943" s="25" t="s">
        <v>3944</v>
      </c>
      <c r="F943" s="25" t="s">
        <v>346</v>
      </c>
    </row>
    <row r="944">
      <c r="A944" s="24" t="s">
        <v>3940</v>
      </c>
      <c r="C944" s="26">
        <v>70000.0</v>
      </c>
      <c r="E944" s="25" t="s">
        <v>3948</v>
      </c>
      <c r="F944" s="25" t="s">
        <v>587</v>
      </c>
    </row>
    <row r="945">
      <c r="A945" s="24" t="s">
        <v>3940</v>
      </c>
      <c r="C945" s="26">
        <v>70000.0</v>
      </c>
      <c r="E945" s="25" t="s">
        <v>3990</v>
      </c>
      <c r="F945" s="25" t="s">
        <v>932</v>
      </c>
    </row>
    <row r="946">
      <c r="A946" s="24" t="s">
        <v>3940</v>
      </c>
      <c r="C946" s="26">
        <v>35000.0</v>
      </c>
      <c r="E946" s="25" t="s">
        <v>4039</v>
      </c>
      <c r="F946" s="25" t="s">
        <v>93</v>
      </c>
    </row>
    <row r="947">
      <c r="A947" s="24" t="s">
        <v>3940</v>
      </c>
      <c r="C947" s="26">
        <v>70000.0</v>
      </c>
      <c r="E947" s="25" t="s">
        <v>3946</v>
      </c>
      <c r="F947" s="25" t="s">
        <v>631</v>
      </c>
    </row>
    <row r="948">
      <c r="A948" s="24" t="s">
        <v>3940</v>
      </c>
      <c r="C948" s="26">
        <v>70000.0</v>
      </c>
      <c r="E948" s="25" t="s">
        <v>3983</v>
      </c>
      <c r="F948" s="25" t="s">
        <v>792</v>
      </c>
    </row>
    <row r="949">
      <c r="A949" s="24" t="s">
        <v>3940</v>
      </c>
      <c r="C949" s="26">
        <v>70000.0</v>
      </c>
      <c r="E949" s="25" t="s">
        <v>3983</v>
      </c>
      <c r="F949" s="25" t="s">
        <v>698</v>
      </c>
    </row>
    <row r="950">
      <c r="A950" s="24" t="s">
        <v>3940</v>
      </c>
      <c r="C950" s="26">
        <v>35000.0</v>
      </c>
      <c r="E950" s="25" t="s">
        <v>3948</v>
      </c>
      <c r="F950" s="25" t="s">
        <v>75</v>
      </c>
    </row>
    <row r="951">
      <c r="A951" s="24" t="s">
        <v>3940</v>
      </c>
      <c r="C951" s="26">
        <v>35000.0</v>
      </c>
      <c r="E951" s="25" t="s">
        <v>3946</v>
      </c>
      <c r="F951" s="25" t="s">
        <v>10</v>
      </c>
    </row>
    <row r="952">
      <c r="A952" s="24" t="s">
        <v>3940</v>
      </c>
      <c r="C952" s="26">
        <v>35000.0</v>
      </c>
      <c r="E952" s="25" t="s">
        <v>3946</v>
      </c>
      <c r="F952" s="25" t="s">
        <v>3341</v>
      </c>
    </row>
    <row r="953">
      <c r="A953" s="24" t="s">
        <v>3940</v>
      </c>
      <c r="C953" s="26">
        <v>70000.0</v>
      </c>
      <c r="E953" s="25" t="s">
        <v>3941</v>
      </c>
      <c r="F953" s="25" t="s">
        <v>557</v>
      </c>
    </row>
    <row r="954">
      <c r="A954" s="24" t="s">
        <v>3940</v>
      </c>
      <c r="C954" s="26">
        <v>70000.0</v>
      </c>
      <c r="E954" s="25" t="s">
        <v>3941</v>
      </c>
      <c r="F954" s="25" t="s">
        <v>1601</v>
      </c>
    </row>
    <row r="955">
      <c r="A955" s="24" t="s">
        <v>3940</v>
      </c>
      <c r="C955" s="26">
        <v>70000.0</v>
      </c>
      <c r="E955" s="25" t="s">
        <v>4270</v>
      </c>
      <c r="F955" s="25" t="s">
        <v>1156</v>
      </c>
    </row>
    <row r="956">
      <c r="A956" s="24" t="s">
        <v>3940</v>
      </c>
      <c r="C956" s="26">
        <v>35000.0</v>
      </c>
      <c r="E956" s="25" t="s">
        <v>3946</v>
      </c>
      <c r="F956" s="25" t="s">
        <v>27</v>
      </c>
    </row>
    <row r="957">
      <c r="A957" s="24" t="s">
        <v>3940</v>
      </c>
      <c r="C957" s="26">
        <v>35000.0</v>
      </c>
      <c r="E957" s="25" t="s">
        <v>3961</v>
      </c>
      <c r="F957" s="25" t="s">
        <v>2941</v>
      </c>
    </row>
    <row r="958">
      <c r="A958" s="24" t="s">
        <v>3940</v>
      </c>
      <c r="C958" s="26">
        <v>70000.0</v>
      </c>
      <c r="E958" s="25" t="s">
        <v>3983</v>
      </c>
      <c r="F958" s="25" t="s">
        <v>4171</v>
      </c>
    </row>
    <row r="959">
      <c r="A959" s="24" t="s">
        <v>3940</v>
      </c>
      <c r="C959" s="26">
        <v>70000.0</v>
      </c>
      <c r="E959" s="25" t="s">
        <v>4075</v>
      </c>
      <c r="F959" s="25" t="s">
        <v>653</v>
      </c>
    </row>
    <row r="960">
      <c r="A960" s="24" t="s">
        <v>3940</v>
      </c>
      <c r="C960" s="26">
        <v>35000.0</v>
      </c>
      <c r="E960" s="25" t="s">
        <v>3983</v>
      </c>
      <c r="F960" s="25" t="s">
        <v>4307</v>
      </c>
    </row>
    <row r="961">
      <c r="A961" s="24" t="s">
        <v>3940</v>
      </c>
      <c r="C961" s="26">
        <v>35000.0</v>
      </c>
      <c r="E961" s="25" t="s">
        <v>3971</v>
      </c>
      <c r="F961" s="25" t="s">
        <v>16</v>
      </c>
    </row>
    <row r="962">
      <c r="A962" s="24" t="s">
        <v>3940</v>
      </c>
      <c r="C962" s="26">
        <v>70000.0</v>
      </c>
      <c r="E962" s="25" t="s">
        <v>3983</v>
      </c>
      <c r="F962" s="25" t="s">
        <v>775</v>
      </c>
    </row>
    <row r="963">
      <c r="A963" s="24" t="s">
        <v>3940</v>
      </c>
      <c r="C963" s="26">
        <v>70000.0</v>
      </c>
      <c r="E963" s="25" t="s">
        <v>3946</v>
      </c>
      <c r="F963" s="25" t="s">
        <v>655</v>
      </c>
    </row>
    <row r="964">
      <c r="A964" s="24" t="s">
        <v>3940</v>
      </c>
      <c r="C964" s="26">
        <v>35000.0</v>
      </c>
      <c r="E964" s="25" t="s">
        <v>4310</v>
      </c>
      <c r="F964" s="25" t="s">
        <v>461</v>
      </c>
    </row>
    <row r="965">
      <c r="A965" s="24" t="s">
        <v>3940</v>
      </c>
      <c r="C965" s="26">
        <v>35000.0</v>
      </c>
      <c r="E965" s="25" t="s">
        <v>3948</v>
      </c>
      <c r="F965" s="25" t="s">
        <v>187</v>
      </c>
    </row>
    <row r="966">
      <c r="A966" s="24" t="s">
        <v>3940</v>
      </c>
      <c r="C966" s="26">
        <v>35000.0</v>
      </c>
      <c r="E966" s="25" t="s">
        <v>4166</v>
      </c>
      <c r="F966" s="25" t="s">
        <v>3345</v>
      </c>
    </row>
    <row r="967">
      <c r="A967" s="24" t="s">
        <v>3940</v>
      </c>
      <c r="C967" s="26">
        <v>70000.0</v>
      </c>
      <c r="E967" s="25" t="s">
        <v>3983</v>
      </c>
      <c r="F967" s="25" t="s">
        <v>1191</v>
      </c>
    </row>
    <row r="968">
      <c r="A968" s="24" t="s">
        <v>3940</v>
      </c>
      <c r="C968" s="26">
        <v>35000.0</v>
      </c>
      <c r="E968" s="25" t="s">
        <v>4485</v>
      </c>
      <c r="F968" s="25" t="s">
        <v>4484</v>
      </c>
    </row>
    <row r="969">
      <c r="A969" s="24" t="s">
        <v>3940</v>
      </c>
      <c r="C969" s="26">
        <v>35000.0</v>
      </c>
      <c r="E969" s="25" t="s">
        <v>3941</v>
      </c>
      <c r="F969" s="25" t="s">
        <v>4350</v>
      </c>
    </row>
    <row r="970">
      <c r="A970" s="24" t="s">
        <v>3940</v>
      </c>
      <c r="C970" s="26">
        <v>35000.0</v>
      </c>
      <c r="E970" s="25" t="s">
        <v>4041</v>
      </c>
      <c r="F970" s="25" t="s">
        <v>201</v>
      </c>
    </row>
    <row r="971">
      <c r="A971" s="24" t="s">
        <v>3940</v>
      </c>
      <c r="C971" s="26">
        <v>35000.0</v>
      </c>
      <c r="E971" s="25" t="s">
        <v>4373</v>
      </c>
      <c r="F971" s="25" t="s">
        <v>551</v>
      </c>
    </row>
    <row r="972">
      <c r="A972" s="24" t="s">
        <v>3940</v>
      </c>
      <c r="C972" s="26">
        <v>70000.0</v>
      </c>
      <c r="E972" s="25" t="s">
        <v>3974</v>
      </c>
      <c r="F972" s="25" t="s">
        <v>568</v>
      </c>
    </row>
    <row r="973">
      <c r="A973" s="24" t="s">
        <v>3940</v>
      </c>
      <c r="C973" s="26">
        <v>35000.0</v>
      </c>
      <c r="E973" s="25" t="s">
        <v>3948</v>
      </c>
      <c r="F973" s="25" t="s">
        <v>2802</v>
      </c>
    </row>
    <row r="974">
      <c r="A974" s="24" t="s">
        <v>3940</v>
      </c>
      <c r="C974" s="26">
        <v>70000.0</v>
      </c>
      <c r="E974" s="25" t="s">
        <v>3939</v>
      </c>
      <c r="F974" s="25" t="s">
        <v>4191</v>
      </c>
    </row>
    <row r="975">
      <c r="A975" s="24" t="s">
        <v>3940</v>
      </c>
      <c r="C975" s="26">
        <v>70000.0</v>
      </c>
      <c r="E975" s="25" t="s">
        <v>4202</v>
      </c>
      <c r="F975" s="25" t="s">
        <v>777</v>
      </c>
    </row>
    <row r="976">
      <c r="A976" s="24" t="s">
        <v>3940</v>
      </c>
      <c r="C976" s="26">
        <v>35000.0</v>
      </c>
      <c r="E976" s="25" t="s">
        <v>3941</v>
      </c>
      <c r="F976" s="25" t="s">
        <v>376</v>
      </c>
    </row>
    <row r="977">
      <c r="A977" s="24" t="s">
        <v>3940</v>
      </c>
      <c r="C977" s="26">
        <v>35000.0</v>
      </c>
      <c r="E977" s="25" t="s">
        <v>3939</v>
      </c>
      <c r="F977" s="25" t="s">
        <v>111</v>
      </c>
    </row>
    <row r="978">
      <c r="A978" s="24" t="s">
        <v>3940</v>
      </c>
      <c r="C978" s="26">
        <v>70000.0</v>
      </c>
      <c r="E978" s="25" t="s">
        <v>3990</v>
      </c>
      <c r="F978" s="25" t="s">
        <v>964</v>
      </c>
    </row>
    <row r="979">
      <c r="A979" s="24" t="s">
        <v>3940</v>
      </c>
      <c r="C979" s="26">
        <v>35000.0</v>
      </c>
      <c r="E979" s="25" t="s">
        <v>3941</v>
      </c>
      <c r="F979" s="25" t="s">
        <v>3459</v>
      </c>
    </row>
    <row r="980">
      <c r="A980" s="24" t="s">
        <v>3940</v>
      </c>
      <c r="C980" s="26">
        <v>35000.0</v>
      </c>
      <c r="E980" s="25" t="s">
        <v>3983</v>
      </c>
      <c r="F980" s="25" t="s">
        <v>265</v>
      </c>
    </row>
    <row r="981">
      <c r="A981" s="24" t="s">
        <v>3940</v>
      </c>
      <c r="C981" s="26">
        <v>35000.0</v>
      </c>
      <c r="E981" s="25" t="s">
        <v>3939</v>
      </c>
      <c r="F981" s="25" t="s">
        <v>3103</v>
      </c>
    </row>
    <row r="982">
      <c r="A982" s="24" t="s">
        <v>3940</v>
      </c>
      <c r="C982" s="26">
        <v>70000.0</v>
      </c>
      <c r="E982" s="25" t="s">
        <v>3983</v>
      </c>
      <c r="F982" s="25" t="s">
        <v>2921</v>
      </c>
    </row>
    <row r="983">
      <c r="A983" s="24" t="s">
        <v>3940</v>
      </c>
      <c r="C983" s="26">
        <v>70000.0</v>
      </c>
      <c r="E983" s="25" t="s">
        <v>3983</v>
      </c>
      <c r="F983" s="25" t="s">
        <v>752</v>
      </c>
    </row>
    <row r="984">
      <c r="A984" s="24" t="s">
        <v>3940</v>
      </c>
      <c r="C984" s="26">
        <v>35000.0</v>
      </c>
      <c r="E984" s="25" t="s">
        <v>3983</v>
      </c>
      <c r="F984" s="25" t="s">
        <v>3268</v>
      </c>
    </row>
    <row r="985">
      <c r="A985" s="24" t="s">
        <v>3940</v>
      </c>
      <c r="C985" s="26">
        <v>70000.0</v>
      </c>
      <c r="E985" s="25" t="s">
        <v>3948</v>
      </c>
      <c r="F985" s="25" t="s">
        <v>758</v>
      </c>
    </row>
    <row r="986">
      <c r="A986" s="24" t="s">
        <v>3940</v>
      </c>
      <c r="C986" s="26">
        <v>70000.0</v>
      </c>
      <c r="E986" s="25" t="s">
        <v>3946</v>
      </c>
      <c r="F986" s="25" t="s">
        <v>942</v>
      </c>
    </row>
    <row r="987">
      <c r="A987" s="24" t="s">
        <v>3940</v>
      </c>
      <c r="C987" s="26">
        <v>35000.0</v>
      </c>
      <c r="E987" s="25" t="s">
        <v>3990</v>
      </c>
      <c r="F987" s="25" t="s">
        <v>3504</v>
      </c>
    </row>
    <row r="988">
      <c r="A988" s="24" t="s">
        <v>3940</v>
      </c>
      <c r="C988" s="26">
        <v>70000.0</v>
      </c>
      <c r="E988" s="25" t="s">
        <v>3944</v>
      </c>
      <c r="F988" s="25" t="s">
        <v>929</v>
      </c>
    </row>
    <row r="989">
      <c r="A989" s="24" t="s">
        <v>3940</v>
      </c>
      <c r="C989" s="26">
        <v>70000.0</v>
      </c>
      <c r="E989" s="25" t="s">
        <v>3946</v>
      </c>
      <c r="F989" s="25" t="s">
        <v>740</v>
      </c>
    </row>
    <row r="990">
      <c r="A990" s="24" t="s">
        <v>3940</v>
      </c>
      <c r="C990" s="26">
        <v>70000.0</v>
      </c>
      <c r="E990" s="25" t="s">
        <v>3961</v>
      </c>
      <c r="F990" s="25" t="s">
        <v>624</v>
      </c>
    </row>
    <row r="991">
      <c r="A991" s="24" t="s">
        <v>3940</v>
      </c>
      <c r="C991" s="26">
        <v>70000.0</v>
      </c>
      <c r="E991" s="25" t="s">
        <v>4040</v>
      </c>
      <c r="F991" s="25" t="s">
        <v>761</v>
      </c>
    </row>
    <row r="992">
      <c r="A992" s="24" t="s">
        <v>3940</v>
      </c>
      <c r="C992" s="26">
        <v>70000.0</v>
      </c>
      <c r="E992" s="25" t="s">
        <v>4041</v>
      </c>
      <c r="F992" s="25" t="s">
        <v>727</v>
      </c>
    </row>
    <row r="993">
      <c r="A993" s="24" t="s">
        <v>3940</v>
      </c>
      <c r="C993" s="26">
        <v>70000.0</v>
      </c>
      <c r="E993" s="25" t="s">
        <v>3941</v>
      </c>
      <c r="F993" s="25" t="s">
        <v>2439</v>
      </c>
    </row>
    <row r="994">
      <c r="A994" s="24" t="s">
        <v>3940</v>
      </c>
      <c r="C994" s="26">
        <v>35000.0</v>
      </c>
      <c r="E994" s="25" t="s">
        <v>3944</v>
      </c>
      <c r="F994" s="25" t="s">
        <v>2881</v>
      </c>
    </row>
    <row r="995">
      <c r="A995" s="24" t="s">
        <v>3940</v>
      </c>
      <c r="C995" s="26">
        <v>70000.0</v>
      </c>
      <c r="E995" s="25" t="s">
        <v>3946</v>
      </c>
      <c r="F995" s="25" t="s">
        <v>807</v>
      </c>
    </row>
    <row r="996">
      <c r="A996" s="24" t="s">
        <v>3940</v>
      </c>
      <c r="C996" s="26">
        <v>35000.0</v>
      </c>
      <c r="E996" s="25" t="s">
        <v>3939</v>
      </c>
      <c r="F996" s="25" t="s">
        <v>2856</v>
      </c>
    </row>
    <row r="997">
      <c r="A997" s="24" t="s">
        <v>3940</v>
      </c>
      <c r="C997" s="26">
        <v>35000.0</v>
      </c>
      <c r="E997" s="25" t="s">
        <v>3946</v>
      </c>
      <c r="F997" s="25" t="s">
        <v>417</v>
      </c>
    </row>
    <row r="998">
      <c r="A998" s="24" t="s">
        <v>3940</v>
      </c>
      <c r="C998" s="26">
        <v>35000.0</v>
      </c>
      <c r="E998" s="25" t="s">
        <v>3946</v>
      </c>
      <c r="F998" s="25" t="s">
        <v>3686</v>
      </c>
    </row>
    <row r="999">
      <c r="A999" s="24" t="s">
        <v>3940</v>
      </c>
      <c r="C999" s="26">
        <v>70000.0</v>
      </c>
      <c r="E999" s="25" t="s">
        <v>3983</v>
      </c>
      <c r="F999" s="25" t="s">
        <v>576</v>
      </c>
    </row>
    <row r="1000">
      <c r="A1000" s="24" t="s">
        <v>3940</v>
      </c>
      <c r="C1000" s="26">
        <v>35000.0</v>
      </c>
      <c r="E1000" s="25" t="s">
        <v>3941</v>
      </c>
      <c r="F1000" s="25" t="s">
        <v>186</v>
      </c>
    </row>
    <row r="1001">
      <c r="A1001" s="24" t="s">
        <v>3940</v>
      </c>
      <c r="C1001" s="26">
        <v>70000.0</v>
      </c>
      <c r="E1001" s="25" t="s">
        <v>3946</v>
      </c>
      <c r="F1001" s="25" t="s">
        <v>4469</v>
      </c>
    </row>
    <row r="1002">
      <c r="A1002" s="24" t="s">
        <v>3942</v>
      </c>
      <c r="C1002" s="26">
        <v>35000.0</v>
      </c>
      <c r="E1002" s="25" t="s">
        <v>4027</v>
      </c>
      <c r="F1002" s="25" t="s">
        <v>81</v>
      </c>
    </row>
    <row r="1003">
      <c r="A1003" s="24" t="s">
        <v>3942</v>
      </c>
      <c r="C1003" s="26">
        <v>70000.0</v>
      </c>
      <c r="E1003" s="25" t="s">
        <v>3941</v>
      </c>
      <c r="F1003" s="25" t="s">
        <v>232</v>
      </c>
    </row>
    <row r="1004">
      <c r="A1004" s="24" t="s">
        <v>3942</v>
      </c>
      <c r="C1004" s="26">
        <v>35000.0</v>
      </c>
      <c r="E1004" s="25" t="s">
        <v>3990</v>
      </c>
      <c r="F1004" s="25" t="s">
        <v>444</v>
      </c>
    </row>
    <row r="1005">
      <c r="A1005" s="24" t="s">
        <v>3942</v>
      </c>
      <c r="C1005" s="26">
        <v>35000.0</v>
      </c>
      <c r="E1005" s="25" t="s">
        <v>3990</v>
      </c>
      <c r="F1005" s="25" t="s">
        <v>2917</v>
      </c>
    </row>
    <row r="1006">
      <c r="A1006" s="24" t="s">
        <v>3942</v>
      </c>
      <c r="C1006" s="26">
        <v>35000.0</v>
      </c>
      <c r="E1006" s="25" t="s">
        <v>3944</v>
      </c>
      <c r="F1006" s="25" t="s">
        <v>520</v>
      </c>
    </row>
    <row r="1007">
      <c r="A1007" s="24" t="s">
        <v>3942</v>
      </c>
      <c r="C1007" s="26">
        <v>35000.0</v>
      </c>
      <c r="E1007" s="25" t="s">
        <v>3983</v>
      </c>
      <c r="F1007" s="25" t="s">
        <v>3048</v>
      </c>
    </row>
    <row r="1008">
      <c r="A1008" s="24" t="s">
        <v>3942</v>
      </c>
      <c r="C1008" s="26">
        <v>35000.0</v>
      </c>
      <c r="E1008" s="25" t="s">
        <v>4385</v>
      </c>
      <c r="F1008" s="25" t="s">
        <v>2630</v>
      </c>
    </row>
    <row r="1009">
      <c r="A1009" s="24" t="s">
        <v>3942</v>
      </c>
      <c r="C1009" s="26">
        <v>70000.0</v>
      </c>
      <c r="E1009" s="25" t="s">
        <v>3948</v>
      </c>
      <c r="F1009" s="25" t="s">
        <v>679</v>
      </c>
    </row>
    <row r="1010">
      <c r="A1010" s="24" t="s">
        <v>3942</v>
      </c>
      <c r="C1010" s="26">
        <v>70000.0</v>
      </c>
      <c r="E1010" s="25" t="s">
        <v>3948</v>
      </c>
      <c r="F1010" s="25" t="s">
        <v>1228</v>
      </c>
    </row>
    <row r="1011">
      <c r="A1011" s="24" t="s">
        <v>3942</v>
      </c>
      <c r="C1011" s="26">
        <v>70000.0</v>
      </c>
      <c r="E1011" s="25" t="s">
        <v>3952</v>
      </c>
      <c r="F1011" s="25" t="s">
        <v>680</v>
      </c>
    </row>
    <row r="1012">
      <c r="A1012" s="24" t="s">
        <v>3942</v>
      </c>
      <c r="C1012" s="26">
        <v>35000.0</v>
      </c>
      <c r="E1012" s="25" t="s">
        <v>3983</v>
      </c>
      <c r="F1012" s="25" t="s">
        <v>369</v>
      </c>
    </row>
    <row r="1013">
      <c r="A1013" s="24" t="s">
        <v>3942</v>
      </c>
      <c r="C1013" s="26">
        <v>70000.0</v>
      </c>
      <c r="E1013" s="25" t="s">
        <v>3968</v>
      </c>
      <c r="F1013" s="25" t="s">
        <v>886</v>
      </c>
    </row>
    <row r="1014">
      <c r="A1014" s="24" t="s">
        <v>3942</v>
      </c>
      <c r="C1014" s="26">
        <v>70000.0</v>
      </c>
      <c r="E1014" s="25" t="s">
        <v>3983</v>
      </c>
      <c r="F1014" s="25" t="s">
        <v>856</v>
      </c>
    </row>
    <row r="1015">
      <c r="A1015" s="24" t="s">
        <v>3942</v>
      </c>
      <c r="C1015" s="26">
        <v>35000.0</v>
      </c>
      <c r="E1015" s="25" t="s">
        <v>3944</v>
      </c>
      <c r="F1015" s="25" t="s">
        <v>500</v>
      </c>
    </row>
    <row r="1016">
      <c r="A1016" s="24" t="s">
        <v>3942</v>
      </c>
      <c r="C1016" s="26">
        <v>35000.0</v>
      </c>
      <c r="E1016" s="25" t="s">
        <v>4227</v>
      </c>
      <c r="F1016" s="25" t="s">
        <v>343</v>
      </c>
    </row>
    <row r="1017">
      <c r="A1017" s="24" t="s">
        <v>3942</v>
      </c>
      <c r="C1017" s="26">
        <v>35000.0</v>
      </c>
      <c r="E1017" s="25" t="s">
        <v>3990</v>
      </c>
      <c r="F1017" s="25" t="s">
        <v>390</v>
      </c>
    </row>
    <row r="1018">
      <c r="A1018" s="24" t="s">
        <v>3942</v>
      </c>
      <c r="C1018" s="26">
        <v>35000.0</v>
      </c>
      <c r="E1018" s="25" t="s">
        <v>3983</v>
      </c>
      <c r="F1018" s="25" t="s">
        <v>41</v>
      </c>
    </row>
    <row r="1019">
      <c r="A1019" s="24" t="s">
        <v>3942</v>
      </c>
      <c r="C1019" s="26">
        <v>35000.0</v>
      </c>
      <c r="E1019" s="25" t="s">
        <v>3941</v>
      </c>
      <c r="F1019" s="25" t="s">
        <v>11</v>
      </c>
    </row>
    <row r="1020">
      <c r="A1020" s="24" t="s">
        <v>3942</v>
      </c>
      <c r="C1020" s="26">
        <v>70000.0</v>
      </c>
      <c r="E1020" s="25" t="s">
        <v>3952</v>
      </c>
      <c r="F1020" s="25" t="s">
        <v>830</v>
      </c>
    </row>
    <row r="1021">
      <c r="A1021" s="24" t="s">
        <v>3942</v>
      </c>
      <c r="C1021" s="26">
        <v>70000.0</v>
      </c>
      <c r="E1021" s="25" t="s">
        <v>3946</v>
      </c>
      <c r="F1021" s="25" t="s">
        <v>4216</v>
      </c>
    </row>
    <row r="1022">
      <c r="A1022" s="24" t="s">
        <v>3942</v>
      </c>
      <c r="C1022" s="26">
        <v>70000.0</v>
      </c>
      <c r="E1022" s="25" t="s">
        <v>3983</v>
      </c>
      <c r="F1022" s="25" t="s">
        <v>968</v>
      </c>
    </row>
    <row r="1023">
      <c r="A1023" s="24" t="s">
        <v>3942</v>
      </c>
      <c r="C1023" s="26">
        <v>35000.0</v>
      </c>
      <c r="E1023" s="25" t="s">
        <v>3948</v>
      </c>
      <c r="F1023" s="25" t="s">
        <v>5685</v>
      </c>
    </row>
    <row r="1024">
      <c r="A1024" s="24" t="s">
        <v>3942</v>
      </c>
      <c r="C1024" s="26">
        <v>70000.0</v>
      </c>
      <c r="E1024" s="25" t="s">
        <v>3948</v>
      </c>
      <c r="F1024" s="25" t="s">
        <v>1161</v>
      </c>
    </row>
    <row r="1025">
      <c r="A1025" s="24" t="s">
        <v>3942</v>
      </c>
      <c r="C1025" s="26">
        <v>35000.0</v>
      </c>
      <c r="E1025" s="25" t="s">
        <v>3983</v>
      </c>
      <c r="F1025" s="25" t="s">
        <v>508</v>
      </c>
    </row>
    <row r="1026">
      <c r="A1026" s="24" t="s">
        <v>3942</v>
      </c>
      <c r="C1026" s="26">
        <v>35000.0</v>
      </c>
      <c r="E1026" s="25" t="s">
        <v>3941</v>
      </c>
      <c r="F1026" s="25" t="s">
        <v>375</v>
      </c>
    </row>
    <row r="1027">
      <c r="A1027" s="24" t="s">
        <v>3942</v>
      </c>
      <c r="C1027" s="26">
        <v>70000.0</v>
      </c>
      <c r="E1027" s="25" t="s">
        <v>3941</v>
      </c>
      <c r="F1027" s="25" t="s">
        <v>707</v>
      </c>
    </row>
    <row r="1028">
      <c r="A1028" s="24" t="s">
        <v>3942</v>
      </c>
      <c r="C1028" s="26">
        <v>35000.0</v>
      </c>
      <c r="E1028" s="25" t="s">
        <v>3944</v>
      </c>
      <c r="F1028" s="25" t="s">
        <v>4389</v>
      </c>
    </row>
    <row r="1029">
      <c r="A1029" s="24" t="s">
        <v>3942</v>
      </c>
      <c r="C1029" s="26">
        <v>70000.0</v>
      </c>
      <c r="E1029" s="25" t="s">
        <v>3939</v>
      </c>
      <c r="F1029" s="25" t="s">
        <v>895</v>
      </c>
    </row>
    <row r="1030">
      <c r="A1030" s="24" t="s">
        <v>3942</v>
      </c>
      <c r="C1030" s="26">
        <v>35000.0</v>
      </c>
      <c r="E1030" s="25" t="s">
        <v>4329</v>
      </c>
      <c r="F1030" s="25" t="s">
        <v>489</v>
      </c>
    </row>
    <row r="1031">
      <c r="A1031" s="24" t="s">
        <v>3942</v>
      </c>
      <c r="C1031" s="26">
        <v>35000.0</v>
      </c>
      <c r="E1031" s="25" t="s">
        <v>3983</v>
      </c>
      <c r="F1031" s="25" t="s">
        <v>405</v>
      </c>
    </row>
    <row r="1032">
      <c r="A1032" s="24" t="s">
        <v>3942</v>
      </c>
      <c r="C1032" s="26">
        <v>35000.0</v>
      </c>
      <c r="E1032" s="25" t="s">
        <v>3939</v>
      </c>
      <c r="F1032" s="25" t="s">
        <v>3003</v>
      </c>
    </row>
    <row r="1033">
      <c r="A1033" s="24" t="s">
        <v>3942</v>
      </c>
      <c r="C1033" s="26">
        <v>70000.0</v>
      </c>
      <c r="E1033" s="25" t="s">
        <v>3946</v>
      </c>
      <c r="F1033" s="25" t="s">
        <v>862</v>
      </c>
    </row>
    <row r="1034">
      <c r="A1034" s="24" t="s">
        <v>3942</v>
      </c>
      <c r="C1034" s="26">
        <v>35000.0</v>
      </c>
      <c r="E1034" s="25" t="s">
        <v>3946</v>
      </c>
      <c r="F1034" s="25" t="s">
        <v>113</v>
      </c>
    </row>
    <row r="1035">
      <c r="A1035" s="24" t="s">
        <v>3942</v>
      </c>
      <c r="C1035" s="26">
        <v>70000.0</v>
      </c>
      <c r="E1035" s="25" t="s">
        <v>3946</v>
      </c>
      <c r="F1035" s="25" t="s">
        <v>747</v>
      </c>
    </row>
    <row r="1036">
      <c r="A1036" s="24" t="s">
        <v>3942</v>
      </c>
      <c r="C1036" s="26">
        <v>35000.0</v>
      </c>
      <c r="E1036" s="25" t="s">
        <v>3939</v>
      </c>
      <c r="F1036" s="25" t="s">
        <v>325</v>
      </c>
    </row>
    <row r="1037">
      <c r="A1037" s="24" t="s">
        <v>3942</v>
      </c>
      <c r="C1037" s="26">
        <v>70000.0</v>
      </c>
      <c r="E1037" s="25" t="s">
        <v>3941</v>
      </c>
      <c r="F1037" s="25" t="s">
        <v>898</v>
      </c>
    </row>
    <row r="1038">
      <c r="A1038" s="24" t="s">
        <v>3942</v>
      </c>
      <c r="C1038" s="26">
        <v>35000.0</v>
      </c>
      <c r="E1038" s="25" t="s">
        <v>3952</v>
      </c>
      <c r="F1038" s="25" t="s">
        <v>428</v>
      </c>
    </row>
    <row r="1039">
      <c r="A1039" s="24" t="s">
        <v>3942</v>
      </c>
      <c r="C1039" s="26">
        <v>35000.0</v>
      </c>
      <c r="E1039" s="25" t="s">
        <v>4006</v>
      </c>
      <c r="F1039" s="25" t="s">
        <v>267</v>
      </c>
    </row>
    <row r="1040">
      <c r="A1040" s="24" t="s">
        <v>3942</v>
      </c>
      <c r="C1040" s="26">
        <v>35000.0</v>
      </c>
      <c r="E1040" s="25" t="s">
        <v>3946</v>
      </c>
      <c r="F1040" s="25" t="s">
        <v>4496</v>
      </c>
    </row>
    <row r="1041">
      <c r="A1041" s="24" t="s">
        <v>3942</v>
      </c>
      <c r="C1041" s="26">
        <v>70000.0</v>
      </c>
      <c r="E1041" s="25" t="s">
        <v>4047</v>
      </c>
      <c r="F1041" s="25" t="s">
        <v>1406</v>
      </c>
    </row>
    <row r="1042">
      <c r="A1042" s="24" t="s">
        <v>3942</v>
      </c>
      <c r="C1042" s="26">
        <v>35000.0</v>
      </c>
      <c r="E1042" s="25" t="s">
        <v>3939</v>
      </c>
      <c r="F1042" s="25" t="s">
        <v>4179</v>
      </c>
    </row>
    <row r="1043">
      <c r="A1043" s="24" t="s">
        <v>3942</v>
      </c>
      <c r="C1043" s="26">
        <v>35000.0</v>
      </c>
      <c r="E1043" s="25" t="s">
        <v>4068</v>
      </c>
      <c r="F1043" s="25" t="s">
        <v>2439</v>
      </c>
    </row>
    <row r="1044">
      <c r="A1044" s="24" t="s">
        <v>3942</v>
      </c>
      <c r="C1044" s="26">
        <v>35000.0</v>
      </c>
      <c r="E1044" s="25" t="s">
        <v>3983</v>
      </c>
      <c r="F1044" s="25" t="s">
        <v>33</v>
      </c>
    </row>
    <row r="1045">
      <c r="A1045" s="24" t="s">
        <v>3942</v>
      </c>
      <c r="C1045" s="26">
        <v>35000.0</v>
      </c>
      <c r="E1045" s="25" t="s">
        <v>3948</v>
      </c>
      <c r="F1045" s="25" t="s">
        <v>43</v>
      </c>
    </row>
    <row r="1046">
      <c r="A1046" s="24" t="s">
        <v>3942</v>
      </c>
      <c r="C1046" s="26">
        <v>35000.0</v>
      </c>
      <c r="E1046" s="25" t="s">
        <v>3939</v>
      </c>
      <c r="F1046" s="25" t="s">
        <v>198</v>
      </c>
    </row>
    <row r="1047">
      <c r="A1047" s="24" t="s">
        <v>3942</v>
      </c>
      <c r="C1047" s="26">
        <v>35000.0</v>
      </c>
      <c r="E1047" s="25" t="s">
        <v>4377</v>
      </c>
      <c r="F1047" s="25" t="s">
        <v>2794</v>
      </c>
    </row>
    <row r="1048">
      <c r="A1048" s="24" t="s">
        <v>3942</v>
      </c>
      <c r="C1048" s="26">
        <v>70000.0</v>
      </c>
      <c r="E1048" s="25" t="s">
        <v>3983</v>
      </c>
      <c r="F1048" s="25" t="s">
        <v>4130</v>
      </c>
    </row>
    <row r="1049">
      <c r="A1049" s="24" t="s">
        <v>3942</v>
      </c>
      <c r="C1049" s="26">
        <v>70000.0</v>
      </c>
      <c r="E1049" s="25" t="s">
        <v>3946</v>
      </c>
      <c r="F1049" s="25" t="s">
        <v>910</v>
      </c>
    </row>
    <row r="1050">
      <c r="A1050" s="24" t="s">
        <v>3942</v>
      </c>
      <c r="C1050" s="26">
        <v>70000.0</v>
      </c>
      <c r="E1050" s="25" t="s">
        <v>3948</v>
      </c>
      <c r="F1050" s="25" t="s">
        <v>1072</v>
      </c>
    </row>
    <row r="1051">
      <c r="A1051" s="24" t="s">
        <v>3942</v>
      </c>
      <c r="C1051" s="26">
        <v>70000.0</v>
      </c>
      <c r="E1051" s="25" t="s">
        <v>3941</v>
      </c>
      <c r="F1051" s="25" t="s">
        <v>4149</v>
      </c>
    </row>
    <row r="1052">
      <c r="A1052" s="24" t="s">
        <v>3942</v>
      </c>
      <c r="C1052" s="26">
        <v>35000.0</v>
      </c>
      <c r="E1052" s="25" t="s">
        <v>3948</v>
      </c>
      <c r="F1052" s="25" t="s">
        <v>2887</v>
      </c>
    </row>
    <row r="1053">
      <c r="A1053" s="24" t="s">
        <v>3942</v>
      </c>
      <c r="C1053" s="26">
        <v>35000.0</v>
      </c>
      <c r="E1053" s="25" t="s">
        <v>3983</v>
      </c>
      <c r="F1053" s="25" t="s">
        <v>460</v>
      </c>
    </row>
    <row r="1054">
      <c r="A1054" s="24" t="s">
        <v>3942</v>
      </c>
      <c r="C1054" s="26">
        <v>70000.0</v>
      </c>
      <c r="E1054" s="25" t="s">
        <v>3983</v>
      </c>
      <c r="F1054" s="25" t="s">
        <v>686</v>
      </c>
    </row>
    <row r="1055">
      <c r="A1055" s="24" t="s">
        <v>3942</v>
      </c>
      <c r="C1055" s="26">
        <v>35000.0</v>
      </c>
      <c r="E1055" s="25" t="s">
        <v>3948</v>
      </c>
      <c r="F1055" s="25" t="s">
        <v>2852</v>
      </c>
    </row>
    <row r="1056">
      <c r="A1056" s="24" t="s">
        <v>3942</v>
      </c>
      <c r="C1056" s="26">
        <v>35000.0</v>
      </c>
      <c r="E1056" s="25" t="s">
        <v>3939</v>
      </c>
      <c r="F1056" s="25" t="s">
        <v>3014</v>
      </c>
    </row>
    <row r="1057">
      <c r="A1057" s="24" t="s">
        <v>3942</v>
      </c>
      <c r="C1057" s="26">
        <v>35000.0</v>
      </c>
      <c r="E1057" s="25" t="s">
        <v>3946</v>
      </c>
      <c r="F1057" s="25" t="s">
        <v>464</v>
      </c>
    </row>
    <row r="1058">
      <c r="A1058" s="24" t="s">
        <v>3942</v>
      </c>
      <c r="C1058" s="26">
        <v>35000.0</v>
      </c>
      <c r="E1058" s="25" t="s">
        <v>3983</v>
      </c>
      <c r="F1058" s="25" t="s">
        <v>2817</v>
      </c>
    </row>
    <row r="1059">
      <c r="A1059" s="24" t="s">
        <v>3942</v>
      </c>
      <c r="C1059" s="26">
        <v>70000.0</v>
      </c>
      <c r="E1059" s="25" t="s">
        <v>3941</v>
      </c>
      <c r="F1059" s="25" t="s">
        <v>933</v>
      </c>
    </row>
    <row r="1060">
      <c r="A1060" s="24" t="s">
        <v>3942</v>
      </c>
      <c r="C1060" s="26">
        <v>70000.0</v>
      </c>
      <c r="E1060" s="25" t="s">
        <v>3986</v>
      </c>
      <c r="F1060" s="25" t="s">
        <v>571</v>
      </c>
    </row>
    <row r="1061">
      <c r="A1061" s="24" t="s">
        <v>3942</v>
      </c>
      <c r="C1061" s="26">
        <v>35000.0</v>
      </c>
      <c r="E1061" s="25" t="s">
        <v>3983</v>
      </c>
      <c r="F1061" s="25" t="s">
        <v>2865</v>
      </c>
    </row>
    <row r="1062">
      <c r="A1062" s="24" t="s">
        <v>3942</v>
      </c>
      <c r="C1062" s="26">
        <v>35000.0</v>
      </c>
      <c r="E1062" s="25" t="s">
        <v>4047</v>
      </c>
      <c r="F1062" s="25" t="s">
        <v>204</v>
      </c>
    </row>
    <row r="1063">
      <c r="A1063" s="24" t="s">
        <v>3942</v>
      </c>
      <c r="C1063" s="26">
        <v>70000.0</v>
      </c>
      <c r="E1063" s="25" t="s">
        <v>4122</v>
      </c>
      <c r="F1063" s="25" t="s">
        <v>694</v>
      </c>
    </row>
    <row r="1064">
      <c r="A1064" s="24" t="s">
        <v>3942</v>
      </c>
      <c r="C1064" s="26">
        <v>70000.0</v>
      </c>
      <c r="E1064" s="25" t="s">
        <v>3983</v>
      </c>
      <c r="F1064" s="25" t="s">
        <v>684</v>
      </c>
    </row>
    <row r="1065">
      <c r="A1065" s="24" t="s">
        <v>3942</v>
      </c>
      <c r="C1065" s="26">
        <v>35000.0</v>
      </c>
      <c r="E1065" s="25" t="s">
        <v>3944</v>
      </c>
      <c r="F1065" s="25" t="s">
        <v>3</v>
      </c>
    </row>
    <row r="1066">
      <c r="A1066" s="24" t="s">
        <v>3942</v>
      </c>
      <c r="C1066" s="26">
        <v>35000.0</v>
      </c>
      <c r="E1066" s="25" t="s">
        <v>3952</v>
      </c>
      <c r="F1066" s="25" t="s">
        <v>4418</v>
      </c>
    </row>
    <row r="1067">
      <c r="A1067" s="24" t="s">
        <v>3942</v>
      </c>
      <c r="C1067" s="26">
        <v>70000.0</v>
      </c>
      <c r="E1067" s="25" t="s">
        <v>3948</v>
      </c>
      <c r="F1067" s="25" t="s">
        <v>1110</v>
      </c>
    </row>
    <row r="1068">
      <c r="A1068" s="24" t="s">
        <v>3942</v>
      </c>
      <c r="C1068" s="26">
        <v>70000.0</v>
      </c>
      <c r="E1068" s="25" t="s">
        <v>4116</v>
      </c>
      <c r="F1068" s="25" t="s">
        <v>1183</v>
      </c>
    </row>
    <row r="1069">
      <c r="A1069" s="24" t="s">
        <v>3942</v>
      </c>
      <c r="C1069" s="26">
        <v>35000.0</v>
      </c>
      <c r="E1069" s="25" t="s">
        <v>3948</v>
      </c>
      <c r="F1069" s="25" t="s">
        <v>165</v>
      </c>
    </row>
    <row r="1070">
      <c r="A1070" s="24" t="s">
        <v>3942</v>
      </c>
      <c r="C1070" s="26">
        <v>35000.0</v>
      </c>
      <c r="E1070" s="25" t="s">
        <v>4476</v>
      </c>
      <c r="F1070" s="25" t="s">
        <v>410</v>
      </c>
    </row>
    <row r="1071">
      <c r="A1071" s="24" t="s">
        <v>3942</v>
      </c>
      <c r="C1071" s="26">
        <v>70000.0</v>
      </c>
      <c r="E1071" s="25" t="s">
        <v>4004</v>
      </c>
      <c r="F1071" s="25" t="s">
        <v>763</v>
      </c>
    </row>
    <row r="1072">
      <c r="A1072" s="24" t="s">
        <v>3942</v>
      </c>
      <c r="B1072" s="99"/>
      <c r="C1072" s="26">
        <v>70000.0</v>
      </c>
      <c r="D1072" s="100"/>
      <c r="E1072" s="25" t="s">
        <v>3946</v>
      </c>
      <c r="F1072" s="25" t="s">
        <v>2747</v>
      </c>
      <c r="G1072" s="101"/>
    </row>
    <row r="1073">
      <c r="A1073" s="24" t="s">
        <v>3942</v>
      </c>
      <c r="C1073" s="26">
        <v>35000.0</v>
      </c>
      <c r="E1073" s="25" t="s">
        <v>3983</v>
      </c>
      <c r="F1073" s="25" t="s">
        <v>408</v>
      </c>
    </row>
    <row r="1074">
      <c r="A1074" s="24" t="s">
        <v>3942</v>
      </c>
      <c r="C1074" s="26">
        <v>70000.0</v>
      </c>
      <c r="E1074" s="25" t="s">
        <v>3983</v>
      </c>
      <c r="F1074" s="25" t="s">
        <v>670</v>
      </c>
    </row>
    <row r="1075">
      <c r="A1075" s="24" t="s">
        <v>3942</v>
      </c>
      <c r="C1075" s="26">
        <v>35000.0</v>
      </c>
      <c r="E1075" s="25" t="s">
        <v>3983</v>
      </c>
      <c r="F1075" s="25" t="s">
        <v>4144</v>
      </c>
    </row>
    <row r="1076">
      <c r="A1076" s="24" t="s">
        <v>3942</v>
      </c>
      <c r="C1076" s="26">
        <v>35000.0</v>
      </c>
      <c r="E1076" s="25" t="s">
        <v>3983</v>
      </c>
      <c r="F1076" s="25" t="s">
        <v>185</v>
      </c>
    </row>
    <row r="1077">
      <c r="A1077" s="24" t="s">
        <v>3942</v>
      </c>
      <c r="C1077" s="26">
        <v>70000.0</v>
      </c>
      <c r="E1077" s="25" t="s">
        <v>3948</v>
      </c>
      <c r="F1077" s="25" t="s">
        <v>977</v>
      </c>
    </row>
    <row r="1078">
      <c r="A1078" s="24" t="s">
        <v>3942</v>
      </c>
      <c r="C1078" s="26">
        <v>70000.0</v>
      </c>
      <c r="E1078" s="25" t="s">
        <v>3939</v>
      </c>
      <c r="F1078" s="25" t="s">
        <v>978</v>
      </c>
    </row>
    <row r="1079">
      <c r="A1079" s="24" t="s">
        <v>3942</v>
      </c>
      <c r="C1079" s="26">
        <v>35000.0</v>
      </c>
      <c r="E1079" s="25" t="s">
        <v>3952</v>
      </c>
      <c r="F1079" s="25" t="s">
        <v>4573</v>
      </c>
    </row>
    <row r="1080">
      <c r="A1080" s="24" t="s">
        <v>3942</v>
      </c>
      <c r="C1080" s="26">
        <v>70000.0</v>
      </c>
      <c r="E1080" s="25" t="s">
        <v>3939</v>
      </c>
      <c r="F1080" s="25" t="s">
        <v>647</v>
      </c>
    </row>
    <row r="1081">
      <c r="A1081" s="24" t="s">
        <v>3942</v>
      </c>
      <c r="C1081" s="26">
        <v>70000.0</v>
      </c>
      <c r="E1081" s="25" t="s">
        <v>3944</v>
      </c>
      <c r="F1081" s="25" t="s">
        <v>4621</v>
      </c>
    </row>
    <row r="1082">
      <c r="A1082" s="24" t="s">
        <v>3942</v>
      </c>
      <c r="C1082" s="26">
        <v>70000.0</v>
      </c>
      <c r="E1082" s="25" t="s">
        <v>4273</v>
      </c>
      <c r="F1082" s="25" t="s">
        <v>868</v>
      </c>
    </row>
    <row r="1083">
      <c r="A1083" s="24" t="s">
        <v>3942</v>
      </c>
      <c r="C1083" s="26">
        <v>70000.0</v>
      </c>
      <c r="E1083" s="25" t="s">
        <v>3952</v>
      </c>
      <c r="F1083" s="25" t="s">
        <v>623</v>
      </c>
    </row>
    <row r="1084">
      <c r="A1084" s="24" t="s">
        <v>3942</v>
      </c>
      <c r="C1084" s="26">
        <v>70000.0</v>
      </c>
      <c r="E1084" s="25" t="s">
        <v>3983</v>
      </c>
      <c r="F1084" s="25" t="s">
        <v>703</v>
      </c>
    </row>
    <row r="1085">
      <c r="A1085" s="24" t="s">
        <v>3942</v>
      </c>
      <c r="C1085" s="26">
        <v>35000.0</v>
      </c>
      <c r="E1085" s="25" t="s">
        <v>4186</v>
      </c>
      <c r="F1085" s="25" t="s">
        <v>289</v>
      </c>
    </row>
    <row r="1086">
      <c r="A1086" s="24" t="s">
        <v>3942</v>
      </c>
      <c r="C1086" s="26">
        <v>70000.0</v>
      </c>
      <c r="E1086" s="25" t="s">
        <v>3948</v>
      </c>
      <c r="F1086" s="25" t="s">
        <v>2247</v>
      </c>
    </row>
    <row r="1087">
      <c r="A1087" s="24" t="s">
        <v>3942</v>
      </c>
      <c r="C1087" s="26">
        <v>70000.0</v>
      </c>
      <c r="E1087" s="25" t="s">
        <v>3944</v>
      </c>
      <c r="F1087" s="25" t="s">
        <v>681</v>
      </c>
    </row>
    <row r="1088">
      <c r="A1088" s="24" t="s">
        <v>3942</v>
      </c>
      <c r="C1088" s="26">
        <v>70000.0</v>
      </c>
      <c r="E1088" s="25" t="s">
        <v>3983</v>
      </c>
      <c r="F1088" s="25" t="s">
        <v>617</v>
      </c>
    </row>
    <row r="1089">
      <c r="A1089" s="24" t="s">
        <v>3942</v>
      </c>
      <c r="C1089" s="26">
        <v>35000.0</v>
      </c>
      <c r="E1089" s="25" t="s">
        <v>3946</v>
      </c>
      <c r="F1089" s="25" t="s">
        <v>318</v>
      </c>
    </row>
    <row r="1090">
      <c r="A1090" s="24" t="s">
        <v>3942</v>
      </c>
      <c r="C1090" s="26">
        <v>70000.0</v>
      </c>
      <c r="E1090" s="25" t="s">
        <v>3968</v>
      </c>
      <c r="F1090" s="25" t="s">
        <v>2161</v>
      </c>
    </row>
    <row r="1091">
      <c r="A1091" s="24" t="s">
        <v>3942</v>
      </c>
      <c r="C1091" s="26">
        <v>35000.0</v>
      </c>
      <c r="E1091" s="25" t="s">
        <v>4300</v>
      </c>
      <c r="F1091" s="25" t="s">
        <v>3630</v>
      </c>
    </row>
    <row r="1092">
      <c r="A1092" s="24" t="s">
        <v>3942</v>
      </c>
      <c r="C1092" s="26">
        <v>35000.0</v>
      </c>
      <c r="E1092" s="25" t="s">
        <v>3948</v>
      </c>
      <c r="F1092" s="25" t="s">
        <v>430</v>
      </c>
    </row>
    <row r="1093">
      <c r="A1093" s="24" t="s">
        <v>3942</v>
      </c>
      <c r="C1093" s="26">
        <v>35000.0</v>
      </c>
      <c r="E1093" s="25" t="s">
        <v>4118</v>
      </c>
      <c r="F1093" s="25" t="s">
        <v>3247</v>
      </c>
    </row>
    <row r="1094">
      <c r="A1094" s="24" t="s">
        <v>3942</v>
      </c>
      <c r="C1094" s="26">
        <v>70000.0</v>
      </c>
      <c r="E1094" s="25" t="s">
        <v>3946</v>
      </c>
      <c r="F1094" s="25" t="s">
        <v>4115</v>
      </c>
    </row>
    <row r="1095">
      <c r="A1095" s="24" t="s">
        <v>3942</v>
      </c>
      <c r="C1095" s="26">
        <v>70000.0</v>
      </c>
      <c r="E1095" s="25" t="s">
        <v>3946</v>
      </c>
      <c r="F1095" s="25" t="s">
        <v>2284</v>
      </c>
    </row>
    <row r="1096">
      <c r="A1096" s="24" t="s">
        <v>3942</v>
      </c>
      <c r="C1096" s="26">
        <v>35000.0</v>
      </c>
      <c r="E1096" s="25" t="s">
        <v>3983</v>
      </c>
      <c r="F1096" s="25" t="s">
        <v>4210</v>
      </c>
    </row>
    <row r="1097">
      <c r="A1097" s="24" t="s">
        <v>3942</v>
      </c>
      <c r="C1097" s="26">
        <v>70000.0</v>
      </c>
      <c r="E1097" s="25" t="s">
        <v>4315</v>
      </c>
      <c r="F1097" s="25" t="s">
        <v>909</v>
      </c>
    </row>
    <row r="1098">
      <c r="A1098" s="24" t="s">
        <v>3942</v>
      </c>
      <c r="C1098" s="26">
        <v>70000.0</v>
      </c>
      <c r="E1098" s="25" t="s">
        <v>3941</v>
      </c>
      <c r="F1098" s="25" t="s">
        <v>649</v>
      </c>
    </row>
    <row r="1099">
      <c r="A1099" s="24" t="s">
        <v>3942</v>
      </c>
      <c r="C1099" s="26">
        <v>35000.0</v>
      </c>
      <c r="E1099" s="25" t="s">
        <v>3946</v>
      </c>
      <c r="F1099" s="25" t="s">
        <v>4314</v>
      </c>
    </row>
    <row r="1100">
      <c r="A1100" s="24" t="s">
        <v>3942</v>
      </c>
      <c r="C1100" s="26">
        <v>70000.0</v>
      </c>
      <c r="E1100" s="25" t="s">
        <v>3983</v>
      </c>
      <c r="F1100" s="25" t="s">
        <v>630</v>
      </c>
    </row>
    <row r="1101">
      <c r="A1101" s="24" t="s">
        <v>3942</v>
      </c>
      <c r="C1101" s="26">
        <v>35000.0</v>
      </c>
      <c r="E1101" s="25" t="s">
        <v>3939</v>
      </c>
      <c r="F1101" s="25" t="s">
        <v>68</v>
      </c>
    </row>
    <row r="1102">
      <c r="A1102" s="24" t="s">
        <v>3942</v>
      </c>
      <c r="C1102" s="26">
        <v>35000.0</v>
      </c>
      <c r="E1102" s="25" t="s">
        <v>3941</v>
      </c>
      <c r="F1102" s="25" t="s">
        <v>300</v>
      </c>
    </row>
    <row r="1103">
      <c r="A1103" s="24" t="s">
        <v>3942</v>
      </c>
      <c r="C1103" s="26">
        <v>35000.0</v>
      </c>
      <c r="E1103" s="25" t="s">
        <v>3939</v>
      </c>
      <c r="F1103" s="25" t="s">
        <v>535</v>
      </c>
    </row>
    <row r="1104">
      <c r="A1104" s="24" t="s">
        <v>3942</v>
      </c>
      <c r="C1104" s="26">
        <v>35000.0</v>
      </c>
      <c r="E1104" s="25" t="s">
        <v>3946</v>
      </c>
      <c r="F1104" s="25" t="s">
        <v>21</v>
      </c>
    </row>
    <row r="1105">
      <c r="A1105" s="24" t="s">
        <v>3942</v>
      </c>
      <c r="C1105" s="26">
        <v>70000.0</v>
      </c>
      <c r="E1105" s="25" t="s">
        <v>3941</v>
      </c>
      <c r="F1105" s="25" t="s">
        <v>962</v>
      </c>
    </row>
    <row r="1106">
      <c r="A1106" s="24" t="s">
        <v>3942</v>
      </c>
      <c r="C1106" s="26">
        <v>35000.0</v>
      </c>
      <c r="E1106" s="25" t="s">
        <v>4046</v>
      </c>
      <c r="F1106" s="25" t="s">
        <v>191</v>
      </c>
    </row>
    <row r="1107">
      <c r="A1107" s="24" t="s">
        <v>3942</v>
      </c>
      <c r="C1107" s="26">
        <v>35000.0</v>
      </c>
      <c r="E1107" s="25" t="s">
        <v>3946</v>
      </c>
      <c r="F1107" s="25" t="s">
        <v>4152</v>
      </c>
    </row>
    <row r="1108">
      <c r="A1108" s="24" t="s">
        <v>3942</v>
      </c>
      <c r="C1108" s="26">
        <v>70000.0</v>
      </c>
      <c r="E1108" s="25" t="s">
        <v>3983</v>
      </c>
      <c r="F1108" s="25" t="s">
        <v>943</v>
      </c>
    </row>
    <row r="1109">
      <c r="A1109" s="24" t="s">
        <v>3942</v>
      </c>
      <c r="C1109" s="26">
        <v>35000.0</v>
      </c>
      <c r="E1109" s="25" t="s">
        <v>3948</v>
      </c>
      <c r="F1109" s="25" t="s">
        <v>505</v>
      </c>
    </row>
    <row r="1110">
      <c r="A1110" s="24" t="s">
        <v>3942</v>
      </c>
      <c r="C1110" s="26">
        <v>70000.0</v>
      </c>
      <c r="E1110" s="25" t="s">
        <v>3944</v>
      </c>
      <c r="F1110" s="25" t="s">
        <v>1377</v>
      </c>
    </row>
    <row r="1111">
      <c r="A1111" s="24" t="s">
        <v>3942</v>
      </c>
      <c r="C1111" s="26">
        <v>35000.0</v>
      </c>
      <c r="E1111" s="25" t="s">
        <v>3946</v>
      </c>
      <c r="F1111" s="25" t="s">
        <v>4207</v>
      </c>
    </row>
    <row r="1112">
      <c r="A1112" s="24" t="s">
        <v>3942</v>
      </c>
      <c r="C1112" s="26">
        <v>35000.0</v>
      </c>
      <c r="E1112" s="25" t="s">
        <v>4483</v>
      </c>
      <c r="F1112" s="25" t="s">
        <v>2913</v>
      </c>
    </row>
    <row r="1113">
      <c r="A1113" s="24" t="s">
        <v>3942</v>
      </c>
      <c r="C1113" s="26">
        <v>35000.0</v>
      </c>
      <c r="E1113" s="25" t="s">
        <v>3939</v>
      </c>
      <c r="F1113" s="25" t="s">
        <v>330</v>
      </c>
    </row>
    <row r="1114">
      <c r="A1114" s="24" t="s">
        <v>3942</v>
      </c>
      <c r="B1114" s="99"/>
      <c r="C1114" s="26">
        <v>35000.0</v>
      </c>
      <c r="D1114" s="100"/>
      <c r="E1114" s="25" t="s">
        <v>3983</v>
      </c>
      <c r="F1114" s="25" t="s">
        <v>4339</v>
      </c>
      <c r="G1114" s="101"/>
    </row>
    <row r="1115">
      <c r="A1115" s="24" t="s">
        <v>3942</v>
      </c>
      <c r="C1115" s="26">
        <v>70000.0</v>
      </c>
      <c r="E1115" s="25" t="s">
        <v>4040</v>
      </c>
      <c r="F1115" s="25" t="s">
        <v>2654</v>
      </c>
    </row>
    <row r="1116">
      <c r="A1116" s="24" t="s">
        <v>3942</v>
      </c>
      <c r="C1116" s="26">
        <v>35000.0</v>
      </c>
      <c r="E1116" s="25" t="s">
        <v>3952</v>
      </c>
      <c r="F1116" s="25" t="s">
        <v>57</v>
      </c>
    </row>
    <row r="1117">
      <c r="A1117" s="24" t="s">
        <v>3942</v>
      </c>
      <c r="C1117" s="26">
        <v>35000.0</v>
      </c>
      <c r="E1117" s="25" t="s">
        <v>3944</v>
      </c>
      <c r="F1117" s="25" t="s">
        <v>59</v>
      </c>
    </row>
    <row r="1118">
      <c r="A1118" s="24" t="s">
        <v>3942</v>
      </c>
      <c r="C1118" s="26">
        <v>35000.0</v>
      </c>
      <c r="E1118" s="25" t="s">
        <v>3939</v>
      </c>
      <c r="F1118" s="25" t="s">
        <v>323</v>
      </c>
    </row>
    <row r="1119">
      <c r="A1119" s="24" t="s">
        <v>3942</v>
      </c>
      <c r="C1119" s="26">
        <v>70000.0</v>
      </c>
      <c r="E1119" s="25" t="s">
        <v>3946</v>
      </c>
      <c r="F1119" s="25" t="s">
        <v>4448</v>
      </c>
    </row>
    <row r="1120">
      <c r="A1120" s="24" t="s">
        <v>3942</v>
      </c>
      <c r="C1120" s="26">
        <v>70000.0</v>
      </c>
      <c r="E1120" s="25" t="s">
        <v>4145</v>
      </c>
      <c r="F1120" s="25" t="s">
        <v>715</v>
      </c>
    </row>
    <row r="1121">
      <c r="A1121" s="24" t="s">
        <v>3942</v>
      </c>
      <c r="C1121" s="26">
        <v>35000.0</v>
      </c>
      <c r="E1121" s="25" t="s">
        <v>3983</v>
      </c>
      <c r="F1121" s="25" t="s">
        <v>3120</v>
      </c>
    </row>
    <row r="1122">
      <c r="A1122" s="24" t="s">
        <v>3942</v>
      </c>
      <c r="C1122" s="26">
        <v>70000.0</v>
      </c>
      <c r="E1122" s="25" t="s">
        <v>3952</v>
      </c>
      <c r="F1122" s="25" t="s">
        <v>570</v>
      </c>
    </row>
    <row r="1123">
      <c r="A1123" s="24" t="s">
        <v>3942</v>
      </c>
      <c r="C1123" s="26">
        <v>70000.0</v>
      </c>
      <c r="E1123" s="25" t="s">
        <v>3944</v>
      </c>
      <c r="F1123" s="25" t="s">
        <v>4424</v>
      </c>
    </row>
    <row r="1124">
      <c r="A1124" s="24" t="s">
        <v>3942</v>
      </c>
      <c r="C1124" s="26">
        <v>35000.0</v>
      </c>
      <c r="E1124" s="25" t="s">
        <v>4409</v>
      </c>
      <c r="F1124" s="25" t="s">
        <v>131</v>
      </c>
    </row>
    <row r="1125">
      <c r="A1125" s="24" t="s">
        <v>3942</v>
      </c>
      <c r="C1125" s="26">
        <v>35000.0</v>
      </c>
      <c r="E1125" s="25" t="s">
        <v>3944</v>
      </c>
      <c r="F1125" s="25" t="s">
        <v>4390</v>
      </c>
    </row>
    <row r="1126">
      <c r="A1126" s="24" t="s">
        <v>3942</v>
      </c>
      <c r="C1126" s="26">
        <v>35000.0</v>
      </c>
      <c r="E1126" s="25" t="s">
        <v>3948</v>
      </c>
      <c r="F1126" s="25" t="s">
        <v>378</v>
      </c>
    </row>
    <row r="1127">
      <c r="A1127" s="24" t="s">
        <v>3942</v>
      </c>
      <c r="C1127" s="26">
        <v>35000.0</v>
      </c>
      <c r="E1127" s="25" t="s">
        <v>4382</v>
      </c>
      <c r="F1127" s="25" t="s">
        <v>2800</v>
      </c>
    </row>
    <row r="1128">
      <c r="A1128" s="24" t="s">
        <v>3942</v>
      </c>
      <c r="C1128" s="26">
        <v>35000.0</v>
      </c>
      <c r="E1128" s="25" t="s">
        <v>3983</v>
      </c>
      <c r="F1128" s="25" t="s">
        <v>2815</v>
      </c>
    </row>
    <row r="1129">
      <c r="A1129" s="24" t="s">
        <v>3942</v>
      </c>
      <c r="C1129" s="26">
        <v>35000.0</v>
      </c>
      <c r="E1129" s="25" t="s">
        <v>3997</v>
      </c>
      <c r="F1129" s="25" t="s">
        <v>37</v>
      </c>
    </row>
    <row r="1130">
      <c r="A1130" s="24" t="s">
        <v>3942</v>
      </c>
      <c r="C1130" s="26">
        <v>35000.0</v>
      </c>
      <c r="E1130" s="25" t="s">
        <v>4031</v>
      </c>
      <c r="F1130" s="25" t="s">
        <v>87</v>
      </c>
    </row>
    <row r="1131">
      <c r="A1131" s="24" t="s">
        <v>3942</v>
      </c>
      <c r="C1131" s="26">
        <v>35000.0</v>
      </c>
      <c r="E1131" s="25" t="s">
        <v>3983</v>
      </c>
      <c r="F1131" s="25" t="s">
        <v>4327</v>
      </c>
    </row>
    <row r="1132">
      <c r="A1132" s="24" t="s">
        <v>3942</v>
      </c>
      <c r="C1132" s="26">
        <v>70000.0</v>
      </c>
      <c r="E1132" s="25" t="s">
        <v>3990</v>
      </c>
      <c r="F1132" s="25" t="s">
        <v>2418</v>
      </c>
    </row>
    <row r="1133">
      <c r="A1133" s="24" t="s">
        <v>3942</v>
      </c>
      <c r="C1133" s="26">
        <v>70000.0</v>
      </c>
      <c r="E1133" s="25" t="s">
        <v>3946</v>
      </c>
      <c r="F1133" s="25" t="s">
        <v>748</v>
      </c>
    </row>
    <row r="1134">
      <c r="A1134" s="24" t="s">
        <v>3942</v>
      </c>
      <c r="C1134" s="26">
        <v>35000.0</v>
      </c>
      <c r="E1134" s="25" t="s">
        <v>3983</v>
      </c>
      <c r="F1134" s="25" t="s">
        <v>3688</v>
      </c>
    </row>
    <row r="1135">
      <c r="A1135" s="24" t="s">
        <v>3942</v>
      </c>
      <c r="C1135" s="26">
        <v>70000.0</v>
      </c>
      <c r="E1135" s="25" t="s">
        <v>3983</v>
      </c>
      <c r="F1135" s="25" t="s">
        <v>753</v>
      </c>
    </row>
    <row r="1136">
      <c r="A1136" s="24" t="s">
        <v>3942</v>
      </c>
      <c r="C1136" s="26">
        <v>35000.0</v>
      </c>
      <c r="E1136" s="25" t="s">
        <v>4270</v>
      </c>
      <c r="F1136" s="25" t="s">
        <v>2798</v>
      </c>
    </row>
    <row r="1137">
      <c r="A1137" s="24" t="s">
        <v>3942</v>
      </c>
      <c r="C1137" s="26">
        <v>35000.0</v>
      </c>
      <c r="E1137" s="25" t="s">
        <v>4033</v>
      </c>
      <c r="F1137" s="25" t="s">
        <v>4570</v>
      </c>
    </row>
    <row r="1138">
      <c r="A1138" s="24" t="s">
        <v>3942</v>
      </c>
      <c r="C1138" s="26">
        <v>70000.0</v>
      </c>
      <c r="E1138" s="25" t="s">
        <v>3944</v>
      </c>
      <c r="F1138" s="25" t="s">
        <v>581</v>
      </c>
    </row>
    <row r="1139">
      <c r="A1139" s="24" t="s">
        <v>3942</v>
      </c>
      <c r="C1139" s="26">
        <v>35000.0</v>
      </c>
      <c r="E1139" s="25" t="s">
        <v>3983</v>
      </c>
      <c r="F1139" s="25" t="s">
        <v>2774</v>
      </c>
    </row>
    <row r="1140">
      <c r="A1140" s="24" t="s">
        <v>3942</v>
      </c>
      <c r="C1140" s="26">
        <v>35000.0</v>
      </c>
      <c r="E1140" s="25" t="s">
        <v>3948</v>
      </c>
      <c r="F1140" s="25" t="s">
        <v>2847</v>
      </c>
    </row>
    <row r="1141">
      <c r="A1141" s="24" t="s">
        <v>3942</v>
      </c>
      <c r="C1141" s="26">
        <v>35000.0</v>
      </c>
      <c r="E1141" s="25" t="s">
        <v>3939</v>
      </c>
      <c r="F1141" s="25" t="s">
        <v>2899</v>
      </c>
    </row>
    <row r="1142">
      <c r="A1142" s="24" t="s">
        <v>3942</v>
      </c>
      <c r="C1142" s="26">
        <v>35000.0</v>
      </c>
      <c r="E1142" s="25" t="s">
        <v>3946</v>
      </c>
      <c r="F1142" s="25" t="s">
        <v>84</v>
      </c>
    </row>
    <row r="1143">
      <c r="A1143" s="24" t="s">
        <v>3942</v>
      </c>
      <c r="C1143" s="26">
        <v>35000.0</v>
      </c>
      <c r="E1143" s="25" t="s">
        <v>3939</v>
      </c>
      <c r="F1143" s="25" t="s">
        <v>2776</v>
      </c>
    </row>
    <row r="1144">
      <c r="A1144" s="24" t="s">
        <v>3942</v>
      </c>
      <c r="C1144" s="26">
        <v>35000.0</v>
      </c>
      <c r="E1144" s="25" t="s">
        <v>3944</v>
      </c>
      <c r="F1144" s="25" t="s">
        <v>4401</v>
      </c>
    </row>
    <row r="1145">
      <c r="A1145" s="24" t="s">
        <v>3942</v>
      </c>
      <c r="C1145" s="26">
        <v>35000.0</v>
      </c>
      <c r="E1145" s="25" t="s">
        <v>3939</v>
      </c>
      <c r="F1145" s="25" t="s">
        <v>3407</v>
      </c>
    </row>
    <row r="1146">
      <c r="A1146" s="24" t="s">
        <v>3942</v>
      </c>
      <c r="C1146" s="26">
        <v>35000.0</v>
      </c>
      <c r="E1146" s="25" t="s">
        <v>3983</v>
      </c>
      <c r="F1146" s="25" t="s">
        <v>220</v>
      </c>
    </row>
    <row r="1147">
      <c r="A1147" s="24" t="s">
        <v>3942</v>
      </c>
      <c r="C1147" s="26">
        <v>70000.0</v>
      </c>
      <c r="E1147" s="25" t="s">
        <v>3990</v>
      </c>
      <c r="F1147" s="25" t="s">
        <v>760</v>
      </c>
    </row>
    <row r="1148">
      <c r="A1148" s="24" t="s">
        <v>3942</v>
      </c>
      <c r="C1148" s="26">
        <v>35000.0</v>
      </c>
      <c r="E1148" s="25" t="s">
        <v>3941</v>
      </c>
      <c r="F1148" s="25" t="s">
        <v>215</v>
      </c>
    </row>
    <row r="1149">
      <c r="A1149" s="24" t="s">
        <v>3989</v>
      </c>
      <c r="C1149" s="26">
        <v>70000.0</v>
      </c>
      <c r="E1149" s="25" t="s">
        <v>4204</v>
      </c>
      <c r="F1149" s="25" t="s">
        <v>778</v>
      </c>
    </row>
    <row r="1150">
      <c r="A1150" s="24" t="s">
        <v>3989</v>
      </c>
      <c r="C1150" s="26">
        <v>35000.0</v>
      </c>
      <c r="E1150" s="25" t="s">
        <v>3944</v>
      </c>
      <c r="F1150" s="25" t="s">
        <v>4456</v>
      </c>
    </row>
    <row r="1151">
      <c r="A1151" s="24" t="s">
        <v>3989</v>
      </c>
      <c r="C1151" s="26">
        <v>35000.0</v>
      </c>
      <c r="E1151" s="25" t="s">
        <v>4006</v>
      </c>
      <c r="F1151" s="25" t="s">
        <v>188</v>
      </c>
    </row>
    <row r="1152">
      <c r="A1152" s="24" t="s">
        <v>3989</v>
      </c>
      <c r="C1152" s="26">
        <v>70000.0</v>
      </c>
      <c r="E1152" s="25" t="s">
        <v>4133</v>
      </c>
      <c r="F1152" s="25" t="s">
        <v>710</v>
      </c>
    </row>
    <row r="1153">
      <c r="A1153" s="24" t="s">
        <v>3989</v>
      </c>
      <c r="C1153" s="26">
        <v>70000.0</v>
      </c>
      <c r="E1153" s="25" t="s">
        <v>3946</v>
      </c>
      <c r="F1153" s="25" t="s">
        <v>776</v>
      </c>
    </row>
    <row r="1154">
      <c r="A1154" s="24" t="s">
        <v>3989</v>
      </c>
      <c r="C1154" s="26">
        <v>70000.0</v>
      </c>
      <c r="E1154" s="25" t="s">
        <v>3941</v>
      </c>
      <c r="F1154" s="25" t="s">
        <v>1539</v>
      </c>
    </row>
    <row r="1155">
      <c r="A1155" s="24" t="s">
        <v>3989</v>
      </c>
      <c r="C1155" s="26">
        <v>35000.0</v>
      </c>
      <c r="E1155" s="25" t="s">
        <v>3948</v>
      </c>
      <c r="F1155" s="25" t="s">
        <v>4569</v>
      </c>
    </row>
    <row r="1156">
      <c r="A1156" s="24" t="s">
        <v>3989</v>
      </c>
      <c r="C1156" s="26">
        <v>70000.0</v>
      </c>
      <c r="E1156" s="25" t="s">
        <v>3983</v>
      </c>
      <c r="F1156" s="25" t="s">
        <v>1087</v>
      </c>
    </row>
    <row r="1157">
      <c r="A1157" s="24" t="s">
        <v>3989</v>
      </c>
      <c r="C1157" s="26">
        <v>35000.0</v>
      </c>
      <c r="E1157" s="25" t="s">
        <v>3948</v>
      </c>
      <c r="F1157" s="25" t="s">
        <v>2817</v>
      </c>
    </row>
    <row r="1158">
      <c r="A1158" s="24" t="s">
        <v>3989</v>
      </c>
      <c r="C1158" s="26">
        <v>35000.0</v>
      </c>
      <c r="E1158" s="25" t="s">
        <v>3948</v>
      </c>
      <c r="F1158" s="25" t="s">
        <v>246</v>
      </c>
    </row>
    <row r="1159">
      <c r="A1159" s="24" t="s">
        <v>3989</v>
      </c>
      <c r="C1159" s="26">
        <v>70000.0</v>
      </c>
      <c r="E1159" s="25" t="s">
        <v>3952</v>
      </c>
      <c r="F1159" s="25" t="s">
        <v>1261</v>
      </c>
    </row>
    <row r="1160">
      <c r="A1160" s="24" t="s">
        <v>3989</v>
      </c>
      <c r="C1160" s="26">
        <v>70000.0</v>
      </c>
      <c r="E1160" s="25" t="s">
        <v>3946</v>
      </c>
      <c r="F1160" s="25" t="s">
        <v>1934</v>
      </c>
    </row>
    <row r="1161">
      <c r="A1161" s="24" t="s">
        <v>3989</v>
      </c>
      <c r="C1161" s="26">
        <v>35000.0</v>
      </c>
      <c r="E1161" s="25" t="s">
        <v>3939</v>
      </c>
      <c r="F1161" s="25" t="s">
        <v>3337</v>
      </c>
    </row>
    <row r="1162">
      <c r="A1162" s="24" t="s">
        <v>3989</v>
      </c>
      <c r="C1162" s="26">
        <v>70000.0</v>
      </c>
      <c r="E1162" s="25" t="s">
        <v>3948</v>
      </c>
      <c r="F1162" s="25" t="s">
        <v>889</v>
      </c>
    </row>
    <row r="1163">
      <c r="A1163" s="24" t="s">
        <v>3989</v>
      </c>
      <c r="C1163" s="26">
        <v>35000.0</v>
      </c>
      <c r="E1163" s="25" t="s">
        <v>3990</v>
      </c>
      <c r="F1163" s="25" t="s">
        <v>175</v>
      </c>
    </row>
    <row r="1164">
      <c r="A1164" s="24" t="s">
        <v>3989</v>
      </c>
      <c r="C1164" s="26">
        <v>35000.0</v>
      </c>
      <c r="E1164" s="25" t="s">
        <v>3939</v>
      </c>
      <c r="F1164" s="25" t="s">
        <v>173</v>
      </c>
    </row>
    <row r="1165">
      <c r="A1165" s="24" t="s">
        <v>3989</v>
      </c>
      <c r="C1165" s="26">
        <v>70000.0</v>
      </c>
      <c r="E1165" s="25" t="s">
        <v>3939</v>
      </c>
      <c r="F1165" s="25" t="s">
        <v>2124</v>
      </c>
    </row>
    <row r="1166">
      <c r="A1166" s="24" t="s">
        <v>3989</v>
      </c>
      <c r="C1166" s="26">
        <v>70000.0</v>
      </c>
      <c r="E1166" s="25" t="s">
        <v>3946</v>
      </c>
      <c r="F1166" s="25" t="s">
        <v>4446</v>
      </c>
    </row>
    <row r="1167">
      <c r="A1167" s="24" t="s">
        <v>3989</v>
      </c>
      <c r="C1167" s="26">
        <v>70000.0</v>
      </c>
      <c r="E1167" s="25" t="s">
        <v>3948</v>
      </c>
      <c r="F1167" s="25" t="s">
        <v>580</v>
      </c>
    </row>
    <row r="1168">
      <c r="A1168" s="24" t="s">
        <v>3989</v>
      </c>
      <c r="C1168" s="26">
        <v>35000.0</v>
      </c>
      <c r="E1168" s="25" t="s">
        <v>4142</v>
      </c>
      <c r="F1168" s="25" t="s">
        <v>1283</v>
      </c>
    </row>
    <row r="1169">
      <c r="A1169" s="24" t="s">
        <v>3989</v>
      </c>
      <c r="C1169" s="26">
        <v>35000.0</v>
      </c>
      <c r="E1169" s="25" t="s">
        <v>4214</v>
      </c>
      <c r="F1169" s="25" t="s">
        <v>4213</v>
      </c>
    </row>
    <row r="1170">
      <c r="A1170" s="24" t="s">
        <v>3989</v>
      </c>
      <c r="C1170" s="26">
        <v>35000.0</v>
      </c>
      <c r="E1170" s="25" t="s">
        <v>3952</v>
      </c>
      <c r="F1170" s="25" t="s">
        <v>449</v>
      </c>
    </row>
    <row r="1171">
      <c r="A1171" s="24" t="s">
        <v>3989</v>
      </c>
      <c r="C1171" s="26">
        <v>35000.0</v>
      </c>
      <c r="E1171" s="25" t="s">
        <v>3990</v>
      </c>
      <c r="F1171" s="25" t="s">
        <v>30</v>
      </c>
    </row>
    <row r="1172">
      <c r="A1172" s="24" t="s">
        <v>3989</v>
      </c>
      <c r="C1172" s="26">
        <v>70000.0</v>
      </c>
      <c r="E1172" s="25" t="s">
        <v>3952</v>
      </c>
      <c r="F1172" s="25" t="s">
        <v>4306</v>
      </c>
    </row>
    <row r="1173">
      <c r="A1173" s="24" t="s">
        <v>3989</v>
      </c>
      <c r="C1173" s="26">
        <v>35000.0</v>
      </c>
      <c r="E1173" s="25" t="s">
        <v>4035</v>
      </c>
      <c r="F1173" s="25" t="s">
        <v>90</v>
      </c>
    </row>
    <row r="1174">
      <c r="A1174" s="24" t="s">
        <v>3989</v>
      </c>
      <c r="C1174" s="26">
        <v>35000.0</v>
      </c>
      <c r="E1174" s="25" t="s">
        <v>3983</v>
      </c>
      <c r="F1174" s="25" t="s">
        <v>331</v>
      </c>
    </row>
    <row r="1175">
      <c r="A1175" s="24" t="s">
        <v>3989</v>
      </c>
      <c r="C1175" s="26">
        <v>35000.0</v>
      </c>
      <c r="E1175" s="25" t="s">
        <v>3939</v>
      </c>
      <c r="F1175" s="25" t="s">
        <v>51</v>
      </c>
    </row>
    <row r="1176">
      <c r="A1176" s="24" t="s">
        <v>3989</v>
      </c>
      <c r="C1176" s="26">
        <v>35000.0</v>
      </c>
      <c r="E1176" s="25" t="s">
        <v>4067</v>
      </c>
      <c r="F1176" s="25" t="s">
        <v>287</v>
      </c>
    </row>
    <row r="1177">
      <c r="A1177" s="24" t="s">
        <v>3989</v>
      </c>
      <c r="C1177" s="26">
        <v>35000.0</v>
      </c>
      <c r="E1177" s="25" t="s">
        <v>3948</v>
      </c>
      <c r="F1177" s="25" t="s">
        <v>3046</v>
      </c>
    </row>
    <row r="1178">
      <c r="A1178" s="24" t="s">
        <v>3989</v>
      </c>
      <c r="C1178" s="26">
        <v>70000.0</v>
      </c>
      <c r="E1178" s="25" t="s">
        <v>3939</v>
      </c>
      <c r="F1178" s="25" t="s">
        <v>675</v>
      </c>
    </row>
    <row r="1179">
      <c r="A1179" s="24" t="s">
        <v>3989</v>
      </c>
      <c r="C1179" s="26">
        <v>35000.0</v>
      </c>
      <c r="E1179" s="25" t="s">
        <v>3946</v>
      </c>
      <c r="F1179" s="25" t="s">
        <v>4343</v>
      </c>
    </row>
    <row r="1180">
      <c r="A1180" s="24" t="s">
        <v>3989</v>
      </c>
      <c r="C1180" s="26">
        <v>35000.0</v>
      </c>
      <c r="E1180" s="25" t="s">
        <v>3948</v>
      </c>
      <c r="F1180" s="25" t="s">
        <v>357</v>
      </c>
    </row>
    <row r="1181">
      <c r="A1181" s="24" t="s">
        <v>3989</v>
      </c>
      <c r="C1181" s="26">
        <v>35000.0</v>
      </c>
      <c r="E1181" s="25" t="s">
        <v>3941</v>
      </c>
      <c r="F1181" s="25" t="s">
        <v>458</v>
      </c>
    </row>
    <row r="1182">
      <c r="A1182" s="24" t="s">
        <v>3989</v>
      </c>
      <c r="C1182" s="26">
        <v>35000.0</v>
      </c>
      <c r="E1182" s="25" t="s">
        <v>3948</v>
      </c>
      <c r="F1182" s="25" t="s">
        <v>370</v>
      </c>
    </row>
    <row r="1183">
      <c r="A1183" s="24" t="s">
        <v>3989</v>
      </c>
      <c r="C1183" s="26">
        <v>70000.0</v>
      </c>
      <c r="E1183" s="25" t="s">
        <v>3946</v>
      </c>
      <c r="F1183" s="25" t="s">
        <v>947</v>
      </c>
    </row>
    <row r="1184">
      <c r="A1184" s="24" t="s">
        <v>3989</v>
      </c>
      <c r="C1184" s="26">
        <v>70000.0</v>
      </c>
      <c r="E1184" s="25" t="s">
        <v>3946</v>
      </c>
      <c r="F1184" s="25" t="s">
        <v>4553</v>
      </c>
    </row>
    <row r="1185">
      <c r="A1185" s="24" t="s">
        <v>3989</v>
      </c>
      <c r="C1185" s="26">
        <v>35000.0</v>
      </c>
      <c r="E1185" s="25" t="s">
        <v>4316</v>
      </c>
      <c r="F1185" s="25" t="s">
        <v>472</v>
      </c>
    </row>
    <row r="1186">
      <c r="A1186" s="24" t="s">
        <v>3989</v>
      </c>
      <c r="C1186" s="26">
        <v>70000.0</v>
      </c>
      <c r="E1186" s="25" t="s">
        <v>3946</v>
      </c>
      <c r="F1186" s="25" t="s">
        <v>4286</v>
      </c>
    </row>
    <row r="1187">
      <c r="A1187" s="24" t="s">
        <v>3989</v>
      </c>
      <c r="C1187" s="26">
        <v>70000.0</v>
      </c>
      <c r="E1187" s="25" t="s">
        <v>3983</v>
      </c>
      <c r="F1187" s="25" t="s">
        <v>4326</v>
      </c>
    </row>
    <row r="1188">
      <c r="A1188" s="24" t="s">
        <v>3989</v>
      </c>
      <c r="C1188" s="26">
        <v>35000.0</v>
      </c>
      <c r="E1188" s="25" t="s">
        <v>3968</v>
      </c>
      <c r="F1188" s="25" t="s">
        <v>1363</v>
      </c>
    </row>
    <row r="1189">
      <c r="A1189" s="24" t="s">
        <v>3989</v>
      </c>
      <c r="C1189" s="26">
        <v>35000.0</v>
      </c>
      <c r="E1189" s="25" t="s">
        <v>3941</v>
      </c>
      <c r="F1189" s="25" t="s">
        <v>183</v>
      </c>
    </row>
    <row r="1190">
      <c r="A1190" s="24" t="s">
        <v>3989</v>
      </c>
      <c r="C1190" s="26">
        <v>70000.0</v>
      </c>
      <c r="E1190" s="25" t="s">
        <v>3939</v>
      </c>
      <c r="F1190" s="25" t="s">
        <v>4557</v>
      </c>
    </row>
    <row r="1191">
      <c r="A1191" s="24" t="s">
        <v>3989</v>
      </c>
      <c r="C1191" s="26">
        <v>70000.0</v>
      </c>
      <c r="E1191" s="25" t="s">
        <v>4054</v>
      </c>
      <c r="F1191" s="25" t="s">
        <v>854</v>
      </c>
    </row>
    <row r="1192">
      <c r="A1192" s="24" t="s">
        <v>3989</v>
      </c>
      <c r="C1192" s="26">
        <v>70000.0</v>
      </c>
      <c r="E1192" s="25" t="s">
        <v>3968</v>
      </c>
      <c r="F1192" s="25" t="s">
        <v>879</v>
      </c>
    </row>
    <row r="1193">
      <c r="A1193" s="24" t="s">
        <v>3989</v>
      </c>
      <c r="C1193" s="26">
        <v>70000.0</v>
      </c>
      <c r="E1193" s="25" t="s">
        <v>3946</v>
      </c>
      <c r="F1193" s="25" t="s">
        <v>697</v>
      </c>
    </row>
    <row r="1194">
      <c r="A1194" s="24" t="s">
        <v>3989</v>
      </c>
      <c r="C1194" s="26">
        <v>70000.0</v>
      </c>
      <c r="E1194" s="25" t="s">
        <v>4102</v>
      </c>
      <c r="F1194" s="25" t="s">
        <v>671</v>
      </c>
    </row>
    <row r="1195">
      <c r="A1195" s="24" t="s">
        <v>3989</v>
      </c>
      <c r="C1195" s="26">
        <v>70000.0</v>
      </c>
      <c r="E1195" s="25" t="s">
        <v>3983</v>
      </c>
      <c r="F1195" s="25" t="s">
        <v>4268</v>
      </c>
    </row>
    <row r="1196">
      <c r="A1196" s="24" t="s">
        <v>3989</v>
      </c>
      <c r="C1196" s="26">
        <v>35000.0</v>
      </c>
      <c r="E1196" s="25" t="s">
        <v>3946</v>
      </c>
      <c r="F1196" s="25" t="s">
        <v>2834</v>
      </c>
    </row>
    <row r="1197">
      <c r="A1197" s="24" t="s">
        <v>3989</v>
      </c>
      <c r="C1197" s="26">
        <v>70000.0</v>
      </c>
      <c r="E1197" s="25" t="s">
        <v>3948</v>
      </c>
      <c r="F1197" s="25" t="s">
        <v>738</v>
      </c>
    </row>
    <row r="1198">
      <c r="A1198" s="24" t="s">
        <v>3989</v>
      </c>
      <c r="C1198" s="26">
        <v>35000.0</v>
      </c>
      <c r="E1198" s="25" t="s">
        <v>3944</v>
      </c>
      <c r="F1198" s="25" t="s">
        <v>389</v>
      </c>
    </row>
    <row r="1199">
      <c r="A1199" s="24" t="s">
        <v>3949</v>
      </c>
      <c r="C1199" s="26">
        <v>70000.0</v>
      </c>
      <c r="E1199" s="25" t="s">
        <v>3939</v>
      </c>
      <c r="F1199" s="25" t="s">
        <v>891</v>
      </c>
    </row>
    <row r="1200">
      <c r="A1200" s="24" t="s">
        <v>3949</v>
      </c>
      <c r="C1200" s="26">
        <v>35000.0</v>
      </c>
      <c r="E1200" s="25" t="s">
        <v>3952</v>
      </c>
      <c r="F1200" s="25" t="s">
        <v>262</v>
      </c>
    </row>
    <row r="1201">
      <c r="A1201" s="24" t="s">
        <v>3949</v>
      </c>
      <c r="C1201" s="26">
        <v>35000.0</v>
      </c>
      <c r="E1201" s="25" t="s">
        <v>3946</v>
      </c>
      <c r="F1201" s="25" t="s">
        <v>4450</v>
      </c>
    </row>
    <row r="1202">
      <c r="A1202" s="24" t="s">
        <v>3949</v>
      </c>
      <c r="C1202" s="26">
        <v>35000.0</v>
      </c>
      <c r="E1202" s="25" t="s">
        <v>3950</v>
      </c>
      <c r="F1202" s="25" t="s">
        <v>6</v>
      </c>
    </row>
    <row r="1203">
      <c r="A1203" s="24" t="s">
        <v>3949</v>
      </c>
      <c r="C1203" s="26">
        <v>70000.0</v>
      </c>
      <c r="E1203" s="25" t="s">
        <v>3939</v>
      </c>
      <c r="F1203" s="25" t="s">
        <v>651</v>
      </c>
    </row>
    <row r="1204">
      <c r="A1204" s="24" t="s">
        <v>3949</v>
      </c>
      <c r="C1204" s="26">
        <v>35000.0</v>
      </c>
      <c r="E1204" s="25" t="s">
        <v>3944</v>
      </c>
      <c r="F1204" s="25" t="s">
        <v>2873</v>
      </c>
    </row>
    <row r="1205">
      <c r="A1205" s="24" t="s">
        <v>3949</v>
      </c>
      <c r="C1205" s="26">
        <v>35000.0</v>
      </c>
      <c r="E1205" s="25" t="s">
        <v>3941</v>
      </c>
      <c r="F1205" s="25" t="s">
        <v>2939</v>
      </c>
    </row>
    <row r="1206">
      <c r="A1206" s="24" t="s">
        <v>3949</v>
      </c>
      <c r="C1206" s="26">
        <v>35000.0</v>
      </c>
      <c r="E1206" s="25" t="s">
        <v>3946</v>
      </c>
      <c r="F1206" s="25" t="s">
        <v>211</v>
      </c>
    </row>
    <row r="1207">
      <c r="A1207" s="24" t="s">
        <v>3949</v>
      </c>
      <c r="C1207" s="26">
        <v>70000.0</v>
      </c>
      <c r="E1207" s="25" t="s">
        <v>3944</v>
      </c>
      <c r="F1207" s="25" t="s">
        <v>586</v>
      </c>
    </row>
    <row r="1208">
      <c r="A1208" s="24" t="s">
        <v>3949</v>
      </c>
      <c r="C1208" s="26">
        <v>70000.0</v>
      </c>
      <c r="E1208" s="25" t="s">
        <v>4231</v>
      </c>
      <c r="F1208" s="25" t="s">
        <v>812</v>
      </c>
    </row>
    <row r="1209">
      <c r="A1209" s="24" t="s">
        <v>3949</v>
      </c>
      <c r="C1209" s="26">
        <v>70000.0</v>
      </c>
      <c r="E1209" s="25" t="s">
        <v>3990</v>
      </c>
      <c r="F1209" s="25" t="s">
        <v>628</v>
      </c>
    </row>
    <row r="1210">
      <c r="A1210" s="24" t="s">
        <v>3949</v>
      </c>
      <c r="C1210" s="26">
        <v>35000.0</v>
      </c>
      <c r="E1210" s="25" t="s">
        <v>4333</v>
      </c>
      <c r="F1210" s="25" t="s">
        <v>498</v>
      </c>
    </row>
    <row r="1211">
      <c r="A1211" s="24" t="s">
        <v>3949</v>
      </c>
      <c r="C1211" s="26">
        <v>70000.0</v>
      </c>
      <c r="E1211" s="25" t="s">
        <v>3946</v>
      </c>
      <c r="F1211" s="25" t="s">
        <v>730</v>
      </c>
    </row>
    <row r="1212">
      <c r="A1212" s="24" t="s">
        <v>3949</v>
      </c>
      <c r="C1212" s="26">
        <v>35000.0</v>
      </c>
      <c r="E1212" s="25" t="s">
        <v>4182</v>
      </c>
      <c r="F1212" s="25" t="s">
        <v>278</v>
      </c>
    </row>
    <row r="1213">
      <c r="A1213" s="24" t="s">
        <v>3949</v>
      </c>
      <c r="C1213" s="26">
        <v>70000.0</v>
      </c>
      <c r="E1213" s="25" t="s">
        <v>3941</v>
      </c>
      <c r="F1213" s="25" t="s">
        <v>566</v>
      </c>
    </row>
    <row r="1214">
      <c r="A1214" s="24" t="s">
        <v>3949</v>
      </c>
      <c r="C1214" s="26">
        <v>70000.0</v>
      </c>
      <c r="E1214" s="25" t="s">
        <v>3990</v>
      </c>
      <c r="F1214" s="25" t="s">
        <v>970</v>
      </c>
    </row>
    <row r="1215">
      <c r="A1215" s="24" t="s">
        <v>3949</v>
      </c>
      <c r="C1215" s="26">
        <v>35000.0</v>
      </c>
      <c r="E1215" s="25" t="s">
        <v>4146</v>
      </c>
      <c r="F1215" s="25" t="s">
        <v>231</v>
      </c>
    </row>
    <row r="1216">
      <c r="A1216" s="24" t="s">
        <v>3949</v>
      </c>
      <c r="C1216" s="26">
        <v>70000.0</v>
      </c>
      <c r="E1216" s="25" t="s">
        <v>3948</v>
      </c>
      <c r="F1216" s="25" t="s">
        <v>716</v>
      </c>
    </row>
    <row r="1217">
      <c r="A1217" s="24" t="s">
        <v>3949</v>
      </c>
      <c r="C1217" s="26">
        <v>35000.0</v>
      </c>
      <c r="E1217" s="25" t="s">
        <v>3946</v>
      </c>
      <c r="F1217" s="25" t="s">
        <v>3528</v>
      </c>
    </row>
    <row r="1218">
      <c r="A1218" s="24" t="s">
        <v>3949</v>
      </c>
      <c r="C1218" s="26">
        <v>70000.0</v>
      </c>
      <c r="E1218" s="25" t="s">
        <v>3983</v>
      </c>
      <c r="F1218" s="25" t="s">
        <v>815</v>
      </c>
    </row>
    <row r="1219">
      <c r="A1219" s="24" t="s">
        <v>3949</v>
      </c>
      <c r="C1219" s="26">
        <v>70000.0</v>
      </c>
      <c r="E1219" s="25" t="s">
        <v>3952</v>
      </c>
      <c r="F1219" s="25" t="s">
        <v>951</v>
      </c>
    </row>
    <row r="1220">
      <c r="A1220" s="24" t="s">
        <v>3949</v>
      </c>
      <c r="C1220" s="26">
        <v>70000.0</v>
      </c>
      <c r="E1220" s="25" t="s">
        <v>3941</v>
      </c>
      <c r="F1220" s="25" t="s">
        <v>2360</v>
      </c>
    </row>
    <row r="1221">
      <c r="A1221" s="24" t="s">
        <v>3949</v>
      </c>
      <c r="C1221" s="26">
        <v>70000.0</v>
      </c>
      <c r="E1221" s="25" t="s">
        <v>3941</v>
      </c>
      <c r="F1221" s="25" t="s">
        <v>860</v>
      </c>
    </row>
    <row r="1222">
      <c r="A1222" s="24" t="s">
        <v>3949</v>
      </c>
      <c r="C1222" s="26">
        <v>70000.0</v>
      </c>
      <c r="E1222" s="25" t="s">
        <v>3939</v>
      </c>
      <c r="F1222" s="25" t="s">
        <v>4511</v>
      </c>
    </row>
    <row r="1223">
      <c r="A1223" s="24" t="s">
        <v>3949</v>
      </c>
      <c r="C1223" s="26">
        <v>70000.0</v>
      </c>
      <c r="E1223" s="25" t="s">
        <v>3948</v>
      </c>
      <c r="F1223" s="25" t="s">
        <v>4088</v>
      </c>
    </row>
    <row r="1224">
      <c r="A1224" s="24" t="s">
        <v>3949</v>
      </c>
      <c r="C1224" s="26">
        <v>35000.0</v>
      </c>
      <c r="E1224" s="25" t="s">
        <v>4006</v>
      </c>
      <c r="F1224" s="25" t="s">
        <v>4440</v>
      </c>
    </row>
    <row r="1225">
      <c r="A1225" s="24" t="s">
        <v>3949</v>
      </c>
      <c r="C1225" s="26">
        <v>35000.0</v>
      </c>
      <c r="E1225" s="25" t="s">
        <v>3983</v>
      </c>
      <c r="F1225" s="25" t="s">
        <v>26</v>
      </c>
    </row>
    <row r="1226">
      <c r="A1226" s="24" t="s">
        <v>3949</v>
      </c>
      <c r="C1226" s="26">
        <v>35000.0</v>
      </c>
      <c r="E1226" s="25" t="s">
        <v>4387</v>
      </c>
      <c r="F1226" s="25" t="s">
        <v>2807</v>
      </c>
    </row>
    <row r="1227">
      <c r="A1227" s="24" t="s">
        <v>4092</v>
      </c>
      <c r="C1227" s="26">
        <v>35000.0</v>
      </c>
      <c r="E1227" s="25" t="s">
        <v>3939</v>
      </c>
      <c r="F1227" s="25" t="s">
        <v>4093</v>
      </c>
    </row>
    <row r="1228">
      <c r="A1228" s="24" t="s">
        <v>4092</v>
      </c>
      <c r="C1228" s="26">
        <v>35000.0</v>
      </c>
      <c r="E1228" s="25" t="s">
        <v>3948</v>
      </c>
      <c r="F1228" s="25" t="s">
        <v>2923</v>
      </c>
    </row>
    <row r="1229">
      <c r="A1229" s="24" t="s">
        <v>4381</v>
      </c>
      <c r="C1229" s="26">
        <v>35000.0</v>
      </c>
      <c r="E1229" s="25" t="s">
        <v>4270</v>
      </c>
      <c r="F1229" s="25" t="s">
        <v>2798</v>
      </c>
    </row>
  </sheetData>
  <autoFilter ref="$A$1:$G$1229">
    <sortState ref="A1:G1229">
      <sortCondition ref="F1:F1229"/>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3.38"/>
    <col customWidth="1" min="6" max="6" width="16.5"/>
  </cols>
  <sheetData>
    <row r="1">
      <c r="A1" s="85" t="s">
        <v>6700</v>
      </c>
      <c r="B1" s="102" t="s">
        <v>984</v>
      </c>
      <c r="C1" s="102" t="s">
        <v>985</v>
      </c>
      <c r="D1" s="85" t="s">
        <v>6701</v>
      </c>
      <c r="E1" s="85" t="s">
        <v>6702</v>
      </c>
      <c r="F1" s="85" t="s">
        <v>6703</v>
      </c>
      <c r="G1" s="85" t="s">
        <v>3930</v>
      </c>
      <c r="H1" s="85" t="s">
        <v>3919</v>
      </c>
      <c r="I1" s="85" t="s">
        <v>6704</v>
      </c>
      <c r="J1" s="85"/>
    </row>
    <row r="2">
      <c r="A2" s="85">
        <f t="shared" ref="A2:A40" si="1">row()-1</f>
        <v>1</v>
      </c>
      <c r="B2" s="102" t="s">
        <v>6705</v>
      </c>
      <c r="C2" s="102" t="s">
        <v>6706</v>
      </c>
      <c r="D2" s="85" t="s">
        <v>6707</v>
      </c>
      <c r="E2" s="85" t="s">
        <v>6708</v>
      </c>
      <c r="F2" s="85" t="s">
        <v>6709</v>
      </c>
      <c r="G2" s="85" t="s">
        <v>6705</v>
      </c>
      <c r="H2" s="85" t="s">
        <v>6575</v>
      </c>
      <c r="I2" s="85" t="s">
        <v>6710</v>
      </c>
      <c r="J2" s="85"/>
    </row>
    <row r="3">
      <c r="A3" s="85">
        <f t="shared" si="1"/>
        <v>2</v>
      </c>
      <c r="B3" s="102" t="s">
        <v>6537</v>
      </c>
      <c r="C3" s="85" t="s">
        <v>6711</v>
      </c>
      <c r="D3" s="102" t="s">
        <v>6712</v>
      </c>
      <c r="E3" s="102" t="s">
        <v>6708</v>
      </c>
      <c r="F3" s="85" t="s">
        <v>6713</v>
      </c>
      <c r="G3" s="85" t="s">
        <v>6537</v>
      </c>
      <c r="H3" s="85" t="s">
        <v>6575</v>
      </c>
      <c r="I3" s="85" t="s">
        <v>6710</v>
      </c>
      <c r="J3" s="85"/>
    </row>
    <row r="4">
      <c r="A4" s="85">
        <f t="shared" si="1"/>
        <v>3</v>
      </c>
      <c r="B4" s="102" t="s">
        <v>6505</v>
      </c>
      <c r="C4" s="102" t="s">
        <v>6714</v>
      </c>
      <c r="D4" s="85" t="s">
        <v>6715</v>
      </c>
      <c r="E4" s="85" t="s">
        <v>6708</v>
      </c>
      <c r="F4" s="85" t="s">
        <v>6716</v>
      </c>
      <c r="G4" s="85" t="s">
        <v>6505</v>
      </c>
      <c r="H4" s="85" t="s">
        <v>6575</v>
      </c>
      <c r="I4" s="85" t="s">
        <v>6710</v>
      </c>
      <c r="J4" s="85"/>
    </row>
    <row r="5">
      <c r="A5" s="85">
        <f t="shared" si="1"/>
        <v>4</v>
      </c>
      <c r="B5" s="102" t="s">
        <v>6717</v>
      </c>
      <c r="C5" s="102" t="s">
        <v>6718</v>
      </c>
      <c r="D5" s="85" t="s">
        <v>6719</v>
      </c>
      <c r="E5" s="85" t="s">
        <v>6708</v>
      </c>
      <c r="F5" s="85" t="s">
        <v>6720</v>
      </c>
      <c r="G5" s="85" t="s">
        <v>6717</v>
      </c>
      <c r="H5" s="85" t="s">
        <v>6575</v>
      </c>
      <c r="I5" s="85" t="s">
        <v>6710</v>
      </c>
      <c r="J5" s="85"/>
    </row>
    <row r="6">
      <c r="A6" s="85">
        <f t="shared" si="1"/>
        <v>5</v>
      </c>
      <c r="B6" s="102" t="s">
        <v>6721</v>
      </c>
      <c r="C6" s="102" t="s">
        <v>6722</v>
      </c>
      <c r="D6" s="85" t="s">
        <v>6721</v>
      </c>
      <c r="E6" s="85" t="s">
        <v>6708</v>
      </c>
      <c r="F6" s="85" t="s">
        <v>6723</v>
      </c>
      <c r="G6" s="85" t="s">
        <v>6721</v>
      </c>
      <c r="H6" s="85" t="s">
        <v>6575</v>
      </c>
      <c r="I6" s="85" t="s">
        <v>6710</v>
      </c>
      <c r="J6" s="85"/>
    </row>
    <row r="7">
      <c r="A7" s="85">
        <f t="shared" si="1"/>
        <v>6</v>
      </c>
      <c r="B7" s="102" t="s">
        <v>6170</v>
      </c>
      <c r="C7" s="102" t="s">
        <v>6724</v>
      </c>
      <c r="D7" s="85" t="s">
        <v>6170</v>
      </c>
      <c r="E7" s="85" t="s">
        <v>6708</v>
      </c>
      <c r="F7" s="85" t="s">
        <v>6725</v>
      </c>
      <c r="G7" s="85" t="s">
        <v>6170</v>
      </c>
      <c r="H7" s="85" t="s">
        <v>6575</v>
      </c>
      <c r="I7" s="85" t="s">
        <v>6710</v>
      </c>
      <c r="J7" s="85"/>
    </row>
    <row r="8">
      <c r="A8" s="85">
        <f t="shared" si="1"/>
        <v>7</v>
      </c>
      <c r="B8" s="102" t="s">
        <v>6726</v>
      </c>
      <c r="C8" s="102" t="s">
        <v>6727</v>
      </c>
      <c r="D8" s="85" t="s">
        <v>6726</v>
      </c>
      <c r="E8" s="85" t="s">
        <v>6728</v>
      </c>
      <c r="F8" s="85" t="s">
        <v>6727</v>
      </c>
      <c r="G8" s="85" t="s">
        <v>6726</v>
      </c>
      <c r="H8" s="85" t="s">
        <v>6580</v>
      </c>
      <c r="I8" s="85" t="s">
        <v>6710</v>
      </c>
      <c r="J8" s="85"/>
    </row>
    <row r="9">
      <c r="A9" s="85">
        <f t="shared" si="1"/>
        <v>8</v>
      </c>
      <c r="B9" s="102" t="s">
        <v>6492</v>
      </c>
      <c r="C9" s="102" t="s">
        <v>6729</v>
      </c>
      <c r="D9" s="85" t="s">
        <v>6730</v>
      </c>
      <c r="E9" s="85" t="s">
        <v>3948</v>
      </c>
      <c r="F9" s="85" t="s">
        <v>6731</v>
      </c>
      <c r="G9" s="85" t="s">
        <v>6732</v>
      </c>
      <c r="H9" s="85" t="s">
        <v>6580</v>
      </c>
      <c r="I9" s="85" t="s">
        <v>6710</v>
      </c>
      <c r="J9" s="85"/>
    </row>
    <row r="10">
      <c r="A10" s="85">
        <f t="shared" si="1"/>
        <v>9</v>
      </c>
      <c r="B10" s="102" t="s">
        <v>6733</v>
      </c>
      <c r="C10" s="102" t="s">
        <v>6734</v>
      </c>
      <c r="D10" s="85" t="s">
        <v>6735</v>
      </c>
      <c r="E10" s="85" t="s">
        <v>3948</v>
      </c>
      <c r="F10" s="85" t="s">
        <v>6736</v>
      </c>
      <c r="G10" s="85" t="s">
        <v>6733</v>
      </c>
      <c r="H10" s="85" t="s">
        <v>6575</v>
      </c>
      <c r="I10" s="85" t="s">
        <v>6710</v>
      </c>
      <c r="J10" s="85"/>
    </row>
    <row r="11">
      <c r="A11" s="85">
        <f t="shared" si="1"/>
        <v>10</v>
      </c>
      <c r="B11" s="102" t="s">
        <v>2990</v>
      </c>
      <c r="C11" s="102" t="s">
        <v>2991</v>
      </c>
      <c r="D11" s="85" t="s">
        <v>2990</v>
      </c>
      <c r="E11" s="85" t="s">
        <v>3948</v>
      </c>
      <c r="F11" s="85" t="s">
        <v>6737</v>
      </c>
      <c r="G11" s="85" t="s">
        <v>2990</v>
      </c>
      <c r="H11" s="85" t="s">
        <v>6575</v>
      </c>
      <c r="I11" s="85" t="s">
        <v>6710</v>
      </c>
      <c r="J11" s="85"/>
    </row>
    <row r="12">
      <c r="A12" s="85">
        <f t="shared" si="1"/>
        <v>11</v>
      </c>
      <c r="B12" s="102" t="s">
        <v>6738</v>
      </c>
      <c r="C12" s="102" t="s">
        <v>6739</v>
      </c>
      <c r="D12" s="85" t="s">
        <v>6740</v>
      </c>
      <c r="E12" s="85" t="s">
        <v>6741</v>
      </c>
      <c r="F12" s="85" t="s">
        <v>6742</v>
      </c>
      <c r="G12" s="85" t="s">
        <v>6738</v>
      </c>
      <c r="H12" s="85" t="s">
        <v>6580</v>
      </c>
      <c r="I12" s="85" t="s">
        <v>6710</v>
      </c>
      <c r="J12" s="85"/>
    </row>
    <row r="13">
      <c r="A13" s="85">
        <f t="shared" si="1"/>
        <v>12</v>
      </c>
      <c r="B13" s="102" t="s">
        <v>6512</v>
      </c>
      <c r="C13" s="102" t="s">
        <v>6743</v>
      </c>
      <c r="D13" s="85" t="s">
        <v>6744</v>
      </c>
      <c r="E13" s="85" t="s">
        <v>4610</v>
      </c>
      <c r="F13" s="85">
        <v>1.10152120985E11</v>
      </c>
      <c r="G13" s="85" t="s">
        <v>6512</v>
      </c>
      <c r="H13" s="85" t="s">
        <v>6580</v>
      </c>
      <c r="I13" s="85" t="s">
        <v>6710</v>
      </c>
      <c r="J13" s="85"/>
    </row>
    <row r="14">
      <c r="A14" s="85">
        <f t="shared" si="1"/>
        <v>13</v>
      </c>
      <c r="B14" s="102" t="s">
        <v>6745</v>
      </c>
      <c r="C14" s="102" t="s">
        <v>6746</v>
      </c>
      <c r="D14" s="85" t="s">
        <v>6745</v>
      </c>
      <c r="E14" s="85" t="s">
        <v>4610</v>
      </c>
      <c r="F14" s="85" t="s">
        <v>6747</v>
      </c>
      <c r="G14" s="85" t="s">
        <v>6745</v>
      </c>
      <c r="H14" s="85" t="s">
        <v>6575</v>
      </c>
      <c r="I14" s="85" t="s">
        <v>6710</v>
      </c>
      <c r="J14" s="85"/>
    </row>
    <row r="15">
      <c r="A15" s="85">
        <f t="shared" si="1"/>
        <v>14</v>
      </c>
      <c r="B15" s="102" t="s">
        <v>6526</v>
      </c>
      <c r="C15" s="102" t="s">
        <v>6748</v>
      </c>
      <c r="D15" s="85" t="s">
        <v>6526</v>
      </c>
      <c r="E15" s="85" t="s">
        <v>4610</v>
      </c>
      <c r="F15" s="85" t="s">
        <v>6749</v>
      </c>
      <c r="G15" s="85" t="s">
        <v>6526</v>
      </c>
      <c r="H15" s="85" t="s">
        <v>6575</v>
      </c>
      <c r="I15" s="85" t="s">
        <v>6710</v>
      </c>
      <c r="J15" s="85"/>
    </row>
    <row r="16">
      <c r="A16" s="85">
        <f t="shared" si="1"/>
        <v>15</v>
      </c>
      <c r="B16" s="102" t="s">
        <v>1258</v>
      </c>
      <c r="C16" s="102" t="s">
        <v>1259</v>
      </c>
      <c r="D16" s="85" t="s">
        <v>6750</v>
      </c>
      <c r="E16" s="85" t="s">
        <v>6751</v>
      </c>
      <c r="F16" s="85" t="s">
        <v>6752</v>
      </c>
      <c r="G16" s="85" t="s">
        <v>1258</v>
      </c>
      <c r="H16" s="85" t="s">
        <v>6575</v>
      </c>
      <c r="I16" s="85" t="s">
        <v>6710</v>
      </c>
      <c r="J16" s="85"/>
    </row>
    <row r="17">
      <c r="A17" s="85">
        <f t="shared" si="1"/>
        <v>16</v>
      </c>
      <c r="B17" s="102" t="s">
        <v>6753</v>
      </c>
      <c r="C17" s="102" t="s">
        <v>6754</v>
      </c>
      <c r="D17" s="85" t="s">
        <v>6755</v>
      </c>
      <c r="E17" s="85" t="s">
        <v>6751</v>
      </c>
      <c r="F17" s="85" t="s">
        <v>6756</v>
      </c>
      <c r="G17" s="85" t="s">
        <v>6753</v>
      </c>
      <c r="H17" s="85" t="s">
        <v>6580</v>
      </c>
      <c r="I17" s="85" t="s">
        <v>6710</v>
      </c>
      <c r="J17" s="85"/>
    </row>
    <row r="18">
      <c r="A18" s="85">
        <f t="shared" si="1"/>
        <v>17</v>
      </c>
      <c r="B18" s="102" t="s">
        <v>1280</v>
      </c>
      <c r="C18" s="102" t="s">
        <v>1281</v>
      </c>
      <c r="D18" s="85" t="s">
        <v>6757</v>
      </c>
      <c r="E18" s="85" t="s">
        <v>6751</v>
      </c>
      <c r="F18" s="85" t="s">
        <v>6758</v>
      </c>
      <c r="G18" s="85" t="s">
        <v>1280</v>
      </c>
      <c r="H18" s="85" t="s">
        <v>6575</v>
      </c>
      <c r="I18" s="85" t="s">
        <v>6710</v>
      </c>
      <c r="J18" s="85"/>
    </row>
    <row r="19">
      <c r="A19" s="85">
        <f t="shared" si="1"/>
        <v>18</v>
      </c>
      <c r="B19" s="102" t="s">
        <v>6541</v>
      </c>
      <c r="C19" s="102" t="s">
        <v>6759</v>
      </c>
      <c r="D19" s="85" t="s">
        <v>6760</v>
      </c>
      <c r="E19" s="85" t="s">
        <v>6751</v>
      </c>
      <c r="F19" s="85" t="s">
        <v>6761</v>
      </c>
      <c r="G19" s="85" t="s">
        <v>6541</v>
      </c>
      <c r="H19" s="85" t="s">
        <v>6575</v>
      </c>
      <c r="I19" s="85" t="s">
        <v>6710</v>
      </c>
      <c r="J19" s="85"/>
    </row>
    <row r="20">
      <c r="A20" s="85">
        <f t="shared" si="1"/>
        <v>19</v>
      </c>
      <c r="B20" s="102" t="s">
        <v>1198</v>
      </c>
      <c r="C20" s="102" t="s">
        <v>1199</v>
      </c>
      <c r="D20" s="85" t="s">
        <v>6762</v>
      </c>
      <c r="E20" s="85" t="s">
        <v>6751</v>
      </c>
      <c r="F20" s="85" t="s">
        <v>6763</v>
      </c>
      <c r="G20" s="85" t="s">
        <v>1198</v>
      </c>
      <c r="H20" s="85" t="s">
        <v>6575</v>
      </c>
      <c r="I20" s="85" t="s">
        <v>6710</v>
      </c>
      <c r="J20" s="85"/>
    </row>
    <row r="21">
      <c r="A21" s="85">
        <f t="shared" si="1"/>
        <v>20</v>
      </c>
      <c r="B21" s="102" t="s">
        <v>1648</v>
      </c>
      <c r="C21" s="102" t="s">
        <v>1649</v>
      </c>
      <c r="D21" s="85" t="s">
        <v>1648</v>
      </c>
      <c r="E21" s="85" t="s">
        <v>6764</v>
      </c>
      <c r="F21" s="85" t="s">
        <v>6765</v>
      </c>
      <c r="G21" s="85" t="s">
        <v>1648</v>
      </c>
      <c r="H21" s="85" t="s">
        <v>6575</v>
      </c>
      <c r="I21" s="85" t="s">
        <v>6710</v>
      </c>
      <c r="J21" s="85"/>
    </row>
    <row r="22">
      <c r="A22" s="85">
        <f t="shared" si="1"/>
        <v>21</v>
      </c>
      <c r="B22" s="102" t="s">
        <v>6766</v>
      </c>
      <c r="C22" s="102" t="s">
        <v>6767</v>
      </c>
      <c r="D22" s="85" t="s">
        <v>6766</v>
      </c>
      <c r="E22" s="85" t="s">
        <v>6764</v>
      </c>
      <c r="F22" s="85" t="s">
        <v>6768</v>
      </c>
      <c r="G22" s="85" t="s">
        <v>6766</v>
      </c>
      <c r="H22" s="85" t="s">
        <v>6575</v>
      </c>
      <c r="I22" s="85" t="s">
        <v>6710</v>
      </c>
      <c r="J22" s="85"/>
    </row>
    <row r="23">
      <c r="A23" s="85">
        <f t="shared" si="1"/>
        <v>22</v>
      </c>
      <c r="B23" s="102" t="s">
        <v>3632</v>
      </c>
      <c r="C23" s="102" t="s">
        <v>6769</v>
      </c>
      <c r="D23" s="85" t="s">
        <v>6770</v>
      </c>
      <c r="E23" s="85" t="s">
        <v>6764</v>
      </c>
      <c r="F23" s="85" t="s">
        <v>6771</v>
      </c>
      <c r="G23" s="85" t="s">
        <v>3632</v>
      </c>
      <c r="H23" s="85" t="s">
        <v>6575</v>
      </c>
      <c r="I23" s="85" t="s">
        <v>6710</v>
      </c>
      <c r="J23" s="85"/>
    </row>
    <row r="24">
      <c r="A24" s="85">
        <f t="shared" si="1"/>
        <v>23</v>
      </c>
      <c r="B24" s="102" t="s">
        <v>6532</v>
      </c>
      <c r="C24" s="102" t="s">
        <v>6772</v>
      </c>
      <c r="D24" s="85" t="s">
        <v>6773</v>
      </c>
      <c r="E24" s="85" t="s">
        <v>6764</v>
      </c>
      <c r="F24" s="85" t="s">
        <v>6774</v>
      </c>
      <c r="G24" s="85" t="s">
        <v>6532</v>
      </c>
      <c r="H24" s="85" t="s">
        <v>6575</v>
      </c>
      <c r="I24" s="85" t="s">
        <v>6710</v>
      </c>
      <c r="J24" s="85"/>
    </row>
    <row r="25">
      <c r="A25" s="85">
        <f t="shared" si="1"/>
        <v>24</v>
      </c>
      <c r="B25" s="102" t="s">
        <v>6544</v>
      </c>
      <c r="C25" s="102" t="s">
        <v>6775</v>
      </c>
      <c r="D25" s="85" t="s">
        <v>6776</v>
      </c>
      <c r="E25" s="85" t="s">
        <v>6764</v>
      </c>
      <c r="F25" s="85" t="s">
        <v>6777</v>
      </c>
      <c r="G25" s="85" t="s">
        <v>6544</v>
      </c>
      <c r="H25" s="85" t="s">
        <v>6580</v>
      </c>
      <c r="I25" s="85" t="s">
        <v>6710</v>
      </c>
      <c r="J25" s="85"/>
    </row>
    <row r="26">
      <c r="A26" s="85">
        <f t="shared" si="1"/>
        <v>25</v>
      </c>
      <c r="B26" s="102" t="s">
        <v>6489</v>
      </c>
      <c r="C26" s="102" t="s">
        <v>6778</v>
      </c>
      <c r="D26" s="85" t="s">
        <v>6779</v>
      </c>
      <c r="E26" s="85" t="s">
        <v>6780</v>
      </c>
      <c r="F26" s="85" t="s">
        <v>6781</v>
      </c>
      <c r="G26" s="85" t="s">
        <v>6782</v>
      </c>
      <c r="H26" s="85" t="s">
        <v>6575</v>
      </c>
      <c r="I26" s="85" t="s">
        <v>6710</v>
      </c>
      <c r="J26" s="85"/>
    </row>
    <row r="27">
      <c r="A27" s="85">
        <f t="shared" si="1"/>
        <v>26</v>
      </c>
      <c r="B27" s="102" t="s">
        <v>6783</v>
      </c>
      <c r="C27" s="102" t="s">
        <v>6784</v>
      </c>
      <c r="D27" s="85" t="s">
        <v>4629</v>
      </c>
      <c r="E27" s="85" t="s">
        <v>6780</v>
      </c>
      <c r="F27" s="85" t="s">
        <v>6785</v>
      </c>
      <c r="G27" s="85" t="s">
        <v>6783</v>
      </c>
      <c r="H27" s="85" t="s">
        <v>6580</v>
      </c>
      <c r="I27" s="85" t="s">
        <v>6710</v>
      </c>
      <c r="J27" s="85"/>
    </row>
    <row r="28">
      <c r="A28" s="85">
        <f t="shared" si="1"/>
        <v>27</v>
      </c>
      <c r="B28" s="102" t="s">
        <v>6550</v>
      </c>
      <c r="C28" s="102" t="s">
        <v>6786</v>
      </c>
      <c r="D28" s="85" t="s">
        <v>6550</v>
      </c>
      <c r="E28" s="85" t="s">
        <v>6780</v>
      </c>
      <c r="F28" s="85" t="s">
        <v>6787</v>
      </c>
      <c r="G28" s="85" t="s">
        <v>6550</v>
      </c>
      <c r="H28" s="85" t="s">
        <v>6580</v>
      </c>
      <c r="I28" s="85" t="s">
        <v>6710</v>
      </c>
      <c r="J28" s="85"/>
    </row>
    <row r="29">
      <c r="A29" s="85">
        <f t="shared" si="1"/>
        <v>28</v>
      </c>
      <c r="B29" s="102" t="s">
        <v>6550</v>
      </c>
      <c r="C29" s="102" t="s">
        <v>6786</v>
      </c>
      <c r="D29" s="85" t="s">
        <v>6788</v>
      </c>
      <c r="E29" s="85" t="s">
        <v>6780</v>
      </c>
      <c r="F29" s="85" t="s">
        <v>6787</v>
      </c>
      <c r="G29" s="85" t="s">
        <v>6550</v>
      </c>
      <c r="H29" s="85" t="s">
        <v>6580</v>
      </c>
      <c r="I29" s="85" t="s">
        <v>6710</v>
      </c>
      <c r="J29" s="85"/>
    </row>
    <row r="30">
      <c r="A30" s="85">
        <f t="shared" si="1"/>
        <v>29</v>
      </c>
      <c r="B30" s="102" t="s">
        <v>6789</v>
      </c>
      <c r="C30" s="102" t="s">
        <v>6790</v>
      </c>
      <c r="D30" s="85" t="s">
        <v>6791</v>
      </c>
      <c r="E30" s="85" t="s">
        <v>6728</v>
      </c>
      <c r="F30" s="85" t="s">
        <v>6792</v>
      </c>
      <c r="G30" s="85" t="s">
        <v>6789</v>
      </c>
      <c r="H30" s="85" t="s">
        <v>6580</v>
      </c>
      <c r="I30" s="85" t="s">
        <v>6710</v>
      </c>
      <c r="J30" s="85"/>
    </row>
    <row r="31">
      <c r="A31" s="85">
        <f t="shared" si="1"/>
        <v>30</v>
      </c>
      <c r="B31" s="102" t="s">
        <v>6793</v>
      </c>
      <c r="C31" s="102" t="s">
        <v>6794</v>
      </c>
      <c r="D31" s="85" t="s">
        <v>6795</v>
      </c>
      <c r="E31" s="85" t="s">
        <v>6796</v>
      </c>
      <c r="F31" s="85" t="s">
        <v>6797</v>
      </c>
      <c r="G31" s="85" t="s">
        <v>6793</v>
      </c>
      <c r="H31" s="85" t="s">
        <v>6580</v>
      </c>
      <c r="I31" s="85" t="s">
        <v>6710</v>
      </c>
      <c r="J31" s="85"/>
    </row>
    <row r="32">
      <c r="A32" s="85">
        <f t="shared" si="1"/>
        <v>31</v>
      </c>
      <c r="B32" s="102" t="s">
        <v>6521</v>
      </c>
      <c r="C32" s="102" t="s">
        <v>6798</v>
      </c>
      <c r="D32" s="85" t="s">
        <v>6521</v>
      </c>
      <c r="E32" s="85" t="s">
        <v>4610</v>
      </c>
      <c r="F32" s="85" t="s">
        <v>6799</v>
      </c>
      <c r="G32" s="85" t="s">
        <v>6521</v>
      </c>
      <c r="H32" s="85" t="s">
        <v>6575</v>
      </c>
      <c r="I32" s="85" t="s">
        <v>6710</v>
      </c>
      <c r="J32" s="85"/>
    </row>
    <row r="33">
      <c r="A33" s="85">
        <f t="shared" si="1"/>
        <v>32</v>
      </c>
      <c r="B33" s="102" t="s">
        <v>6529</v>
      </c>
      <c r="C33" s="102" t="s">
        <v>6800</v>
      </c>
      <c r="D33" s="85" t="s">
        <v>6801</v>
      </c>
      <c r="E33" s="85" t="s">
        <v>3948</v>
      </c>
      <c r="F33" s="85" t="s">
        <v>6802</v>
      </c>
      <c r="G33" s="85" t="s">
        <v>6529</v>
      </c>
      <c r="H33" s="85" t="s">
        <v>6580</v>
      </c>
      <c r="I33" s="85" t="s">
        <v>6710</v>
      </c>
      <c r="J33" s="85"/>
    </row>
    <row r="34">
      <c r="A34" s="103">
        <f t="shared" si="1"/>
        <v>33</v>
      </c>
      <c r="B34" s="104" t="s">
        <v>6803</v>
      </c>
      <c r="C34" s="104" t="s">
        <v>6804</v>
      </c>
      <c r="D34" s="103" t="s">
        <v>6803</v>
      </c>
      <c r="E34" s="103" t="s">
        <v>3948</v>
      </c>
      <c r="F34" s="103" t="s">
        <v>6805</v>
      </c>
      <c r="G34" s="103" t="s">
        <v>6803</v>
      </c>
      <c r="H34" s="103" t="s">
        <v>6580</v>
      </c>
      <c r="I34" s="85" t="s">
        <v>6710</v>
      </c>
      <c r="J34" s="103"/>
    </row>
    <row r="35">
      <c r="A35" s="103">
        <f t="shared" si="1"/>
        <v>34</v>
      </c>
      <c r="B35" s="104" t="s">
        <v>5061</v>
      </c>
      <c r="C35" s="104" t="s">
        <v>6806</v>
      </c>
      <c r="D35" s="103" t="s">
        <v>6807</v>
      </c>
      <c r="E35" s="103" t="s">
        <v>6751</v>
      </c>
      <c r="F35" s="103" t="s">
        <v>6808</v>
      </c>
      <c r="G35" s="103" t="s">
        <v>5061</v>
      </c>
      <c r="H35" s="103" t="s">
        <v>6575</v>
      </c>
      <c r="I35" s="85" t="s">
        <v>6710</v>
      </c>
      <c r="J35" s="103"/>
    </row>
    <row r="36">
      <c r="A36" s="103">
        <f t="shared" si="1"/>
        <v>35</v>
      </c>
      <c r="B36" s="104" t="s">
        <v>5270</v>
      </c>
      <c r="C36" s="104" t="s">
        <v>6809</v>
      </c>
      <c r="D36" s="103" t="s">
        <v>6810</v>
      </c>
      <c r="E36" s="103" t="s">
        <v>6764</v>
      </c>
      <c r="F36" s="103">
        <v>3.333017708853E12</v>
      </c>
      <c r="G36" s="103" t="s">
        <v>5270</v>
      </c>
      <c r="H36" s="103" t="s">
        <v>6580</v>
      </c>
      <c r="I36" s="85" t="s">
        <v>6710</v>
      </c>
      <c r="J36" s="103"/>
    </row>
    <row r="37">
      <c r="A37" s="85">
        <f t="shared" si="1"/>
        <v>36</v>
      </c>
      <c r="B37" s="102" t="s">
        <v>6811</v>
      </c>
      <c r="C37" s="102"/>
      <c r="D37" s="85" t="s">
        <v>4633</v>
      </c>
      <c r="E37" s="85"/>
      <c r="F37" s="85"/>
      <c r="G37" s="85"/>
      <c r="H37" s="85" t="s">
        <v>6580</v>
      </c>
      <c r="I37" s="85"/>
      <c r="J37" s="85"/>
    </row>
    <row r="38">
      <c r="A38" s="85">
        <f t="shared" si="1"/>
        <v>37</v>
      </c>
      <c r="B38" s="102" t="s">
        <v>6812</v>
      </c>
      <c r="C38" s="102"/>
      <c r="D38" s="85" t="s">
        <v>6813</v>
      </c>
      <c r="E38" s="85" t="s">
        <v>6764</v>
      </c>
      <c r="F38" s="85">
        <v>3.333140197625E12</v>
      </c>
      <c r="G38" s="85" t="s">
        <v>6812</v>
      </c>
      <c r="H38" s="85" t="s">
        <v>6580</v>
      </c>
      <c r="I38" s="85"/>
      <c r="J38" s="85"/>
    </row>
    <row r="39">
      <c r="A39" s="85">
        <f t="shared" si="1"/>
        <v>38</v>
      </c>
      <c r="B39" s="102" t="s">
        <v>6814</v>
      </c>
      <c r="C39" s="102"/>
      <c r="D39" s="85" t="s">
        <v>6815</v>
      </c>
      <c r="E39" s="85" t="s">
        <v>3948</v>
      </c>
      <c r="F39" s="85" t="s">
        <v>6816</v>
      </c>
      <c r="G39" s="85" t="s">
        <v>6814</v>
      </c>
      <c r="H39" s="85" t="s">
        <v>6580</v>
      </c>
      <c r="I39" s="85"/>
      <c r="J39" s="85"/>
    </row>
    <row r="40">
      <c r="A40" s="85">
        <f t="shared" si="1"/>
        <v>39</v>
      </c>
      <c r="B40" s="102" t="s">
        <v>1537</v>
      </c>
      <c r="C40" s="102"/>
      <c r="D40" s="85" t="s">
        <v>6817</v>
      </c>
      <c r="E40" s="85" t="s">
        <v>6764</v>
      </c>
      <c r="F40" s="85">
        <v>3.333012935525E12</v>
      </c>
      <c r="G40" s="85" t="s">
        <v>1537</v>
      </c>
      <c r="H40" s="85" t="s">
        <v>6580</v>
      </c>
      <c r="I40" s="85" t="s">
        <v>6710</v>
      </c>
      <c r="J40" s="85"/>
    </row>
  </sheetData>
  <autoFilter ref="$A$1:$G$40">
    <sortState ref="A1:G40">
      <sortCondition ref="B1:B40"/>
    </sortState>
  </autoFilter>
  <drawing r:id="rId1"/>
</worksheet>
</file>